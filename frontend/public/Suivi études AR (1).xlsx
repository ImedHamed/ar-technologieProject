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namedSheetViews/namedSheetView3.xml" ContentType="application/vnd.ms-excel.namedsheetview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omments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mc:AlternateContent xmlns:mc="http://schemas.openxmlformats.org/markup-compatibility/2006">
    <mc:Choice Requires="x15">
      <x15ac:absPath xmlns:x15ac="http://schemas.microsoft.com/office/spreadsheetml/2010/11/ac" url="D:\working\waccache\PA1PEPF000202C4\EXCELCNV\683f7c9c-e945-4d26-a79f-7d7cf5b08116\"/>
    </mc:Choice>
  </mc:AlternateContent>
  <xr:revisionPtr revIDLastSave="28732" documentId="8_{CB5CB983-614E-40B9-9213-6508789242C3}" xr6:coauthVersionLast="47" xr6:coauthVersionMax="47" xr10:uidLastSave="{8BA5F174-531B-41A5-8EF7-EEC98502BE83}"/>
  <bookViews>
    <workbookView xWindow="-60" yWindow="-60" windowWidth="15480" windowHeight="11640" activeTab="2" xr2:uid="{00000000-000D-0000-FFFF-FFFF00000000}"/>
  </bookViews>
  <sheets>
    <sheet name="VUE GLOBAL" sheetId="30" r:id="rId1"/>
    <sheet name="MEN-ROD" sheetId="9" r:id="rId2"/>
    <sheet name="QPR-CRO" sheetId="29" r:id="rId3"/>
    <sheet name="GDP AQ" sheetId="5" r:id="rId4"/>
    <sheet name="PRESENTATION " sheetId="17" state="hidden" r:id="rId5"/>
    <sheet name="SPI AQ" sheetId="38" r:id="rId6"/>
    <sheet name="BEIN" sheetId="43" r:id="rId7"/>
    <sheet name="COMAC CAPFT" sheetId="24" r:id="rId8"/>
    <sheet name="DETAIL SECTEUR" sheetId="6" state="hidden" r:id="rId9"/>
    <sheet name="Feuil2" sheetId="35" state="hidden" r:id="rId10"/>
    <sheet name="TP SWAN" sheetId="33" r:id="rId11"/>
    <sheet name="SPI Bretagne" sheetId="42" r:id="rId12"/>
    <sheet name="DEMANDE DT" sheetId="36" r:id="rId13"/>
  </sheets>
  <definedNames>
    <definedName name="_xlnm._FilterDatabase" localSheetId="7" hidden="1">'COMAC CAPFT'!$A$1:$I$1</definedName>
    <definedName name="_xlnm._FilterDatabase" localSheetId="12" hidden="1">'DEMANDE DT'!$A$1:$L$364</definedName>
    <definedName name="_xlnm._FilterDatabase" localSheetId="10" hidden="1">'TP SWAN'!$A$1:$K$77</definedName>
    <definedName name="_xlnm._FilterDatabase" localSheetId="3" hidden="1">'GDP AQ'!$A$1:$K$136</definedName>
    <definedName name="_xlnm._FilterDatabase" localSheetId="5" hidden="1">'SPI AQ'!$A$2:$P$75</definedName>
    <definedName name="_xlnm._FilterDatabase" localSheetId="2" hidden="1">'QPR-CRO'!$A$1:$L$342</definedName>
    <definedName name="_xlnm._FilterDatabase" localSheetId="1" hidden="1">'MEN-ROD'!$A$1:$M$447</definedName>
  </definedNames>
  <calcPr calcId="191028"/>
  <pivotCaches>
    <pivotCache cacheId="1164" r:id="rId14"/>
    <pivotCache cacheId="1165" r:id="rId15"/>
    <pivotCache cacheId="1166" r:id="rId16"/>
    <pivotCache cacheId="1167" r:id="rId17"/>
    <pivotCache cacheId="1168" r:id="rId18"/>
    <pivotCache cacheId="1169" r:id="rId19"/>
    <pivotCache cacheId="1170" r:id="rId20"/>
    <pivotCache cacheId="1171"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3" l="1"/>
  <c r="G2" i="43"/>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3" i="5"/>
  <c r="C443"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430" i="9"/>
  <c r="C334" i="9"/>
  <c r="C335" i="9"/>
  <c r="C336" i="9"/>
  <c r="C337" i="9"/>
  <c r="C338" i="9"/>
  <c r="C339" i="9"/>
  <c r="C340" i="9"/>
  <c r="C341" i="9"/>
  <c r="C342" i="9"/>
  <c r="C160" i="9"/>
  <c r="C345" i="9"/>
  <c r="C346" i="9"/>
  <c r="C147" i="9"/>
  <c r="C347" i="9"/>
  <c r="C348" i="9"/>
  <c r="C240" i="9"/>
  <c r="C241" i="9"/>
  <c r="C242" i="9"/>
  <c r="C343" i="9"/>
  <c r="C349" i="9"/>
  <c r="C350" i="9"/>
  <c r="C351" i="9"/>
  <c r="C243" i="9"/>
  <c r="C352" i="9"/>
  <c r="C353" i="9"/>
  <c r="C354" i="9"/>
  <c r="C355" i="9"/>
  <c r="C356" i="9"/>
  <c r="C357" i="9"/>
  <c r="C358" i="9"/>
  <c r="C359" i="9"/>
  <c r="C360" i="9"/>
  <c r="C361" i="9"/>
  <c r="C244" i="9"/>
  <c r="C362" i="9"/>
  <c r="C363" i="9"/>
  <c r="C245" i="9"/>
  <c r="C364" i="9"/>
  <c r="C365" i="9"/>
  <c r="C246" i="9"/>
  <c r="C366" i="9"/>
  <c r="C367" i="9"/>
  <c r="C368" i="9"/>
  <c r="C369" i="9"/>
  <c r="C370" i="9"/>
  <c r="C247" i="9"/>
  <c r="C373" i="9"/>
  <c r="C374" i="9"/>
  <c r="C375" i="9"/>
  <c r="C371" i="9"/>
  <c r="C376" i="9"/>
  <c r="C377" i="9"/>
  <c r="C378" i="9"/>
  <c r="C379" i="9"/>
  <c r="C380" i="9"/>
  <c r="C381" i="9"/>
  <c r="C382" i="9"/>
  <c r="C383" i="9"/>
  <c r="C384" i="9"/>
  <c r="C385" i="9"/>
  <c r="C386" i="9"/>
  <c r="C372" i="9"/>
  <c r="C387" i="9"/>
  <c r="C333" i="9"/>
  <c r="C388" i="9"/>
  <c r="C391" i="9"/>
  <c r="C392" i="9"/>
  <c r="C393" i="9"/>
  <c r="C394" i="9"/>
  <c r="C395" i="9"/>
  <c r="C396" i="9"/>
  <c r="C397" i="9"/>
  <c r="C398" i="9"/>
  <c r="C390" i="9"/>
  <c r="C399" i="9"/>
  <c r="C400" i="9"/>
  <c r="C401" i="9"/>
  <c r="C332" i="9"/>
  <c r="C402" i="9"/>
  <c r="C403" i="9"/>
  <c r="C404" i="9"/>
  <c r="C405" i="9"/>
  <c r="C406" i="9"/>
  <c r="C407" i="9"/>
  <c r="C408" i="9"/>
  <c r="C409" i="9"/>
  <c r="C410" i="9"/>
  <c r="C411" i="9"/>
  <c r="C412" i="9"/>
  <c r="C413" i="9"/>
  <c r="C414" i="9"/>
  <c r="C415" i="9"/>
  <c r="C389" i="9"/>
  <c r="C416" i="9"/>
  <c r="C420" i="9"/>
  <c r="C421" i="9"/>
  <c r="C422" i="9"/>
  <c r="C423" i="9"/>
  <c r="C424" i="9"/>
  <c r="C417" i="9"/>
  <c r="C425" i="9"/>
  <c r="C426" i="9"/>
  <c r="C427" i="9"/>
  <c r="C419" i="9"/>
  <c r="C431" i="9"/>
  <c r="C432" i="9"/>
  <c r="C418" i="9"/>
  <c r="C433" i="9"/>
  <c r="C434" i="9"/>
  <c r="C435" i="9"/>
  <c r="C436" i="9"/>
  <c r="C437" i="9"/>
  <c r="C428" i="9"/>
  <c r="C438" i="9"/>
  <c r="C439" i="9"/>
  <c r="C440" i="9"/>
  <c r="C441" i="9"/>
  <c r="C442" i="9"/>
  <c r="C444" i="9"/>
  <c r="C445" i="9"/>
  <c r="C446" i="9"/>
  <c r="C447" i="9"/>
  <c r="C1"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56" i="9"/>
  <c r="C157" i="9"/>
  <c r="C158" i="9"/>
  <c r="C159" i="9"/>
  <c r="C175" i="9"/>
  <c r="C176" i="9"/>
  <c r="C177" i="9"/>
  <c r="C178" i="9"/>
  <c r="C179" i="9"/>
  <c r="C219" i="9"/>
  <c r="C220" i="9"/>
  <c r="C221" i="9"/>
  <c r="C222" i="9"/>
  <c r="C223" i="9"/>
  <c r="C224" i="9"/>
  <c r="C225" i="9"/>
  <c r="C226" i="9"/>
  <c r="C227" i="9"/>
  <c r="C228" i="9"/>
  <c r="C229" i="9"/>
  <c r="C230" i="9"/>
  <c r="C231" i="9"/>
  <c r="C232" i="9"/>
  <c r="C233" i="9"/>
  <c r="C234" i="9"/>
  <c r="C235" i="9"/>
  <c r="C236" i="9"/>
  <c r="C237" i="9"/>
  <c r="C238" i="9"/>
  <c r="C180" i="9"/>
  <c r="C239" i="9"/>
  <c r="C254" i="29"/>
  <c r="C349" i="29"/>
  <c r="C201" i="29"/>
  <c r="C202" i="29"/>
  <c r="C241" i="29"/>
  <c r="C252" i="29"/>
  <c r="C253" i="29"/>
  <c r="C279" i="29"/>
  <c r="C331" i="29"/>
  <c r="C348" i="29"/>
  <c r="C325" i="29"/>
  <c r="C323" i="29"/>
  <c r="C312" i="29"/>
  <c r="C237" i="29"/>
  <c r="A1" i="29"/>
  <c r="C322" i="29"/>
  <c r="C270" i="29"/>
  <c r="C340" i="29"/>
  <c r="C305" i="29"/>
  <c r="C311" i="29"/>
  <c r="C310" i="29"/>
  <c r="C196" i="29"/>
  <c r="C197" i="29"/>
  <c r="C321" i="29"/>
  <c r="C320" i="29"/>
  <c r="C240" i="29"/>
  <c r="C346" i="29"/>
  <c r="C347" i="29"/>
  <c r="C335" i="29"/>
  <c r="C327" i="29"/>
  <c r="C309" i="29"/>
  <c r="C338" i="29"/>
  <c r="C336" i="29"/>
  <c r="C300" i="29"/>
  <c r="C318" i="29"/>
  <c r="C319" i="29"/>
  <c r="C337" i="29"/>
  <c r="C326" i="29"/>
  <c r="C317" i="29"/>
  <c r="C316" i="29"/>
  <c r="C334" i="29"/>
  <c r="C333" i="29"/>
  <c r="C274" i="29"/>
  <c r="C308" i="29"/>
  <c r="C302" i="29"/>
  <c r="C328" i="29"/>
  <c r="C275" i="29"/>
  <c r="C324" i="29"/>
  <c r="C195" i="29"/>
  <c r="C273" i="29"/>
  <c r="C272" i="29"/>
  <c r="C304" i="29"/>
  <c r="C314" i="29"/>
  <c r="C269" i="29"/>
  <c r="C345" i="29"/>
  <c r="C306" i="29"/>
  <c r="O55" i="38"/>
  <c r="O54" i="38"/>
  <c r="J68" i="38"/>
  <c r="K68" i="38"/>
  <c r="J67" i="38"/>
  <c r="K67" i="38"/>
  <c r="J66" i="38"/>
  <c r="K66" i="38"/>
  <c r="J65" i="38"/>
  <c r="K65" i="38"/>
  <c r="J64" i="38"/>
  <c r="K64" i="38"/>
  <c r="J63" i="38"/>
  <c r="K63" i="38"/>
  <c r="J62" i="38"/>
  <c r="K62" i="38"/>
  <c r="J61" i="38"/>
  <c r="K61" i="38"/>
  <c r="J60" i="38"/>
  <c r="K60" i="38" s="1"/>
  <c r="J59" i="38"/>
  <c r="K59" i="38" s="1"/>
  <c r="G58" i="38"/>
  <c r="G66" i="38"/>
  <c r="G59" i="38"/>
  <c r="G60" i="38"/>
  <c r="G62" i="38"/>
  <c r="G61" i="38"/>
  <c r="G68" i="38"/>
  <c r="G64" i="38"/>
  <c r="O53" i="38"/>
  <c r="C313" i="29"/>
  <c r="C344" i="29"/>
  <c r="C262" i="29"/>
  <c r="C343" i="29"/>
  <c r="C281" i="29"/>
  <c r="O48" i="38"/>
  <c r="O47" i="38"/>
  <c r="O49" i="38"/>
  <c r="O50" i="38"/>
  <c r="O51" i="38"/>
  <c r="O52" i="38"/>
  <c r="C307" i="29"/>
  <c r="C299" i="29"/>
  <c r="C330" i="29"/>
  <c r="C268" i="29"/>
  <c r="C136" i="29"/>
  <c r="C261" i="29"/>
  <c r="C329" i="29"/>
  <c r="C271" i="29"/>
  <c r="C211" i="9"/>
  <c r="C200" i="29"/>
  <c r="C301" i="29"/>
  <c r="C303" i="29"/>
  <c r="C264" i="29"/>
  <c r="C266" i="29"/>
  <c r="C339" i="29"/>
  <c r="C259" i="29"/>
  <c r="C296" i="29"/>
  <c r="C297" i="29"/>
  <c r="C263" i="29"/>
  <c r="C298" i="29"/>
  <c r="C286" i="29"/>
  <c r="C341" i="29"/>
  <c r="C342" i="29"/>
  <c r="C216" i="29"/>
  <c r="C135" i="29"/>
  <c r="C294" i="29"/>
  <c r="C287" i="29"/>
  <c r="C250" i="29"/>
  <c r="C295" i="29"/>
  <c r="C215" i="29"/>
  <c r="C214" i="29"/>
  <c r="C118" i="29"/>
  <c r="C125" i="29"/>
  <c r="C152" i="29"/>
  <c r="C207" i="29"/>
  <c r="C217" i="29"/>
  <c r="C206" i="29"/>
  <c r="C229" i="29"/>
  <c r="C230" i="29"/>
  <c r="C231" i="29"/>
  <c r="C232" i="29"/>
  <c r="C233" i="29"/>
  <c r="C205" i="29"/>
  <c r="C234" i="29"/>
  <c r="C265" i="29"/>
  <c r="C242" i="29"/>
  <c r="C235" i="29"/>
  <c r="C284" i="29"/>
  <c r="C243" i="29"/>
  <c r="C244" i="29"/>
  <c r="C245" i="29"/>
  <c r="C246" i="29"/>
  <c r="C247" i="29"/>
  <c r="C248" i="29"/>
  <c r="C249" i="29"/>
  <c r="C288" i="29"/>
  <c r="C140" i="29"/>
  <c r="C198" i="29"/>
  <c r="C156" i="29"/>
  <c r="C133" i="29"/>
  <c r="C157" i="29"/>
  <c r="C132" i="29"/>
  <c r="C142" i="29"/>
  <c r="C208" i="29"/>
  <c r="C255" i="29"/>
  <c r="C256" i="29"/>
  <c r="C154" i="29"/>
  <c r="C153" i="29"/>
  <c r="C191" i="29"/>
  <c r="C192" i="29"/>
  <c r="C289" i="29"/>
  <c r="C120" i="29"/>
  <c r="C193" i="29"/>
  <c r="C194" i="29"/>
  <c r="C276" i="29"/>
  <c r="C285" i="29"/>
  <c r="C4" i="29"/>
  <c r="C213" i="29"/>
  <c r="C278" i="29"/>
  <c r="C251" i="29"/>
  <c r="C280" i="29"/>
  <c r="C227" i="29"/>
  <c r="C257" i="29"/>
  <c r="C224" i="29"/>
  <c r="C158" i="29"/>
  <c r="C290" i="29"/>
  <c r="C291" i="29"/>
  <c r="C292" i="29"/>
  <c r="C293" i="29"/>
  <c r="C199" i="29"/>
  <c r="C219" i="29"/>
  <c r="C159" i="29"/>
  <c r="C236" i="29"/>
  <c r="C258" i="29"/>
  <c r="C212" i="29"/>
  <c r="C209" i="29"/>
  <c r="C84" i="9"/>
  <c r="C116" i="29"/>
  <c r="C218" i="9"/>
  <c r="C86" i="9"/>
  <c r="K56" i="38"/>
  <c r="J57" i="38"/>
  <c r="K57" i="38" s="1"/>
  <c r="A1" i="38"/>
  <c r="C154" i="9"/>
  <c r="T2" i="30"/>
  <c r="R2" i="30"/>
  <c r="Q2" i="30"/>
  <c r="P2" i="30"/>
  <c r="O2" i="30"/>
  <c r="N2" i="30"/>
  <c r="M2" i="30"/>
  <c r="L2" i="30"/>
  <c r="K2" i="30"/>
  <c r="J2" i="30"/>
  <c r="I2" i="30"/>
  <c r="H2" i="30"/>
  <c r="G2" i="30"/>
  <c r="F2" i="30"/>
  <c r="B15" i="30" s="1"/>
  <c r="E2" i="30"/>
  <c r="A15" i="30" s="1"/>
  <c r="D2" i="30"/>
  <c r="C169" i="9"/>
  <c r="C429" i="9"/>
  <c r="C77" i="9"/>
  <c r="G65" i="38"/>
  <c r="G24" i="38"/>
  <c r="C110" i="29"/>
  <c r="G38" i="38"/>
  <c r="G57" i="38"/>
  <c r="G41" i="38"/>
  <c r="C172" i="9"/>
  <c r="C212" i="9"/>
  <c r="C217" i="9"/>
  <c r="C174" i="9"/>
  <c r="C221" i="29"/>
  <c r="C214" i="9"/>
  <c r="C190" i="29"/>
  <c r="C57" i="9"/>
  <c r="C213" i="9"/>
  <c r="C209" i="9"/>
  <c r="C141" i="29"/>
  <c r="C164" i="9"/>
  <c r="G55" i="38"/>
  <c r="C150" i="29"/>
  <c r="C124" i="29"/>
  <c r="C81" i="9"/>
  <c r="G50" i="38"/>
  <c r="G52" i="38"/>
  <c r="G51" i="38"/>
  <c r="C204" i="9"/>
  <c r="C283" i="29"/>
  <c r="C51" i="9"/>
  <c r="C160" i="29"/>
  <c r="C206" i="9"/>
  <c r="C260" i="29"/>
  <c r="C182" i="29"/>
  <c r="C134" i="29"/>
  <c r="C151" i="29"/>
  <c r="C189" i="29"/>
  <c r="C173" i="9"/>
  <c r="C167" i="9"/>
  <c r="C85" i="9"/>
  <c r="C239" i="29"/>
  <c r="C83" i="29"/>
  <c r="G53" i="38"/>
  <c r="C123" i="29"/>
  <c r="S6" i="30"/>
  <c r="S8" i="30" s="1"/>
  <c r="R6" i="30"/>
  <c r="Q6" i="30"/>
  <c r="P6" i="30"/>
  <c r="M6" i="30"/>
  <c r="J6" i="30"/>
  <c r="I6" i="30"/>
  <c r="H6" i="30"/>
  <c r="G6" i="30"/>
  <c r="F6" i="30"/>
  <c r="E6" i="30"/>
  <c r="D6" i="30"/>
  <c r="G21" i="38"/>
  <c r="G67" i="38"/>
  <c r="C202" i="9"/>
  <c r="C139" i="29"/>
  <c r="C204" i="29"/>
  <c r="C149" i="29"/>
  <c r="C180" i="29"/>
  <c r="C207" i="9"/>
  <c r="C79" i="9"/>
  <c r="C47" i="9"/>
  <c r="C126" i="29"/>
  <c r="C106" i="29"/>
  <c r="C148" i="29"/>
  <c r="G32" i="38"/>
  <c r="G23" i="38"/>
  <c r="G47" i="38"/>
  <c r="G49" i="38"/>
  <c r="C115" i="29"/>
  <c r="C155" i="29"/>
  <c r="C203" i="9"/>
  <c r="C112" i="29"/>
  <c r="G42" i="38"/>
  <c r="G48" i="38"/>
  <c r="C183" i="29"/>
  <c r="C177" i="29"/>
  <c r="C113" i="29"/>
  <c r="C223" i="29"/>
  <c r="G54" i="38"/>
  <c r="G16" i="38"/>
  <c r="C184" i="29"/>
  <c r="C108" i="29"/>
  <c r="C109" i="29"/>
  <c r="C196" i="9"/>
  <c r="C191" i="9"/>
  <c r="C201" i="9"/>
  <c r="C76" i="9"/>
  <c r="C165" i="9"/>
  <c r="C153" i="9"/>
  <c r="C282" i="29"/>
  <c r="C171" i="29"/>
  <c r="C143" i="29"/>
  <c r="C277" i="29"/>
  <c r="G29" i="38"/>
  <c r="G40" i="38"/>
  <c r="G31" i="38"/>
  <c r="C198" i="9"/>
  <c r="C3" i="9"/>
  <c r="C4" i="9"/>
  <c r="C5" i="9"/>
  <c r="C62" i="9"/>
  <c r="C6" i="9"/>
  <c r="C7" i="9"/>
  <c r="C8" i="9"/>
  <c r="C9" i="9"/>
  <c r="C10" i="9"/>
  <c r="C11" i="9"/>
  <c r="C87" i="9"/>
  <c r="C12" i="9"/>
  <c r="C13" i="9"/>
  <c r="C208" i="9"/>
  <c r="C14" i="9"/>
  <c r="C15" i="9"/>
  <c r="C16" i="9"/>
  <c r="C17" i="9"/>
  <c r="C170" i="9"/>
  <c r="C18" i="9"/>
  <c r="C19" i="9"/>
  <c r="C163" i="9"/>
  <c r="C20" i="9"/>
  <c r="C21" i="9"/>
  <c r="C66" i="9"/>
  <c r="C54" i="9"/>
  <c r="C22" i="9"/>
  <c r="C149" i="9"/>
  <c r="C150" i="9"/>
  <c r="C151" i="9"/>
  <c r="C152" i="9"/>
  <c r="C155" i="9"/>
  <c r="C34" i="9"/>
  <c r="C60" i="9"/>
  <c r="C31" i="9"/>
  <c r="C32" i="9"/>
  <c r="C44" i="9"/>
  <c r="C58" i="9"/>
  <c r="C28" i="9"/>
  <c r="C210" i="9"/>
  <c r="C41" i="9"/>
  <c r="C23" i="9"/>
  <c r="C24" i="9"/>
  <c r="C194" i="9"/>
  <c r="C30" i="9"/>
  <c r="C27" i="9"/>
  <c r="C72" i="9"/>
  <c r="C43" i="9"/>
  <c r="C40" i="9"/>
  <c r="C36" i="9"/>
  <c r="C39" i="9"/>
  <c r="C61" i="9"/>
  <c r="C344" i="9"/>
  <c r="C199" i="9"/>
  <c r="C69" i="9"/>
  <c r="C68" i="9"/>
  <c r="C182" i="9"/>
  <c r="C183" i="9"/>
  <c r="C184" i="9"/>
  <c r="C29" i="9"/>
  <c r="C171" i="9"/>
  <c r="C162" i="9"/>
  <c r="C185" i="9"/>
  <c r="C161" i="9"/>
  <c r="C48" i="9"/>
  <c r="C82" i="9"/>
  <c r="C33" i="9"/>
  <c r="C215" i="9"/>
  <c r="C181" i="9"/>
  <c r="C70" i="9"/>
  <c r="C168" i="9"/>
  <c r="C186" i="9"/>
  <c r="C80" i="9"/>
  <c r="C187" i="9"/>
  <c r="C78" i="9"/>
  <c r="C75" i="9"/>
  <c r="C74" i="9"/>
  <c r="C83" i="9"/>
  <c r="C64" i="9"/>
  <c r="C59" i="9"/>
  <c r="C73" i="9"/>
  <c r="C71" i="9"/>
  <c r="C38" i="9"/>
  <c r="C37" i="9"/>
  <c r="C52" i="9"/>
  <c r="C42" i="9"/>
  <c r="C55" i="9"/>
  <c r="C49" i="9"/>
  <c r="C50" i="9"/>
  <c r="C26" i="9"/>
  <c r="C192" i="9"/>
  <c r="C148" i="9"/>
  <c r="C35" i="9"/>
  <c r="C188" i="9"/>
  <c r="C195" i="9"/>
  <c r="C56" i="9"/>
  <c r="C46" i="9"/>
  <c r="C166" i="9"/>
  <c r="C190" i="9"/>
  <c r="C193" i="9"/>
  <c r="C63" i="9"/>
  <c r="C45" i="9"/>
  <c r="C67" i="9"/>
  <c r="C205" i="9"/>
  <c r="C65" i="9"/>
  <c r="C189" i="9"/>
  <c r="C216" i="9"/>
  <c r="C200" i="9"/>
  <c r="C25" i="9"/>
  <c r="C53" i="9"/>
  <c r="C197" i="9"/>
  <c r="G17" i="38"/>
  <c r="C174" i="29"/>
  <c r="C175" i="29"/>
  <c r="C170" i="29"/>
  <c r="C185" i="29"/>
  <c r="C179" i="29"/>
  <c r="C96" i="29"/>
  <c r="C91" i="29"/>
  <c r="C119" i="29"/>
  <c r="C147" i="29"/>
  <c r="C172" i="29"/>
  <c r="C117" i="29"/>
  <c r="C92" i="29"/>
  <c r="C222" i="29"/>
  <c r="C46" i="29"/>
  <c r="C47" i="29"/>
  <c r="C48" i="29"/>
  <c r="C49" i="29"/>
  <c r="C50" i="29"/>
  <c r="C51" i="29"/>
  <c r="C52" i="29"/>
  <c r="C22" i="29"/>
  <c r="C23" i="29"/>
  <c r="C53" i="29"/>
  <c r="C24" i="29"/>
  <c r="C25" i="29"/>
  <c r="C35" i="29"/>
  <c r="C26" i="29"/>
  <c r="C27" i="29"/>
  <c r="C28" i="29"/>
  <c r="C29" i="29"/>
  <c r="C30" i="29"/>
  <c r="C36" i="29"/>
  <c r="C89" i="29"/>
  <c r="C31" i="29"/>
  <c r="C32" i="29"/>
  <c r="C33" i="29"/>
  <c r="C34" i="29"/>
  <c r="C37" i="29"/>
  <c r="C38" i="29"/>
  <c r="C54" i="29"/>
  <c r="C55" i="29"/>
  <c r="C39" i="29"/>
  <c r="C56" i="29"/>
  <c r="C57" i="29"/>
  <c r="C40" i="29"/>
  <c r="C41" i="29"/>
  <c r="C97" i="29"/>
  <c r="C58" i="29"/>
  <c r="C42" i="29"/>
  <c r="C43" i="29"/>
  <c r="C59" i="29"/>
  <c r="C44" i="29"/>
  <c r="C60" i="29"/>
  <c r="C61" i="29"/>
  <c r="C62" i="29"/>
  <c r="C45" i="29"/>
  <c r="C63" i="29"/>
  <c r="C64" i="29"/>
  <c r="C267" i="29"/>
  <c r="C129" i="29"/>
  <c r="C238" i="29"/>
  <c r="C66" i="29"/>
  <c r="C181" i="29"/>
  <c r="C188" i="29"/>
  <c r="C187" i="29"/>
  <c r="C178" i="29"/>
  <c r="C186" i="29"/>
  <c r="C121" i="29"/>
  <c r="C104" i="29"/>
  <c r="C130" i="29"/>
  <c r="C131" i="29"/>
  <c r="C176" i="29"/>
  <c r="C173" i="29"/>
  <c r="C3" i="29"/>
  <c r="C220" i="29"/>
  <c r="C5" i="29"/>
  <c r="C6" i="29"/>
  <c r="C7" i="29"/>
  <c r="C8" i="29"/>
  <c r="C9" i="29"/>
  <c r="C10" i="29"/>
  <c r="C11" i="29"/>
  <c r="C12" i="29"/>
  <c r="C13" i="29"/>
  <c r="C14" i="29"/>
  <c r="C15" i="29"/>
  <c r="C16" i="29"/>
  <c r="C17" i="29"/>
  <c r="C18" i="29"/>
  <c r="C19" i="29"/>
  <c r="C20" i="29"/>
  <c r="C21" i="29"/>
  <c r="C71" i="29"/>
  <c r="C72" i="29"/>
  <c r="C73" i="29"/>
  <c r="C74" i="29"/>
  <c r="C75" i="29"/>
  <c r="C76" i="29"/>
  <c r="C70" i="29"/>
  <c r="C77" i="29"/>
  <c r="C78" i="29"/>
  <c r="C79" i="29"/>
  <c r="C67" i="29"/>
  <c r="C68" i="29"/>
  <c r="C80" i="29"/>
  <c r="C81" i="29"/>
  <c r="C65" i="29"/>
  <c r="C69" i="29"/>
  <c r="C82" i="29"/>
  <c r="C84" i="29"/>
  <c r="C85" i="29"/>
  <c r="C86" i="29"/>
  <c r="C87" i="29"/>
  <c r="C88" i="29"/>
  <c r="C203" i="29"/>
  <c r="C127" i="29"/>
  <c r="C128" i="29"/>
  <c r="C226" i="29"/>
  <c r="C100" i="29"/>
  <c r="C99" i="29"/>
  <c r="C122" i="29"/>
  <c r="C93" i="29"/>
  <c r="C211" i="29"/>
  <c r="C94" i="29"/>
  <c r="C114" i="29"/>
  <c r="C210" i="29"/>
  <c r="C107" i="29"/>
  <c r="C146" i="29"/>
  <c r="C105" i="29"/>
  <c r="C90" i="29"/>
  <c r="C145" i="29"/>
  <c r="C144" i="29"/>
  <c r="C101" i="29"/>
  <c r="C332" i="29"/>
  <c r="C95" i="29"/>
  <c r="C228" i="29"/>
  <c r="C102" i="29"/>
  <c r="C161" i="29"/>
  <c r="C162" i="29"/>
  <c r="C138" i="29"/>
  <c r="C315" i="29"/>
  <c r="C163" i="29"/>
  <c r="C137" i="29"/>
  <c r="C164" i="29"/>
  <c r="C165" i="29"/>
  <c r="C225" i="29"/>
  <c r="C166" i="29"/>
  <c r="C167" i="29"/>
  <c r="C168" i="29"/>
  <c r="C169" i="29"/>
  <c r="C98" i="29"/>
  <c r="C103" i="29"/>
  <c r="C111" i="29"/>
  <c r="C218" i="29"/>
  <c r="G56" i="38"/>
  <c r="E1" i="9"/>
  <c r="G36" i="38"/>
  <c r="G15" i="38"/>
  <c r="B1" i="42"/>
  <c r="G28" i="38"/>
  <c r="T4" i="30"/>
  <c r="R4" i="30"/>
  <c r="Q4" i="30"/>
  <c r="P4" i="30"/>
  <c r="O4" i="30"/>
  <c r="N4" i="30"/>
  <c r="M4" i="30"/>
  <c r="L4" i="30"/>
  <c r="K4" i="30"/>
  <c r="J4" i="30"/>
  <c r="I4" i="30"/>
  <c r="H4" i="30"/>
  <c r="G4" i="30"/>
  <c r="F4" i="30"/>
  <c r="B17" i="30" s="1"/>
  <c r="E4" i="30"/>
  <c r="A17" i="30" s="1"/>
  <c r="D4" i="30"/>
  <c r="H3" i="30"/>
  <c r="I3" i="30"/>
  <c r="E3" i="30"/>
  <c r="F3" i="30"/>
  <c r="B16" i="30" s="1"/>
  <c r="G3" i="30"/>
  <c r="J3" i="30"/>
  <c r="K3" i="30"/>
  <c r="L3" i="30"/>
  <c r="N3" i="30"/>
  <c r="O3" i="30"/>
  <c r="P3" i="30"/>
  <c r="T3" i="30"/>
  <c r="Q3" i="30"/>
  <c r="R3" i="30"/>
  <c r="G14" i="38"/>
  <c r="G9" i="38"/>
  <c r="G37" i="38"/>
  <c r="G19" i="38"/>
  <c r="G27" i="38"/>
  <c r="D3" i="30"/>
  <c r="B1" i="38"/>
  <c r="B6" i="30" s="1"/>
  <c r="G44" i="38"/>
  <c r="G13" i="38"/>
  <c r="G30" i="38"/>
  <c r="G46" i="38"/>
  <c r="G39" i="38"/>
  <c r="G26" i="38"/>
  <c r="G35" i="38"/>
  <c r="G22" i="38"/>
  <c r="G10" i="38"/>
  <c r="G12" i="38"/>
  <c r="G7" i="38"/>
  <c r="G34" i="38"/>
  <c r="G45" i="38"/>
  <c r="G33" i="38"/>
  <c r="G3" i="38"/>
  <c r="G4" i="38"/>
  <c r="G5" i="38"/>
  <c r="G11" i="38"/>
  <c r="A1" i="5"/>
  <c r="G25" i="38"/>
  <c r="G43" i="38"/>
  <c r="G18" i="38"/>
  <c r="G20" i="38"/>
  <c r="G6" i="38"/>
  <c r="G8" i="38"/>
  <c r="E1" i="29"/>
  <c r="B4" i="30" s="1"/>
  <c r="E1" i="5"/>
  <c r="B3" i="30" s="1"/>
  <c r="M3" i="30"/>
  <c r="B2" i="30"/>
  <c r="B8" i="30" s="1"/>
  <c r="F7" i="6"/>
  <c r="N7" i="6"/>
  <c r="B7" i="6"/>
  <c r="L7" i="6"/>
  <c r="H7" i="6"/>
  <c r="J7" i="6"/>
  <c r="D7" i="6"/>
  <c r="D8" i="30" l="1"/>
  <c r="G8" i="30"/>
  <c r="H8" i="30"/>
  <c r="I8" i="30"/>
  <c r="J8" i="30"/>
  <c r="M8" i="30"/>
  <c r="P8" i="30"/>
  <c r="Q8" i="30"/>
  <c r="R8" i="30"/>
  <c r="K8" i="30"/>
  <c r="L8" i="30"/>
  <c r="N8" i="30"/>
  <c r="O8" i="30"/>
  <c r="T8" i="30"/>
  <c r="A18" i="30"/>
  <c r="E8" i="30"/>
  <c r="B18" i="30"/>
  <c r="F8" i="30"/>
  <c r="A16" i="30"/>
  <c r="A20" i="30"/>
  <c r="B20" i="30"/>
  <c r="C2" i="30"/>
  <c r="C3" i="30"/>
  <c r="B10" i="30" l="1"/>
  <c r="C4" i="30"/>
  <c r="C8"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dos-santos.stephane@ar-technologie.com</author>
    <author>tc={8CFFC04B-6AA4-489A-B035-9453DED94C32}</author>
    <author>tc={7EC02299-3FE8-474C-89A1-256536A5F4AA}</author>
    <author>tc={7966DFF5-78A3-4DFC-A49D-DC66A4F33566}</author>
    <author>Sondes Thouir</author>
    <author>stéphane dos-santos</author>
    <author>tc={1118CCF4-E50C-4A50-BF7E-1A0D4BF363E9}</author>
    <author>tc={12374F97-1D86-4D41-9D05-EA54DAF8FC0F}</author>
    <author>Afek Eltaeb</author>
    <author>louay Tahri</author>
    <author>Lansdorff cynthia</author>
    <author>tc={CA2B9E42-68A4-4825-93EE-6A5613C8D6D3}</author>
    <author>tc={EB93F4FD-670B-45D1-9C0C-6E52EC053631}</author>
    <author>tc={36B145B7-9D2B-4EC3-9141-9B37F6E55A92}</author>
    <author>tc={7D85DCA0-0718-4DA0-B621-1ED4E679D39B}</author>
    <author>tc={98BC4B45-F1A8-4CB5-B54E-1069F2222CF3}</author>
    <author>tc={D6AD8C2C-E307-41F1-A6F1-D88DCEB48F6F}</author>
    <author>tc={B5EAE09E-2A2A-4BBB-BEF5-8C1963425FC4}</author>
  </authors>
  <commentList>
    <comment ref="E5" authorId="0" shapeId="0" xr:uid="{02D26D5E-E9C4-4038-B8C2-5D3F095EC2D6}">
      <text>
        <r>
          <rPr>
            <sz val="11"/>
            <color theme="1"/>
            <rFont val="Aptos Narrow"/>
            <family val="2"/>
            <scheme val="minor"/>
          </rPr>
          <t>dos-santos.stephane@ar-technologie.com:
LIEE A LA ROD500252</t>
        </r>
      </text>
    </comment>
    <comment ref="E6" authorId="0" shapeId="0" xr:uid="{71446EC4-7815-423D-98EC-35EF5CF4D2E5}">
      <text>
        <r>
          <rPr>
            <sz val="11"/>
            <color theme="1"/>
            <rFont val="Aptos Narrow"/>
            <family val="2"/>
            <scheme val="minor"/>
          </rPr>
          <t>dos-santos.stephane@ar-technologie.com:
liée à la ROD500031</t>
        </r>
      </text>
    </comment>
    <comment ref="E7" authorId="0" shapeId="0" xr:uid="{CCB8A675-B595-4E3A-9B04-FA7CCF4002F8}">
      <text>
        <r>
          <rPr>
            <sz val="11"/>
            <color theme="1"/>
            <rFont val="Aptos Narrow"/>
            <family val="2"/>
            <scheme val="minor"/>
          </rPr>
          <t>dos-santos.stephane@ar-technologie.com:
Liée ROD500730</t>
        </r>
      </text>
    </comment>
    <comment ref="E8" authorId="0" shapeId="0" xr:uid="{1F36B88D-DA12-4F3A-9054-79D973E03C41}">
      <text>
        <r>
          <rPr>
            <sz val="11"/>
            <color theme="1"/>
            <rFont val="Aptos Narrow"/>
            <family val="2"/>
            <scheme val="minor"/>
          </rPr>
          <t>dos-santos.stephane@ar-technologie.com:
LIEE ROD500717</t>
        </r>
      </text>
    </comment>
    <comment ref="E10" authorId="1" shapeId="0" xr:uid="{8CFFC04B-6AA4-489A-B035-9453DED94C32}">
      <text>
        <t>[Threaded comment]
Your version of Excel allows you to read this threaded comment; however, any edits to it will get removed if the file is opened in a newer version of Excel. Learn more: https://go.microsoft.com/fwlink/?linkid=870924
Comment:
    LIEE A LA ROD500349</t>
      </text>
    </comment>
    <comment ref="E11" authorId="0" shapeId="0" xr:uid="{A74407D3-609D-408C-B0CD-7FBCA1F0C058}">
      <text>
        <r>
          <rPr>
            <sz val="11"/>
            <color theme="1"/>
            <rFont val="Aptos Narrow"/>
            <family val="2"/>
            <scheme val="minor"/>
          </rPr>
          <t>dos-santos.stephane@ar-technologie.com:
LIEE A LA ROD500597</t>
        </r>
      </text>
    </comment>
    <comment ref="E13" authorId="2" shapeId="0" xr:uid="{7EC02299-3FE8-474C-89A1-256536A5F4AA}">
      <text>
        <t xml:space="preserve">[Threaded comment]
Your version of Excel allows you to read this threaded comment; however, any edits to it will get removed if the file is opened in a newer version of Excel. Learn more: https://go.microsoft.com/fwlink/?linkid=870924
Comment:
    LIEE A LA ROD500499
</t>
      </text>
    </comment>
    <comment ref="E16" authorId="3" shapeId="0" xr:uid="{7966DFF5-78A3-4DFC-A49D-DC66A4F33566}">
      <text>
        <t>[Threaded comment]
Your version of Excel allows you to read this threaded comment; however, any edits to it will get removed if the file is opened in a newer version of Excel. Learn more: https://go.microsoft.com/fwlink/?linkid=870924
Comment:
    LIEE A LA ROD500543</t>
      </text>
    </comment>
    <comment ref="E29" authorId="0" shapeId="0" xr:uid="{522CCF0D-4C46-4FD4-84BC-1F94C8668D4D}">
      <text>
        <r>
          <rPr>
            <sz val="11"/>
            <color theme="1"/>
            <rFont val="Aptos Narrow"/>
            <family val="2"/>
            <scheme val="minor"/>
          </rPr>
          <t xml:space="preserve">dos-santos.stephane@ar-technologie.com:
Liée ROD500376 </t>
        </r>
      </text>
    </comment>
    <comment ref="E76" authorId="4" shapeId="0" xr:uid="{832E395E-2ABC-4C57-ABAD-B522D1A8D9D9}">
      <text>
        <r>
          <rPr>
            <sz val="11"/>
            <color theme="1"/>
            <rFont val="Aptos Narrow"/>
            <family val="2"/>
            <scheme val="minor"/>
          </rPr>
          <t>Sondes Thouir:
iée à ROD500610</t>
        </r>
      </text>
    </comment>
    <comment ref="E83" authorId="5" shapeId="0" xr:uid="{8A8206C2-140B-4E3A-BC2C-09C215B29ABB}">
      <text>
        <r>
          <rPr>
            <sz val="11"/>
            <color theme="1"/>
            <rFont val="Aptos Narrow"/>
            <family val="2"/>
            <scheme val="minor"/>
          </rPr>
          <t>lI2E ROD401619</t>
        </r>
      </text>
    </comment>
    <comment ref="E150" authorId="6" shapeId="0" xr:uid="{1118CCF4-E50C-4A50-BF7E-1A0D4BF363E9}">
      <text>
        <t>[Threaded comment]
Your version of Excel allows you to read this threaded comment; however, any edits to it will get removed if the file is opened in a newer version of Excel. Learn more: https://go.microsoft.com/fwlink/?linkid=870924
Comment:
    LIEE A LA ROD500621</t>
      </text>
    </comment>
    <comment ref="E232" authorId="7" shapeId="0" xr:uid="{12374F97-1D86-4D41-9D05-EA54DAF8FC0F}">
      <text>
        <t>[Threaded comment]
Your version of Excel allows you to read this threaded comment; however, any edits to it will get removed if the file is opened in a newer version of Excel. Learn more: https://go.microsoft.com/fwlink/?linkid=870924
Comment:
    liée au MEN500238</t>
      </text>
    </comment>
    <comment ref="E238" authorId="8" shapeId="0" xr:uid="{184A56DA-F671-417A-96E2-C45DE72C4D7F}">
      <text>
        <r>
          <rPr>
            <sz val="11"/>
            <color theme="1"/>
            <rFont val="Aptos Narrow"/>
            <family val="2"/>
            <scheme val="minor"/>
          </rPr>
          <t>Afek Eltaeb:
MEN600011</t>
        </r>
      </text>
    </comment>
    <comment ref="E239" authorId="9" shapeId="0" xr:uid="{A9113250-1B99-4BBB-918C-DFD9C20B998D}">
      <text>
        <r>
          <rPr>
            <sz val="11"/>
            <color theme="1"/>
            <rFont val="Aptos Narrow"/>
            <family val="2"/>
            <scheme val="minor"/>
          </rPr>
          <t xml:space="preserve">louay Tahri:
lié MEN600007
</t>
        </r>
      </text>
    </comment>
    <comment ref="E254" authorId="10" shapeId="0" xr:uid="{090DD381-8D7F-40E1-A9E8-494071D6014A}">
      <text>
        <r>
          <rPr>
            <sz val="11"/>
            <color theme="1"/>
            <rFont val="Aptos Narrow"/>
            <family val="2"/>
            <scheme val="minor"/>
          </rPr>
          <t>Lansdorff cynthia:
Travaux S05</t>
        </r>
      </text>
    </comment>
    <comment ref="E259" authorId="5" shapeId="0" xr:uid="{43BF35F9-A7DA-47AE-9F99-CFE7F55D8FDD}">
      <text>
        <r>
          <rPr>
            <sz val="11"/>
            <color theme="1"/>
            <rFont val="Aptos Narrow"/>
            <family val="2"/>
            <scheme val="minor"/>
          </rPr>
          <t xml:space="preserve">stéphane dos-santos:
Liée à la ROD500708
</t>
        </r>
      </text>
    </comment>
    <comment ref="E260" authorId="5" shapeId="0" xr:uid="{C646CBE4-6EA5-4D3B-973E-9BC8ACE9F53E}">
      <text>
        <r>
          <rPr>
            <sz val="11"/>
            <color theme="1"/>
            <rFont val="Aptos Narrow"/>
            <family val="2"/>
            <scheme val="minor"/>
          </rPr>
          <t xml:space="preserve">stéphane dos-santos:
Liée à la ROD500638
</t>
        </r>
      </text>
    </comment>
    <comment ref="E285" authorId="11" shapeId="0" xr:uid="{CA2B9E42-68A4-4825-93EE-6A5613C8D6D3}">
      <text>
        <t>[Threaded comment]
Your version of Excel allows you to read this threaded comment; however, any edits to it will get removed if the file is opened in a newer version of Excel. Learn more: https://go.microsoft.com/fwlink/?linkid=870924
Comment:
    LIEE ROD500681</t>
      </text>
    </comment>
    <comment ref="E302" authorId="9" shapeId="0" xr:uid="{F86E4323-C969-433A-ADC2-8944FE6B2496}">
      <text>
        <r>
          <rPr>
            <sz val="11"/>
            <color theme="1"/>
            <rFont val="Aptos Narrow"/>
            <family val="2"/>
            <scheme val="minor"/>
          </rPr>
          <t>louay Tahri:
LIÉ MEN500719</t>
        </r>
      </text>
    </comment>
    <comment ref="E311" authorId="12" shapeId="0" xr:uid="{EB93F4FD-670B-45D1-9C0C-6E52EC053631}">
      <text>
        <t>[Threaded comment]
Your version of Excel allows you to read this threaded comment; however, any edits to it will get removed if the file is opened in a newer version of Excel. Learn more: https://go.microsoft.com/fwlink/?linkid=870924
Comment:
    RIP suite MEN300895</t>
      </text>
    </comment>
    <comment ref="E312" authorId="13" shapeId="0" xr:uid="{36B145B7-9D2B-4EC3-9141-9B37F6E55A92}">
      <text>
        <t xml:space="preserve">[Threaded comment]
Your version of Excel allows you to read this threaded comment; however, any edits to it will get removed if the file is opened in a newer version of Excel. Learn more: https://go.microsoft.com/fwlink/?linkid=870924
Comment:
    cablage suite MEN300715 </t>
      </text>
    </comment>
    <comment ref="E313" authorId="14" shapeId="0" xr:uid="{7D85DCA0-0718-4DA0-B621-1ED4E679D39B}">
      <text>
        <t>[Threaded comment]
Your version of Excel allows you to read this threaded comment; however, any edits to it will get removed if the file is opened in a newer version of Excel. Learn more: https://go.microsoft.com/fwlink/?linkid=870924
Comment:
    suite MEN400760</t>
      </text>
    </comment>
    <comment ref="E329" authorId="9" shapeId="0" xr:uid="{3F5A9EAF-E497-4A0C-B152-517237036A6D}">
      <text>
        <r>
          <rPr>
            <sz val="11"/>
            <color theme="1"/>
            <rFont val="Aptos Narrow"/>
            <family val="2"/>
            <scheme val="minor"/>
          </rPr>
          <t>louay Tahri:
Lié MEN500714</t>
        </r>
      </text>
    </comment>
    <comment ref="E331" authorId="4" shapeId="0" xr:uid="{E2A436A8-DFF7-42F7-9F53-4276305E4C14}">
      <text>
        <r>
          <rPr>
            <sz val="11"/>
            <color theme="1"/>
            <rFont val="Aptos Narrow"/>
            <family val="2"/>
            <scheme val="minor"/>
          </rPr>
          <t xml:space="preserve">Sondes Thouir:
Liée MEN500044 
</t>
        </r>
      </text>
    </comment>
    <comment ref="E332" authorId="4" shapeId="0" xr:uid="{6B760DAC-05EE-46EE-B9C1-B836C38308EB}">
      <text>
        <r>
          <rPr>
            <sz val="11"/>
            <color theme="1"/>
            <rFont val="Aptos Narrow"/>
            <family val="2"/>
            <scheme val="minor"/>
          </rPr>
          <t>Sondes Thouir:
le dossier localiser le PAR:MEN500671</t>
        </r>
      </text>
    </comment>
    <comment ref="E349" authorId="15" shapeId="0" xr:uid="{98BC4B45-F1A8-4CB5-B54E-1069F2222CF3}">
      <text>
        <t>[Threaded comment]
Your version of Excel allows you to read this threaded comment; however, any edits to it will get removed if the file is opened in a newer version of Excel. Learn more: https://go.microsoft.com/fwlink/?linkid=870924
Comment:
    Liée ROD501608</t>
      </text>
    </comment>
    <comment ref="E367" authorId="9" shapeId="0" xr:uid="{D137ED6A-1EBB-4BE9-BAF7-98A9C44A891B}">
      <text>
        <r>
          <rPr>
            <sz val="11"/>
            <color theme="1"/>
            <rFont val="Aptos Narrow"/>
            <family val="2"/>
            <scheme val="minor"/>
          </rPr>
          <t>louay Tahri:
LIÉ MEN500435</t>
        </r>
      </text>
    </comment>
    <comment ref="E371" authorId="4" shapeId="0" xr:uid="{035EA08C-8D3D-4F91-8BFC-50D7D355F043}">
      <text>
        <r>
          <rPr>
            <sz val="11"/>
            <color theme="1"/>
            <rFont val="Aptos Narrow"/>
            <family val="2"/>
            <scheme val="minor"/>
          </rPr>
          <t xml:space="preserve">Sondes Thouir:
tirage du cable : iée à ROD502029 </t>
        </r>
      </text>
    </comment>
    <comment ref="E372" authorId="9" shapeId="0" xr:uid="{7E9E8180-F1A4-4EC4-9DF7-C6FCAF2E030A}">
      <text>
        <r>
          <rPr>
            <sz val="11"/>
            <color theme="1"/>
            <rFont val="Aptos Narrow"/>
            <family val="2"/>
            <scheme val="minor"/>
          </rPr>
          <t xml:space="preserve">louay Tahri:LIÉ MEN500714
</t>
        </r>
      </text>
    </comment>
    <comment ref="E382" authorId="9" shapeId="0" xr:uid="{55EBC29E-2AAB-45D4-8391-7DFD930622CE}">
      <text>
        <r>
          <rPr>
            <sz val="11"/>
            <color theme="1"/>
            <rFont val="Aptos Narrow"/>
            <family val="2"/>
            <scheme val="minor"/>
          </rPr>
          <t>louay Tahri:
LIÉ MEN400552</t>
        </r>
      </text>
    </comment>
    <comment ref="E395" authorId="0" shapeId="0" xr:uid="{7D72CFCE-BD32-46F0-9C6A-F18D2F0C12BE}">
      <text>
        <r>
          <rPr>
            <sz val="11"/>
            <color theme="1"/>
            <rFont val="Aptos Narrow"/>
            <family val="2"/>
            <scheme val="minor"/>
          </rPr>
          <t>dos-santos.stephane@ar-technologie.com:
lié ROD500565</t>
        </r>
      </text>
    </comment>
    <comment ref="E399" authorId="4" shapeId="0" xr:uid="{71A218FC-9146-42B6-A459-48081EBE946D}">
      <text>
        <r>
          <rPr>
            <sz val="11"/>
            <color theme="1"/>
            <rFont val="Aptos Narrow"/>
            <family val="2"/>
            <scheme val="minor"/>
          </rPr>
          <t>Sondes Thouir:
liée à ROD600147</t>
        </r>
      </text>
    </comment>
    <comment ref="E402" authorId="4" shapeId="0" xr:uid="{6925071C-9A2D-41DA-9A31-AEB79C058D2A}">
      <text>
        <r>
          <rPr>
            <sz val="11"/>
            <color theme="1"/>
            <rFont val="Aptos Narrow"/>
            <family val="2"/>
            <scheme val="minor"/>
          </rPr>
          <t>Sondes Thouir:
liée à MEN600021</t>
        </r>
      </text>
    </comment>
    <comment ref="E403" authorId="16" shapeId="0" xr:uid="{D6AD8C2C-E307-41F1-A6F1-D88DCEB48F6F}">
      <text>
        <t xml:space="preserve">[Threaded comment]
Your version of Excel allows you to read this threaded comment; however, any edits to it will get removed if the file is opened in a newer version of Excel. Learn more: https://go.microsoft.com/fwlink/?linkid=870924
Comment:
    cablage suite MEN300715 </t>
      </text>
    </comment>
    <comment ref="E416" authorId="17" shapeId="0" xr:uid="{B5EAE09E-2A2A-4BBB-BEF5-8C1963425FC4}">
      <text>
        <t>[Threaded comment]
Your version of Excel allows you to read this threaded comment; however, any edits to it will get removed if the file is opened in a newer version of Excel. Learn more: https://go.microsoft.com/fwlink/?linkid=870924
Comment:
    CABLAGE suite MEN300895</t>
      </text>
    </comment>
    <comment ref="E420" authorId="4" shapeId="0" xr:uid="{45CA668F-5E87-48CF-BF29-AFF581FDC7B1}">
      <text>
        <r>
          <rPr>
            <sz val="11"/>
            <color theme="1"/>
            <rFont val="Aptos Narrow"/>
            <family val="2"/>
            <scheme val="minor"/>
          </rPr>
          <t>Sondes Thouir:
iée à ROD600260</t>
        </r>
      </text>
    </comment>
    <comment ref="E421" authorId="4" shapeId="0" xr:uid="{734F02E0-1477-4E3E-9FA6-0BD6DB1D7BD2}">
      <text>
        <r>
          <rPr>
            <sz val="11"/>
            <color theme="1"/>
            <rFont val="Aptos Narrow"/>
            <family val="2"/>
            <scheme val="minor"/>
          </rPr>
          <t>Sondes Thouir:
iée à ROD600310</t>
        </r>
      </text>
    </comment>
    <comment ref="E422" authorId="4" shapeId="0" xr:uid="{E3B2A8F1-BDBC-469B-A375-1900A488631C}">
      <text>
        <r>
          <rPr>
            <sz val="11"/>
            <color theme="1"/>
            <rFont val="Aptos Narrow"/>
            <family val="2"/>
            <scheme val="minor"/>
          </rPr>
          <t xml:space="preserve">Sondes Thouir:
iée à ROD600102(PAR)et ROD600169
</t>
        </r>
      </text>
    </comment>
    <comment ref="E423" authorId="4" shapeId="0" xr:uid="{530BBE56-37D0-47D3-ABD5-C677A7996013}">
      <text>
        <r>
          <rPr>
            <sz val="11"/>
            <color theme="1"/>
            <rFont val="Aptos Narrow"/>
            <family val="2"/>
            <scheme val="minor"/>
          </rPr>
          <t>Sondes Thouir:
iée à  ROD600259</t>
        </r>
      </text>
    </comment>
    <comment ref="E426" authorId="4" shapeId="0" xr:uid="{8F61DA16-C6F1-4A56-B6F2-DE8CD81CAD22}">
      <text>
        <r>
          <rPr>
            <sz val="11"/>
            <color theme="1"/>
            <rFont val="Aptos Narrow"/>
            <family val="2"/>
            <scheme val="minor"/>
          </rPr>
          <t>Sondes Thouir:
liée à mixte pro :MEN600020</t>
        </r>
      </text>
    </comment>
    <comment ref="E439" authorId="4" shapeId="0" xr:uid="{D8FE759E-2DC5-4112-8123-609FE1B1F7CF}">
      <text>
        <r>
          <rPr>
            <sz val="11"/>
            <color theme="1"/>
            <rFont val="Aptos Narrow"/>
            <family val="2"/>
            <scheme val="minor"/>
          </rPr>
          <t>Sondes Thouir:
liée à MEN500028</t>
        </r>
      </text>
    </comment>
    <comment ref="E443" authorId="4" shapeId="0" xr:uid="{27AA2BC9-30DF-458E-B6CE-501D1EF2077D}">
      <text>
        <r>
          <rPr>
            <sz val="11"/>
            <color theme="1"/>
            <rFont val="Aptos Narrow"/>
            <family val="2"/>
            <scheme val="minor"/>
          </rPr>
          <t xml:space="preserve">Sondes Thouir:
iée à MEN600058
</t>
        </r>
      </text>
    </comment>
    <comment ref="E444" authorId="4" shapeId="0" xr:uid="{F0B2EC29-8E48-49E6-80E9-F6531ABB2328}">
      <text>
        <r>
          <rPr>
            <sz val="11"/>
            <color theme="1"/>
            <rFont val="Aptos Narrow"/>
            <family val="2"/>
            <scheme val="minor"/>
          </rPr>
          <t>Sondes Thouir:
iée à MEN600058</t>
        </r>
      </text>
    </comment>
    <comment ref="E445" authorId="4" shapeId="0" xr:uid="{E823FD50-D294-4C95-83BA-394275C97262}">
      <text>
        <r>
          <rPr>
            <sz val="11"/>
            <color theme="1"/>
            <rFont val="Aptos Narrow"/>
            <family val="2"/>
            <scheme val="minor"/>
          </rPr>
          <t>Sondes Thouir:
liée à MEN600052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Lansdorff cynthia</author>
    <author>Mohamed khedher</author>
    <author>tc={B64D96CB-26D5-48C7-820B-B3EAE920B09E}</author>
    <author>tc={781ACC04-421D-4DBD-B8F9-1207B458FFC4}</author>
  </authors>
  <commentList>
    <comment ref="E90" authorId="0" shapeId="0" xr:uid="{8897788F-B13B-4F84-8195-394FFE180D83}">
      <text>
        <r>
          <rPr>
            <sz val="11"/>
            <color theme="1"/>
            <rFont val="Aptos Narrow"/>
            <family val="2"/>
            <scheme val="minor"/>
          </rPr>
          <t>Lansdorff cynthia:
ATT ERF PAYER SUR LA PPD NOVEMBRE</t>
        </r>
      </text>
    </comment>
    <comment ref="L154" authorId="1" shapeId="0" xr:uid="{2323958A-8F29-4E54-9E45-7F534FC58CA5}">
      <text>
        <r>
          <rPr>
            <sz val="11"/>
            <color theme="1"/>
            <rFont val="Aptos Narrow"/>
            <family val="2"/>
            <scheme val="minor"/>
          </rPr>
          <t>Mohamed khedher:
relancé le 07/01</t>
        </r>
      </text>
    </comment>
    <comment ref="E172" authorId="2" shapeId="0" xr:uid="{B64D96CB-26D5-48C7-820B-B3EAE920B09E}">
      <text>
        <t>[Threaded comment]
Your version of Excel allows you to read this threaded comment; however, any edits to it will get removed if the file is opened in a newer version of Excel. Learn more: https://go.microsoft.com/fwlink/?linkid=870924
Comment:
    Att retour sur autre projet pour process devis</t>
      </text>
    </comment>
    <comment ref="L189" authorId="1" shapeId="0" xr:uid="{2B72F41A-1143-43AE-8193-8ED35205C608}">
      <text>
        <r>
          <rPr>
            <sz val="11"/>
            <color theme="1"/>
            <rFont val="Aptos Narrow"/>
            <family val="2"/>
            <scheme val="minor"/>
          </rPr>
          <t>Mohamed khedher:
105m de GC à faire charge client, si solution reprise aérienne est refusée.</t>
        </r>
      </text>
    </comment>
    <comment ref="L205" authorId="1" shapeId="0" xr:uid="{05E5E867-CD37-4778-A930-5A4664A20FAA}">
      <text>
        <r>
          <rPr>
            <sz val="11"/>
            <color theme="1"/>
            <rFont val="Aptos Narrow"/>
            <family val="2"/>
            <scheme val="minor"/>
          </rPr>
          <t/>
        </r>
      </text>
    </comment>
    <comment ref="L208" authorId="1" shapeId="0" xr:uid="{E71D56A2-6503-497B-82F9-2A9FB35BE2E7}">
      <text>
        <r>
          <rPr>
            <sz val="11"/>
            <color theme="1"/>
            <rFont val="Aptos Narrow"/>
            <family val="2"/>
            <scheme val="minor"/>
          </rPr>
          <t>Mohamed khedher:
à recontacter le 25/12</t>
        </r>
      </text>
    </comment>
    <comment ref="E235" authorId="3" shapeId="0" xr:uid="{781ACC04-421D-4DBD-B8F9-1207B458FFC4}">
      <text>
        <t>[Threaded comment]
Your version of Excel allows you to read this threaded comment; however, any edits to it will get removed if the file is opened in a newer version of Excel. Learn more: https://go.microsoft.com/fwlink/?linkid=870924
Comment:
    Liée au LOR501066</t>
      </text>
    </comment>
    <comment ref="K259" authorId="1" shapeId="0" xr:uid="{C12DDD44-67FB-415D-81F5-A91BB20C72AE}">
      <text>
        <r>
          <rPr>
            <sz val="11"/>
            <color theme="1"/>
            <rFont val="Aptos Narrow"/>
            <family val="2"/>
            <scheme val="minor"/>
          </rPr>
          <t>Mohamed khedher:
à recontacter le 25/12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Lansdorff.cynthia</author>
    <author>Lansdorff cynthia</author>
    <author>louay Tahri</author>
    <author>Afek Eltaeb</author>
    <author>tc={4F3C1876-7958-4CDA-8070-B7904B44B09A}</author>
  </authors>
  <commentList>
    <comment ref="E3" authorId="0" shapeId="0" xr:uid="{1D99CB5C-CAC9-491B-80DC-3BA1B77F1FA3}">
      <text>
        <r>
          <rPr>
            <sz val="11"/>
            <color theme="1"/>
            <rFont val="Aptos Narrow"/>
            <family val="2"/>
            <scheme val="minor"/>
          </rPr>
          <t xml:space="preserve">Lansdorff.cynthia:
Manque retour travaux GC 
</t>
        </r>
      </text>
    </comment>
    <comment ref="E4" authorId="1" shapeId="0" xr:uid="{C0957F48-76E0-42E7-B801-38E6CB89777A}">
      <text>
        <r>
          <rPr>
            <sz val="11"/>
            <color theme="1"/>
            <rFont val="Aptos Narrow"/>
            <family val="2"/>
            <scheme val="minor"/>
          </rPr>
          <t xml:space="preserve">Lansdorff cynthia:
voir pour la sous profondeur ? </t>
        </r>
      </text>
    </comment>
    <comment ref="E5" authorId="0" shapeId="0" xr:uid="{6389A86A-F048-4ED5-B234-513C03F76A40}">
      <text>
        <r>
          <rPr>
            <sz val="11"/>
            <color theme="1"/>
            <rFont val="Aptos Narrow"/>
            <family val="2"/>
            <scheme val="minor"/>
          </rPr>
          <t>Lansdorff.cynthia:
ACF011 manque attachement</t>
        </r>
      </text>
    </comment>
    <comment ref="E6" authorId="0" shapeId="0" xr:uid="{39AE231B-BD05-4F26-A277-05CB94C86A2D}">
      <text>
        <r>
          <rPr>
            <sz val="11"/>
            <color theme="1"/>
            <rFont val="Aptos Narrow"/>
            <family val="2"/>
            <scheme val="minor"/>
          </rPr>
          <t xml:space="preserve">Lansdorff.cynthia:
LINE  à clôturer </t>
        </r>
      </text>
    </comment>
    <comment ref="E7" authorId="1" shapeId="0" xr:uid="{15E0CC14-5F41-4ACE-8C0E-D7FF3116AB6E}">
      <text>
        <r>
          <rPr>
            <sz val="11"/>
            <color theme="1"/>
            <rFont val="Aptos Narrow"/>
            <family val="2"/>
            <scheme val="minor"/>
          </rPr>
          <t>Lansdorff cynthia:
Manque photo pour valider le CRVT</t>
        </r>
      </text>
    </comment>
    <comment ref="E27" authorId="2" shapeId="0" xr:uid="{C31CAF8C-B539-481D-A0E6-FFE092317817}">
      <text>
        <r>
          <rPr>
            <sz val="11"/>
            <color theme="1"/>
            <rFont val="Aptos Narrow"/>
            <family val="2"/>
            <scheme val="minor"/>
          </rPr>
          <t>louay Tahri:
Lié à PAU301245</t>
        </r>
      </text>
    </comment>
    <comment ref="E29" authorId="2" shapeId="0" xr:uid="{2984F8C4-4CB1-4980-957E-BF476CC641A5}">
      <text>
        <r>
          <rPr>
            <sz val="11"/>
            <color theme="1"/>
            <rFont val="Aptos Narrow"/>
            <family val="2"/>
            <scheme val="minor"/>
          </rPr>
          <t xml:space="preserve">louay Tahri:
Liée à ARC500855
</t>
        </r>
      </text>
    </comment>
    <comment ref="E35" authorId="3" shapeId="0" xr:uid="{DF301537-89FD-4EEC-8B0C-D439D33C2FEE}">
      <text>
        <r>
          <rPr>
            <sz val="11"/>
            <color theme="1"/>
            <rFont val="Aptos Narrow"/>
            <family val="2"/>
            <scheme val="minor"/>
          </rPr>
          <t>Afek Eltaeb:
ARC500862</t>
        </r>
      </text>
    </comment>
    <comment ref="E43" authorId="2" shapeId="0" xr:uid="{262E4EC8-64CB-4A72-84F1-A403D9C01266}">
      <text>
        <r>
          <rPr>
            <sz val="11"/>
            <color theme="1"/>
            <rFont val="Aptos Narrow"/>
            <family val="2"/>
            <scheme val="minor"/>
          </rPr>
          <t xml:space="preserve">louay TahrI
AFEK CITER LE PB INITIAL DE IMB AVANT DE VOIR AUTRE PB STP
</t>
        </r>
      </text>
    </comment>
    <comment ref="E51" authorId="1" shapeId="0" xr:uid="{DAF109AD-00E0-452D-881C-20CC24C487BC}">
      <text>
        <r>
          <rPr>
            <sz val="11"/>
            <color theme="1"/>
            <rFont val="Aptos Narrow"/>
            <family val="2"/>
            <scheme val="minor"/>
          </rPr>
          <t xml:space="preserve">Lansdorff cynthia:
relance le 8/01
</t>
        </r>
      </text>
    </comment>
    <comment ref="E52" authorId="2" shapeId="0" xr:uid="{E607610B-CD35-4788-9C06-B5CEE69B29B8}">
      <text>
        <r>
          <rPr>
            <sz val="11"/>
            <color theme="1"/>
            <rFont val="Aptos Narrow"/>
            <family val="2"/>
            <scheme val="minor"/>
          </rPr>
          <t xml:space="preserve">louay Tahri:
ATT retour client 
</t>
        </r>
      </text>
    </comment>
    <comment ref="E54" authorId="1" shapeId="0" xr:uid="{B03072EB-BF69-4BEC-AB28-B628850F444B}">
      <text>
        <r>
          <rPr>
            <sz val="11"/>
            <color theme="1"/>
            <rFont val="Aptos Narrow"/>
            <family val="2"/>
            <scheme val="minor"/>
          </rPr>
          <t xml:space="preserve">Lansdorff cynthia:
Relancer le 6/01
</t>
        </r>
      </text>
    </comment>
    <comment ref="E60" authorId="1" shapeId="0" xr:uid="{A977A2C9-64B3-4E10-84EB-0834CAE23957}">
      <text>
        <r>
          <rPr>
            <sz val="11"/>
            <color theme="1"/>
            <rFont val="Aptos Narrow"/>
            <family val="2"/>
            <scheme val="minor"/>
          </rPr>
          <t xml:space="preserve">Lansdorff cynthia:
Mail fait le 06/01
</t>
        </r>
      </text>
    </comment>
    <comment ref="E63" authorId="1" shapeId="0" xr:uid="{0C360BB5-3B3E-4CE6-9CA2-2AB14B171F5F}">
      <text>
        <r>
          <rPr>
            <sz val="11"/>
            <color theme="1"/>
            <rFont val="Aptos Narrow"/>
            <family val="2"/>
            <scheme val="minor"/>
          </rPr>
          <t>Lansdorff cynthia:
Voir avec les clients car GC a eux de le faire</t>
        </r>
      </text>
    </comment>
    <comment ref="E69" authorId="1" shapeId="0" xr:uid="{B966B9FA-AC91-49C2-A6B7-9AB435675C16}">
      <text>
        <r>
          <rPr>
            <sz val="11"/>
            <color theme="1"/>
            <rFont val="Aptos Narrow"/>
            <family val="2"/>
            <scheme val="minor"/>
          </rPr>
          <t>Lansdorff cynthia:
Dossier liée à la ARC500768</t>
        </r>
      </text>
    </comment>
    <comment ref="E76" authorId="1" shapeId="0" xr:uid="{FCFC34D8-89CC-4894-88C9-F1671515B4AB}">
      <text>
        <r>
          <rPr>
            <sz val="11"/>
            <color theme="1"/>
            <rFont val="Aptos Narrow"/>
            <family val="2"/>
            <scheme val="minor"/>
          </rPr>
          <t xml:space="preserve">Lansdorff cynthia:
Att retour christophe </t>
        </r>
      </text>
    </comment>
    <comment ref="E89" authorId="2" shapeId="0" xr:uid="{BA45B40D-7B66-44EF-B7C9-A2B6C373420C}">
      <text>
        <r>
          <rPr>
            <sz val="11"/>
            <color theme="1"/>
            <rFont val="Aptos Narrow"/>
            <family val="2"/>
            <scheme val="minor"/>
          </rPr>
          <t xml:space="preserve">louay Tahri:
Stephane : pour le moment je conserve ce dossier ouvert afin d'avoir le maximum de possibilité si ENEDIS ne fait pas le nécessaire.
</t>
        </r>
      </text>
    </comment>
    <comment ref="E96" authorId="2" shapeId="0" xr:uid="{71C455EB-6F65-4B68-8518-F1D2DE3732FF}">
      <text>
        <r>
          <rPr>
            <sz val="11"/>
            <color theme="1"/>
            <rFont val="Aptos Narrow"/>
            <family val="2"/>
            <scheme val="minor"/>
          </rPr>
          <t>louay Tahri:
ATT retour commune</t>
        </r>
      </text>
    </comment>
    <comment ref="E99" authorId="4" shapeId="0" xr:uid="{4F3C1876-7958-4CDA-8070-B7904B44B09A}">
      <text>
        <t>[Threaded comment]
Your version of Excel allows you to read this threaded comment; however, any edits to it will get removed if the file is opened in a newer version of Excel. Learn more: https://go.microsoft.com/fwlink/?linkid=870924
Comment:
    Att certificat d'adressage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Lansdorff.cynthia</author>
    <author>Lansdorff cynthia</author>
    <author>stéphane dos-santos</author>
  </authors>
  <commentList>
    <comment ref="B4" authorId="0" shapeId="0" xr:uid="{A9098C32-F10D-4B54-A586-63D4EE16FD94}">
      <text>
        <r>
          <rPr>
            <sz val="11"/>
            <color theme="1"/>
            <rFont val="Aptos Narrow"/>
            <family val="2"/>
            <scheme val="minor"/>
          </rPr>
          <t xml:space="preserve">Lansdorff.cynthia:
Att reprise enrobé à chaud </t>
        </r>
      </text>
    </comment>
    <comment ref="B7" authorId="1" shapeId="0" xr:uid="{901C8468-A31C-4F65-8109-9A17BA44EAE8}">
      <text>
        <r>
          <rPr>
            <sz val="11"/>
            <color theme="1"/>
            <rFont val="Aptos Narrow"/>
            <family val="2"/>
            <scheme val="minor"/>
          </rPr>
          <t>Lansdorff cynthia:
Att georef</t>
        </r>
      </text>
    </comment>
    <comment ref="B9" authorId="1" shapeId="0" xr:uid="{038CA2AA-9FF0-4422-B0CD-97D0AECC8FDD}">
      <text>
        <r>
          <rPr>
            <sz val="11"/>
            <color theme="1"/>
            <rFont val="Aptos Narrow"/>
            <family val="2"/>
            <scheme val="minor"/>
          </rPr>
          <t xml:space="preserve">Lansdorff cynthia:
Att georef </t>
        </r>
      </text>
    </comment>
    <comment ref="B21" authorId="1" shapeId="0" xr:uid="{AD0A3DD0-C651-4139-80BF-4589B7977276}">
      <text>
        <r>
          <rPr>
            <sz val="11"/>
            <color theme="1"/>
            <rFont val="Aptos Narrow"/>
            <family val="2"/>
            <scheme val="minor"/>
          </rPr>
          <t>Lansdorff cynthia:
Numéro de devis 1701889D1</t>
        </r>
      </text>
    </comment>
    <comment ref="B28" authorId="2" shapeId="0" xr:uid="{D8DCF4C9-F098-42D8-A159-995137A587BB}">
      <text>
        <r>
          <rPr>
            <sz val="11"/>
            <color theme="1"/>
            <rFont val="Aptos Narrow"/>
            <family val="2"/>
            <scheme val="minor"/>
          </rPr>
          <t xml:space="preserve">stéphane dos-santos:
CTC Martinez Nicolas </t>
        </r>
      </text>
    </comment>
    <comment ref="H30" authorId="1" shapeId="0" xr:uid="{B7977038-98C9-424E-80F0-3F1AB9AE2E6C}">
      <text>
        <r>
          <rPr>
            <sz val="11"/>
            <color theme="1"/>
            <rFont val="Aptos Narrow"/>
            <family val="2"/>
            <scheme val="minor"/>
          </rPr>
          <t xml:space="preserve">Lansdorff cynthia:
ancienne demande 108745 Aout </t>
        </r>
      </text>
    </comment>
    <comment ref="B32" authorId="1" shapeId="0" xr:uid="{1F7F4028-B81B-4C3C-BF1F-F60B1F1856CE}">
      <text>
        <r>
          <rPr>
            <sz val="11"/>
            <color theme="1"/>
            <rFont val="Aptos Narrow"/>
            <family val="2"/>
            <scheme val="minor"/>
          </rPr>
          <t>Lansdorff cynthia:
Etude payer</t>
        </r>
      </text>
    </comment>
    <comment ref="B33" authorId="1" shapeId="0" xr:uid="{D17DFFE1-3D02-4B02-9728-4229041045B8}">
      <text>
        <r>
          <rPr>
            <sz val="11"/>
            <color theme="1"/>
            <rFont val="Aptos Narrow"/>
            <family val="2"/>
            <scheme val="minor"/>
          </rPr>
          <t>Lansdorff cynthia:
Etude Payer</t>
        </r>
      </text>
    </comment>
  </commentList>
</comments>
</file>

<file path=xl/sharedStrings.xml><?xml version="1.0" encoding="utf-8"?>
<sst xmlns="http://schemas.openxmlformats.org/spreadsheetml/2006/main" count="16642" uniqueCount="6278">
  <si>
    <t>SECTEUR</t>
  </si>
  <si>
    <t>NB DE DOSSIERS</t>
  </si>
  <si>
    <t>DRE KO</t>
  </si>
  <si>
    <t>VT A FAIRE</t>
  </si>
  <si>
    <t>A  REMONTER</t>
  </si>
  <si>
    <t>RETOUR VT</t>
  </si>
  <si>
    <t>DOSS A REPRENDRE</t>
  </si>
  <si>
    <t>DOSS A MONTER</t>
  </si>
  <si>
    <t>ATT INFOS CAF REF</t>
  </si>
  <si>
    <t>ATT DEVIS ORANGE/RIP</t>
  </si>
  <si>
    <t>ATT DEVIS CLIENT</t>
  </si>
  <si>
    <t>ATT TRAVAUX CLIENT</t>
  </si>
  <si>
    <t>ATT PV</t>
  </si>
  <si>
    <t xml:space="preserve">ATT DTA </t>
  </si>
  <si>
    <t>ATT COMAC/CAPFT</t>
  </si>
  <si>
    <t xml:space="preserve">ATT MAJ SI </t>
  </si>
  <si>
    <t>POI EN TRAVAUX</t>
  </si>
  <si>
    <t>AT RETOUR DOE</t>
  </si>
  <si>
    <t>ETAT 5</t>
  </si>
  <si>
    <t>MEN-ROD</t>
  </si>
  <si>
    <t>GDP AQ</t>
  </si>
  <si>
    <t>QPR-CRO</t>
  </si>
  <si>
    <t>RECOL A FAIRE</t>
  </si>
  <si>
    <t>SPI AQ</t>
  </si>
  <si>
    <t>GLOBAL</t>
  </si>
  <si>
    <t>Taux Non Confirmité</t>
  </si>
  <si>
    <t>DOSSIER MAIN BE</t>
  </si>
  <si>
    <t>DOSSIER MAIN CHAFF</t>
  </si>
  <si>
    <t xml:space="preserve">A REMPLIR PAR LE BE OBLIGATOIRE </t>
  </si>
  <si>
    <t>Code OEIE</t>
  </si>
  <si>
    <t>DRE</t>
  </si>
  <si>
    <t>ETAT</t>
  </si>
  <si>
    <t>POI</t>
  </si>
  <si>
    <t>SJ</t>
  </si>
  <si>
    <t>CAFF</t>
  </si>
  <si>
    <t>Mémo Chaf</t>
  </si>
  <si>
    <t>VILLE</t>
  </si>
  <si>
    <t>ADRESSE</t>
  </si>
  <si>
    <t>DATE VT</t>
  </si>
  <si>
    <t>COMMENTAIRES</t>
  </si>
  <si>
    <t>CTC</t>
  </si>
  <si>
    <t>ROD401264</t>
  </si>
  <si>
    <t>14 POI EN TRAVAUX</t>
  </si>
  <si>
    <t>ROD401938</t>
  </si>
  <si>
    <t>V1</t>
  </si>
  <si>
    <t>M</t>
  </si>
  <si>
    <t>DMS</t>
  </si>
  <si>
    <t>SALLES CURAN</t>
  </si>
  <si>
    <t>8 RUE DU COUVENT</t>
  </si>
  <si>
    <t>13/05:les travaux seront effectués dans 2 mois (lié au ROD401689)</t>
  </si>
  <si>
    <t>ROD401442</t>
  </si>
  <si>
    <t>ROD402078</t>
  </si>
  <si>
    <t>AZ</t>
  </si>
  <si>
    <t>ROQUEFORT SUR SOULZON</t>
  </si>
  <si>
    <t>L AIRE VIEILLE</t>
  </si>
  <si>
    <t>ROD401602</t>
  </si>
  <si>
    <t>ROD500031</t>
  </si>
  <si>
    <t>5S</t>
  </si>
  <si>
    <t>SAINT JEAN DELNOUS</t>
  </si>
  <si>
    <t>38 PL SAINT JEAN</t>
  </si>
  <si>
    <t>ROD401787</t>
  </si>
  <si>
    <t>ROD500252</t>
  </si>
  <si>
    <t>RI</t>
  </si>
  <si>
    <t xml:space="preserve">38 PL SAINT JEAN </t>
  </si>
  <si>
    <t>ROD401933</t>
  </si>
  <si>
    <t>ROD500376</t>
  </si>
  <si>
    <t>5T</t>
  </si>
  <si>
    <t>PONT DE SALARS</t>
  </si>
  <si>
    <t xml:space="preserve">CAMBOULAS </t>
  </si>
  <si>
    <t>ROD401967</t>
  </si>
  <si>
    <t>ROD500597</t>
  </si>
  <si>
    <t>CN</t>
  </si>
  <si>
    <t>BERTHOLENE</t>
  </si>
  <si>
    <t xml:space="preserve">RUE PONTS </t>
  </si>
  <si>
    <t>LIEE A LA ROD500598</t>
  </si>
  <si>
    <t>ROD402054</t>
  </si>
  <si>
    <t>ROD500605</t>
  </si>
  <si>
    <t>AGUESSAC</t>
  </si>
  <si>
    <t>21 ROUTE ST GERMAIN</t>
  </si>
  <si>
    <t>ROD402079</t>
  </si>
  <si>
    <t>ROD500621</t>
  </si>
  <si>
    <t>OT</t>
  </si>
  <si>
    <t>VILLEFRANCHE DE PANAT</t>
  </si>
  <si>
    <t xml:space="preserve">	1 AVENUE DU SEGALA</t>
  </si>
  <si>
    <t>ROD500238</t>
  </si>
  <si>
    <t>ROD500717</t>
  </si>
  <si>
    <t>CR</t>
  </si>
  <si>
    <t>RUE PONTS BERTHOLENE</t>
  </si>
  <si>
    <t>ROD500263</t>
  </si>
  <si>
    <t>ROD500644</t>
  </si>
  <si>
    <t>D3</t>
  </si>
  <si>
    <t>LA CAVALERIE</t>
  </si>
  <si>
    <t>603 AV SIMONE VEIL</t>
  </si>
  <si>
    <t>ROD500269</t>
  </si>
  <si>
    <t>ROD500797</t>
  </si>
  <si>
    <t>DQ</t>
  </si>
  <si>
    <t>SYLVANES</t>
  </si>
  <si>
    <t>Chemin de Maxels</t>
  </si>
  <si>
    <t>ROD500302</t>
  </si>
  <si>
    <t>ROD500780</t>
  </si>
  <si>
    <t>OI</t>
  </si>
  <si>
    <t>BROMMAT</t>
  </si>
  <si>
    <t>Rue de la Grange</t>
  </si>
  <si>
    <t>en cours</t>
  </si>
  <si>
    <t>ROD500323</t>
  </si>
  <si>
    <t>ROD501003</t>
  </si>
  <si>
    <t>VX</t>
  </si>
  <si>
    <t>RUE DE LA GRANGE</t>
  </si>
  <si>
    <t>ROD500345</t>
  </si>
  <si>
    <t>ROD401858</t>
  </si>
  <si>
    <t>LIOUJAS LA LOUBIERE</t>
  </si>
  <si>
    <t>IMP DU COMBAL</t>
  </si>
  <si>
    <t>ROD500346</t>
  </si>
  <si>
    <t>ROD501105</t>
  </si>
  <si>
    <t>P0</t>
  </si>
  <si>
    <t>VABRES L ABBAYE</t>
  </si>
  <si>
    <t>505 CH DES CERISIERS</t>
  </si>
  <si>
    <t>ROD500362</t>
  </si>
  <si>
    <t>ROD500905</t>
  </si>
  <si>
    <t>NANT</t>
  </si>
  <si>
    <t>LA MOULINE</t>
  </si>
  <si>
    <t>ROD500391</t>
  </si>
  <si>
    <t>ROD500122</t>
  </si>
  <si>
    <t>LAGUIOLE</t>
  </si>
  <si>
    <t>LA SOURCE</t>
  </si>
  <si>
    <t>ROD500442</t>
  </si>
  <si>
    <t>ROD501153</t>
  </si>
  <si>
    <t>SEVERAC D AVEYRON</t>
  </si>
  <si>
    <t>2 RUE DE LA CROUZETTE</t>
  </si>
  <si>
    <t>ROD500499</t>
  </si>
  <si>
    <t>ROD501245</t>
  </si>
  <si>
    <t>MONTLAUR</t>
  </si>
  <si>
    <t>166 CH DU MAS DE DAURELLE</t>
  </si>
  <si>
    <t>Demande DTA le 6/10</t>
  </si>
  <si>
    <t>ROD500519</t>
  </si>
  <si>
    <t>ROD500756</t>
  </si>
  <si>
    <t>5I</t>
  </si>
  <si>
    <t>SAINT JEAN DU BRUEL</t>
  </si>
  <si>
    <t>RTE DE SEINGLEYS</t>
  </si>
  <si>
    <t>ROD500565</t>
  </si>
  <si>
    <t>ROD501111</t>
  </si>
  <si>
    <t>C</t>
  </si>
  <si>
    <t>LE FEL</t>
  </si>
  <si>
    <t>380 CH DU PUECH DE CASSOS</t>
  </si>
  <si>
    <t>ROD500627</t>
  </si>
  <si>
    <t>ROD501229</t>
  </si>
  <si>
    <t>RTE NANT</t>
  </si>
  <si>
    <t>ROD500638</t>
  </si>
  <si>
    <t>ROD501747</t>
  </si>
  <si>
    <t>GC</t>
  </si>
  <si>
    <t xml:space="preserve">	RUE DE LA GRANGE</t>
  </si>
  <si>
    <t xml:space="preserve">liée à la ROD501003 </t>
  </si>
  <si>
    <t>ROD500708</t>
  </si>
  <si>
    <t>ROD500610</t>
  </si>
  <si>
    <t>MILLAU</t>
  </si>
  <si>
    <t>16B BD AYROLLE</t>
  </si>
  <si>
    <t>ROD500710</t>
  </si>
  <si>
    <t>ROD500387</t>
  </si>
  <si>
    <t>SAINT AFFRIQUE</t>
  </si>
  <si>
    <t>2 RUE JEAN BOUDOU</t>
  </si>
  <si>
    <t>ROD500727</t>
  </si>
  <si>
    <t>ROD501175</t>
  </si>
  <si>
    <t xml:space="preserve"> VILLEFRANCHE DE PANAT</t>
  </si>
  <si>
    <t>6 AV DE LA PLAGE</t>
  </si>
  <si>
    <t>ROD500728</t>
  </si>
  <si>
    <t>ROD500730</t>
  </si>
  <si>
    <t>5J</t>
  </si>
  <si>
    <t>CAMBOULAS</t>
  </si>
  <si>
    <t>ROD500755</t>
  </si>
  <si>
    <t>ROD500423</t>
  </si>
  <si>
    <t>CASSAGNES BEGONHES</t>
  </si>
  <si>
    <t>LE BOUYSSONIS</t>
  </si>
  <si>
    <t>ROD500771</t>
  </si>
  <si>
    <t>ROD500273</t>
  </si>
  <si>
    <t>COUBISOU</t>
  </si>
  <si>
    <t>ROUTE DE LACAZE</t>
  </si>
  <si>
    <t>ROD500783</t>
  </si>
  <si>
    <t>ROD500496</t>
  </si>
  <si>
    <t>ROD500816</t>
  </si>
  <si>
    <t>ROD501002</t>
  </si>
  <si>
    <t>ROD500862</t>
  </si>
  <si>
    <t>ROD500369</t>
  </si>
  <si>
    <t>CHEMIN DES HAUTS DE PRIGNOLLES</t>
  </si>
  <si>
    <t>20/03/2025 en cours</t>
  </si>
  <si>
    <t>13/05: un mail a été envoyé</t>
  </si>
  <si>
    <t>ROD500885</t>
  </si>
  <si>
    <t>ROD501131</t>
  </si>
  <si>
    <t>BOZOULS</t>
  </si>
  <si>
    <t>AVENUE COMBE CROZES</t>
  </si>
  <si>
    <t>mail envoyé au client</t>
  </si>
  <si>
    <t>ROD500893</t>
  </si>
  <si>
    <t>ROD501566</t>
  </si>
  <si>
    <t>CORNUS</t>
  </si>
  <si>
    <t>76 RUE DE LA TRIVALLE</t>
  </si>
  <si>
    <t>ROD500992</t>
  </si>
  <si>
    <t>ROD500264</t>
  </si>
  <si>
    <t>CAMBOULAZET</t>
  </si>
  <si>
    <t>RTE DE LA RIVIERE</t>
  </si>
  <si>
    <t>FIN TVX: FIN JUIN 2025</t>
  </si>
  <si>
    <t>ROD500998</t>
  </si>
  <si>
    <t>ROD500144</t>
  </si>
  <si>
    <t>SAINT GENIEZ D OLT ET D AUBRAC</t>
  </si>
  <si>
    <t>5802 PL GEN DE GAULLE</t>
  </si>
  <si>
    <t>ROD501081</t>
  </si>
  <si>
    <t>ROD501365</t>
  </si>
  <si>
    <t>Att travaux ACF011</t>
  </si>
  <si>
    <t>ESPEYRAC</t>
  </si>
  <si>
    <t>RTE NOLORGUES</t>
  </si>
  <si>
    <t>ROD501101</t>
  </si>
  <si>
    <t>ROD500574</t>
  </si>
  <si>
    <t>LUC LA PRIMAUBE</t>
  </si>
  <si>
    <t>RTE DE LA BOISSONNADE</t>
  </si>
  <si>
    <t>30/04/2025 9H</t>
  </si>
  <si>
    <t>ROD501142</t>
  </si>
  <si>
    <t>ROD501280</t>
  </si>
  <si>
    <t>1 COURRY</t>
  </si>
  <si>
    <t>Liée a la ROD500704</t>
  </si>
  <si>
    <t>ROD501148</t>
  </si>
  <si>
    <t>ROD501449</t>
  </si>
  <si>
    <t>R SOUBAYROL</t>
  </si>
  <si>
    <t>ROD501160</t>
  </si>
  <si>
    <t>ROD500525</t>
  </si>
  <si>
    <t>ROD501165</t>
  </si>
  <si>
    <t>ROD401748</t>
  </si>
  <si>
    <t>MOUNES PROHENCOU</t>
  </si>
  <si>
    <t>1 CH DE ROUZET</t>
  </si>
  <si>
    <t>Retour le 24/09</t>
  </si>
  <si>
    <t xml:space="preserve">à refaire </t>
  </si>
  <si>
    <t>ROD501172</t>
  </si>
  <si>
    <t>ROD501541</t>
  </si>
  <si>
    <t>CC</t>
  </si>
  <si>
    <t>LA BORIE DE CAZES</t>
  </si>
  <si>
    <t>A remonter par chaima</t>
  </si>
  <si>
    <t>ROD501174</t>
  </si>
  <si>
    <t>ROD500290</t>
  </si>
  <si>
    <t>RTE DE BORN</t>
  </si>
  <si>
    <t>contacter les clients : 0565467019 // 0565467377: client injoinable , un rappel est fait le 4/11/ retour urgent</t>
  </si>
  <si>
    <t>ROD501190</t>
  </si>
  <si>
    <t>ROD501928</t>
  </si>
  <si>
    <t>CHEMIN DE PRIGNOLLES</t>
  </si>
  <si>
    <t>Pas besoin de VT</t>
  </si>
  <si>
    <t>ROD501270</t>
  </si>
  <si>
    <t>ROD501040</t>
  </si>
  <si>
    <t>L0</t>
  </si>
  <si>
    <t>BELMONT SUR RANCE</t>
  </si>
  <si>
    <t>1190 RTE DE LA COMBE</t>
  </si>
  <si>
    <t>ROD501318</t>
  </si>
  <si>
    <t>ROD500526</t>
  </si>
  <si>
    <t xml:space="preserve">Manque reprise cable cuivre </t>
  </si>
  <si>
    <t>LA SELVE</t>
  </si>
  <si>
    <t>RTE DE VAYSSOUS</t>
  </si>
  <si>
    <t>07/05/2025-Retour le 12/09</t>
  </si>
  <si>
    <t>ROD501323</t>
  </si>
  <si>
    <t>ROD500004</t>
  </si>
  <si>
    <t>SAINT ROME DE TARN</t>
  </si>
  <si>
    <t>LD LES BOUZIGUES</t>
  </si>
  <si>
    <t>La region ou les appuis page 5 sont inaccessibles. de proche ou de loin</t>
  </si>
  <si>
    <t>ROD501332</t>
  </si>
  <si>
    <t>ROD401945</t>
  </si>
  <si>
    <t>RUE DES LANDES</t>
  </si>
  <si>
    <t>ROD501346</t>
  </si>
  <si>
    <t>ROD500837</t>
  </si>
  <si>
    <t>8 AV ARSENE</t>
  </si>
  <si>
    <t>Zohra</t>
  </si>
  <si>
    <t>ROD501348</t>
  </si>
  <si>
    <t>ROD500267</t>
  </si>
  <si>
    <t>ANGLARS SAINT FELIX</t>
  </si>
  <si>
    <t>2 RTE DES ECOLIERS</t>
  </si>
  <si>
    <t>ROD501366</t>
  </si>
  <si>
    <t>ROD501641</t>
  </si>
  <si>
    <t>RUE DE LA CROUZETTE</t>
  </si>
  <si>
    <t>ROD501394</t>
  </si>
  <si>
    <t>ROD501439</t>
  </si>
  <si>
    <t>PRADINAS</t>
  </si>
  <si>
    <t>490 ROUTE DE FONSALADE</t>
  </si>
  <si>
    <t>VT effectuée aujourd'hui, à remonter par sondos</t>
  </si>
  <si>
    <t>ROD501424</t>
  </si>
  <si>
    <t>ROD501253</t>
  </si>
  <si>
    <t>ESPALION</t>
  </si>
  <si>
    <t>LA REMISE</t>
  </si>
  <si>
    <t>GC términé par ENEDIS/44.51259 ; 2.73503</t>
  </si>
  <si>
    <t>ROD501437</t>
  </si>
  <si>
    <t>ROD500237</t>
  </si>
  <si>
    <t>COMBRET</t>
  </si>
  <si>
    <t>LES BORIES</t>
  </si>
  <si>
    <t>ROD501438</t>
  </si>
  <si>
    <t>ROD500588</t>
  </si>
  <si>
    <t>CAMJAC</t>
  </si>
  <si>
    <t>1107 RTE DE LA BOULE</t>
  </si>
  <si>
    <t>ROD501453</t>
  </si>
  <si>
    <t>ROD500778</t>
  </si>
  <si>
    <t>Place Voultre</t>
  </si>
  <si>
    <t>travaux pas encore commencés /mail envoyé au client le 27/10</t>
  </si>
  <si>
    <t>ROD501475</t>
  </si>
  <si>
    <t>ROD500831</t>
  </si>
  <si>
    <t>1 PL VOULTRE</t>
  </si>
  <si>
    <t>ROD501476</t>
  </si>
  <si>
    <t>-----</t>
  </si>
  <si>
    <t>ROD501258</t>
  </si>
  <si>
    <t>LESTRADE ET THOUELS</t>
  </si>
  <si>
    <t>RUE DES LOISIRS</t>
  </si>
  <si>
    <t>Le VT a été effectué. Une nouvelle solution a été proposée par le piqueteur en raison de l’inexistence du PVC 45.Email explicatif sera fait</t>
  </si>
  <si>
    <t>ROD501492</t>
  </si>
  <si>
    <t>ROD500124</t>
  </si>
  <si>
    <t>SAINT HIPPOLYTE</t>
  </si>
  <si>
    <t>LD LA CAPELLE</t>
  </si>
  <si>
    <t>44.73827;2.59865  /SONDOS</t>
  </si>
  <si>
    <t>ROD501498</t>
  </si>
  <si>
    <t>ROD401937</t>
  </si>
  <si>
    <t>VILLEFRANCHE DE ROUERGUE</t>
  </si>
  <si>
    <t>3 AV PAUL RAMADIER</t>
  </si>
  <si>
    <t>Photo poteau pour calcul de charge</t>
  </si>
  <si>
    <t>ROD501500</t>
  </si>
  <si>
    <t>ROD500282</t>
  </si>
  <si>
    <t>Dossier inexistant</t>
  </si>
  <si>
    <t>ROD501565</t>
  </si>
  <si>
    <t>ROD400465</t>
  </si>
  <si>
    <t>5 R TRAUPONT</t>
  </si>
  <si>
    <t xml:space="preserve">D2:Pas besoin de VT </t>
  </si>
  <si>
    <t>ROD501581</t>
  </si>
  <si>
    <t>ROD501407</t>
  </si>
  <si>
    <t xml:space="preserve"> 	335 RUE DU RUISSEAU</t>
  </si>
  <si>
    <t>vérif travaux avec RDV</t>
  </si>
  <si>
    <t>ROD501651</t>
  </si>
  <si>
    <t>ROD501601</t>
  </si>
  <si>
    <t>RIVIERE SUR TARN</t>
  </si>
  <si>
    <t>Place des Marie Louise</t>
  </si>
  <si>
    <t>ROD501652</t>
  </si>
  <si>
    <t>ROD500210</t>
  </si>
  <si>
    <t>LE SARROS</t>
  </si>
  <si>
    <t>ROD501656</t>
  </si>
  <si>
    <t>ROD500096</t>
  </si>
  <si>
    <t xml:space="preserve">Att steph </t>
  </si>
  <si>
    <t>LE LENIE</t>
  </si>
  <si>
    <t>ROD501676</t>
  </si>
  <si>
    <t>ROD501151</t>
  </si>
  <si>
    <t>SAINT-MARTIN-DE-LENNE</t>
  </si>
  <si>
    <t>IMP DE LAUZERAL</t>
  </si>
  <si>
    <t>05/08/2025 / Retour le 17/09</t>
  </si>
  <si>
    <t>ROD501677</t>
  </si>
  <si>
    <t>ROD501264</t>
  </si>
  <si>
    <t>CASTELNAU DE MANDAILLES</t>
  </si>
  <si>
    <t>Place des Aludiers</t>
  </si>
  <si>
    <t>sondos</t>
  </si>
  <si>
    <t>ROD501681</t>
  </si>
  <si>
    <t>ROD501506</t>
  </si>
  <si>
    <t>RUE DU SELZET</t>
  </si>
  <si>
    <t>ROD501694</t>
  </si>
  <si>
    <t>ROD501001</t>
  </si>
  <si>
    <t>8 AV ARSENE RATIER</t>
  </si>
  <si>
    <t>ROD501704</t>
  </si>
  <si>
    <t>ROD300381</t>
  </si>
  <si>
    <t>180 RUE AUGUSTE MONJOLS</t>
  </si>
  <si>
    <t>Disponibilité PA + photos CAPFT</t>
  </si>
  <si>
    <t>ROD501705</t>
  </si>
  <si>
    <t>ROD501521</t>
  </si>
  <si>
    <t>ROD501725</t>
  </si>
  <si>
    <t>ROD501828</t>
  </si>
  <si>
    <t>BD AYROLLE</t>
  </si>
  <si>
    <t>controle cable existant sur façade selon la commune</t>
  </si>
  <si>
    <t>ROD501726</t>
  </si>
  <si>
    <t>ROD600088</t>
  </si>
  <si>
    <t>VZ</t>
  </si>
  <si>
    <t>RUE DU RUISSEAU DE CAYRAC</t>
  </si>
  <si>
    <t xml:space="preserve"> pas besoin VT </t>
  </si>
  <si>
    <t>ROD501729</t>
  </si>
  <si>
    <t>ROD500889</t>
  </si>
  <si>
    <t xml:space="preserve">2 R EGLISE </t>
  </si>
  <si>
    <t>ROD501764</t>
  </si>
  <si>
    <t>ROD501926</t>
  </si>
  <si>
    <t>CALMONT</t>
  </si>
  <si>
    <t>3869 ROUTE DE BARAQUEVILLE</t>
  </si>
  <si>
    <t>chaima</t>
  </si>
  <si>
    <t>ROD501766</t>
  </si>
  <si>
    <t>ROD501463</t>
  </si>
  <si>
    <t>GAILLAC-D'AVEYRON</t>
  </si>
  <si>
    <t>170 RUE DU PUECH</t>
  </si>
  <si>
    <t>ROD501767</t>
  </si>
  <si>
    <t>ROD502116</t>
  </si>
  <si>
    <t>77 IMP DE LA TREMOLEDE</t>
  </si>
  <si>
    <t>SONDOS</t>
  </si>
  <si>
    <t>ROD501800</t>
  </si>
  <si>
    <t>ROD501273</t>
  </si>
  <si>
    <t>SALMIECH</t>
  </si>
  <si>
    <t>512 AV GEORGES DESIRAT</t>
  </si>
  <si>
    <t>En attente réfus/acceptation par mairie(ralence faite le 02/01)</t>
  </si>
  <si>
    <t>ROD501801</t>
  </si>
  <si>
    <t>ROD401450</t>
  </si>
  <si>
    <t>LESTRADE</t>
  </si>
  <si>
    <t>zohra</t>
  </si>
  <si>
    <t>ROD501808</t>
  </si>
  <si>
    <t>ROD600200</t>
  </si>
  <si>
    <t>RODEZ</t>
  </si>
  <si>
    <t>BD DENYS PUECH</t>
  </si>
  <si>
    <t>ROD501817</t>
  </si>
  <si>
    <t>ROD502024</t>
  </si>
  <si>
    <t>9I</t>
  </si>
  <si>
    <t>2223 ROUTE DES NAUCELATS</t>
  </si>
  <si>
    <r>
      <rPr>
        <sz val="10"/>
        <color rgb="FF000000"/>
        <rFont val="Arial"/>
      </rPr>
      <t xml:space="preserve">RDV </t>
    </r>
    <r>
      <rPr>
        <sz val="10"/>
        <color rgb="FFFF0000"/>
        <rFont val="Arial"/>
      </rPr>
      <t>entre 8h et 9h</t>
    </r>
  </si>
  <si>
    <t>ROD501821</t>
  </si>
  <si>
    <t>ROD600181</t>
  </si>
  <si>
    <t>AV RODEZ</t>
  </si>
  <si>
    <t>ZOHRA</t>
  </si>
  <si>
    <t>+33 6 86 16 62 62</t>
  </si>
  <si>
    <t>ROD501823</t>
  </si>
  <si>
    <t>ROD500822</t>
  </si>
  <si>
    <t>Retour de VT</t>
  </si>
  <si>
    <t>CURAN</t>
  </si>
  <si>
    <t>103 CHEMIN DE TREBONS</t>
  </si>
  <si>
    <t>en att retour mail ou confirmation trvx appel fait le 04/02; sms reçus de confirmation / relance mail 09/02</t>
  </si>
  <si>
    <t>ROD501831</t>
  </si>
  <si>
    <t>NIM500846</t>
  </si>
  <si>
    <t>REDESSAN</t>
  </si>
  <si>
    <t>LOT LE COURBOUSSOL</t>
  </si>
  <si>
    <t>ROD501843</t>
  </si>
  <si>
    <t>NIM500791</t>
  </si>
  <si>
    <t>SAINT GERVASY</t>
  </si>
  <si>
    <t>RTE DE REDESSAN</t>
  </si>
  <si>
    <t>ROD501850</t>
  </si>
  <si>
    <t>NIM500735</t>
  </si>
  <si>
    <t>MI</t>
  </si>
  <si>
    <t>NIMES</t>
  </si>
  <si>
    <t>99 IMP DES HUPPES</t>
  </si>
  <si>
    <t>ROD501851</t>
  </si>
  <si>
    <t>NIM401193</t>
  </si>
  <si>
    <t>CAVEIRAC</t>
  </si>
  <si>
    <t>2 RTE DE NIMES</t>
  </si>
  <si>
    <t>ROD501871</t>
  </si>
  <si>
    <t>MPL500844</t>
  </si>
  <si>
    <t>MONTPELLIER</t>
  </si>
  <si>
    <t>47 R DE L AMANDIER</t>
  </si>
  <si>
    <t>Liée MPL500733</t>
  </si>
  <si>
    <t>ROD501874</t>
  </si>
  <si>
    <t>MPL500641</t>
  </si>
  <si>
    <t>SETE</t>
  </si>
  <si>
    <t>33 R GARENNE</t>
  </si>
  <si>
    <t>ROD501876</t>
  </si>
  <si>
    <t>MPL500013</t>
  </si>
  <si>
    <t>GRABELS</t>
  </si>
  <si>
    <t>1227 RUE DE LA VALSIERE</t>
  </si>
  <si>
    <t>ROD501887</t>
  </si>
  <si>
    <t>MPL401799</t>
  </si>
  <si>
    <t>60 IMPASSE ANTOINE SAPORTA</t>
  </si>
  <si>
    <t>ROD501913</t>
  </si>
  <si>
    <t>MPL401053</t>
  </si>
  <si>
    <t>9 R ABERT</t>
  </si>
  <si>
    <t>ROD501914</t>
  </si>
  <si>
    <t>MEN500648</t>
  </si>
  <si>
    <t>FLORAC 3 RIVIERES</t>
  </si>
  <si>
    <t>13B AV JEAN MONESTIER</t>
  </si>
  <si>
    <t xml:space="preserve">liée à MEN300765/ dépose de PB et pose dans chbre </t>
  </si>
  <si>
    <t>ROD501917</t>
  </si>
  <si>
    <t>MEN500582</t>
  </si>
  <si>
    <t>ISSARLES</t>
  </si>
  <si>
    <t>415 RTE DE LA ROUME</t>
  </si>
  <si>
    <t>ROD501933</t>
  </si>
  <si>
    <t>MEN500581</t>
  </si>
  <si>
    <t>BANASSAC CANILHAC</t>
  </si>
  <si>
    <t>ZONE ARTISANALE CAPJALAT</t>
  </si>
  <si>
    <t>A remonter par chaima/liée a la MEN500038</t>
  </si>
  <si>
    <t>ROD501939</t>
  </si>
  <si>
    <t>MEN500510</t>
  </si>
  <si>
    <t>LACHAMP-RIBENNES</t>
  </si>
  <si>
    <t xml:space="preserve"> CHASSAGNES</t>
  </si>
  <si>
    <t>MEN500416</t>
  </si>
  <si>
    <t>ROD501946</t>
  </si>
  <si>
    <t>MEN500497</t>
  </si>
  <si>
    <t>SAINT CHELY D APCHER</t>
  </si>
  <si>
    <t>16 AV DU MALZIEU</t>
  </si>
  <si>
    <t>08/10 8h30</t>
  </si>
  <si>
    <t>ROD501951</t>
  </si>
  <si>
    <t>MEN500480</t>
  </si>
  <si>
    <t>JI</t>
  </si>
  <si>
    <t>1 RTE DE BRASSAC</t>
  </si>
  <si>
    <t>ROD501953</t>
  </si>
  <si>
    <t>MEN500412</t>
  </si>
  <si>
    <t>Reste GCD + GEO</t>
  </si>
  <si>
    <t>SAINT MARTIN DE BOUBAUX</t>
  </si>
  <si>
    <t>LD LA PLANTADE BASSE</t>
  </si>
  <si>
    <t>URGENT MARDI</t>
  </si>
  <si>
    <t>ROD501960</t>
  </si>
  <si>
    <t>MEN500382</t>
  </si>
  <si>
    <t>JJ</t>
  </si>
  <si>
    <t>SAINT CHRISTOPHE D ALLIER</t>
  </si>
  <si>
    <t>20 LE MENIAL</t>
  </si>
  <si>
    <t>ROD501962</t>
  </si>
  <si>
    <t>MEN500339</t>
  </si>
  <si>
    <t>LANGOGNE</t>
  </si>
  <si>
    <t>RUE BELLEVUE</t>
  </si>
  <si>
    <t>ROD501963</t>
  </si>
  <si>
    <t>MEN500307</t>
  </si>
  <si>
    <t>CHADENET</t>
  </si>
  <si>
    <t xml:space="preserve">Chemin de Bellevue </t>
  </si>
  <si>
    <t>Mardi</t>
  </si>
  <si>
    <t>ROD501967</t>
  </si>
  <si>
    <t>MEN500255</t>
  </si>
  <si>
    <t>BALSIEGES</t>
  </si>
  <si>
    <t xml:space="preserve">BRAMONAS </t>
  </si>
  <si>
    <t>ROD501973</t>
  </si>
  <si>
    <t>MEN500247</t>
  </si>
  <si>
    <t>MASSEGROS CAUSSES GORGES</t>
  </si>
  <si>
    <t xml:space="preserve">	CH DE LA VAYSSIERE</t>
  </si>
  <si>
    <t>NE PAS PRENDRE EN COMPTE</t>
  </si>
  <si>
    <t>ROD502023</t>
  </si>
  <si>
    <t>MEN500229</t>
  </si>
  <si>
    <t>MO</t>
  </si>
  <si>
    <t>ISPAGNAC</t>
  </si>
  <si>
    <t>LD SALANSON</t>
  </si>
  <si>
    <t>à refaire</t>
  </si>
  <si>
    <t xml:space="preserve">Contact client : MORISSONNEAU JEAN-MARC </t>
  </si>
  <si>
    <t>ROD502026</t>
  </si>
  <si>
    <t>MEN500190</t>
  </si>
  <si>
    <t>BORNE</t>
  </si>
  <si>
    <t>1060 RTE DE LA CROIX DE BAUZON</t>
  </si>
  <si>
    <t>14/04/2025 à refaire</t>
  </si>
  <si>
    <t>ROD502029</t>
  </si>
  <si>
    <t>MEN500189</t>
  </si>
  <si>
    <t>BH</t>
  </si>
  <si>
    <t>SAINT SAUVEUR DE GINESTOUX</t>
  </si>
  <si>
    <t>VILLAGE</t>
  </si>
  <si>
    <t>Traitement ok ATTENTE DOC profondeur GC</t>
  </si>
  <si>
    <t>ROD502047</t>
  </si>
  <si>
    <t>MEN500188</t>
  </si>
  <si>
    <t>DL</t>
  </si>
  <si>
    <t>ROD502064</t>
  </si>
  <si>
    <t>MEN500186</t>
  </si>
  <si>
    <t>BRENOUX</t>
  </si>
  <si>
    <t>90 RTE DE MONTMIRAT</t>
  </si>
  <si>
    <t>ROD502067</t>
  </si>
  <si>
    <t>MEN500183</t>
  </si>
  <si>
    <t>En ATT 6/05</t>
  </si>
  <si>
    <t>MONTS DE RANDON</t>
  </si>
  <si>
    <t>LD COULAGNES BASSES</t>
  </si>
  <si>
    <t>7-avr.</t>
  </si>
  <si>
    <t>ROD502071</t>
  </si>
  <si>
    <t>MEN500161</t>
  </si>
  <si>
    <t>BEL-AIR-VAL-D'ANCE</t>
  </si>
  <si>
    <t>5 IMP FAISANDIER</t>
  </si>
  <si>
    <t>ROD502072</t>
  </si>
  <si>
    <t>MEN500160</t>
  </si>
  <si>
    <t>MARVEJOLS</t>
  </si>
  <si>
    <t>AV THEOPHILE ROUSSEL</t>
  </si>
  <si>
    <t xml:space="preserve">en pas prendre en compte </t>
  </si>
  <si>
    <t>ROD502076</t>
  </si>
  <si>
    <t>MEN500120</t>
  </si>
  <si>
    <t>RUE PARC DES SPORTS</t>
  </si>
  <si>
    <t>ROD502090</t>
  </si>
  <si>
    <t>MEN500047</t>
  </si>
  <si>
    <t>POUCHASTRIN</t>
  </si>
  <si>
    <t>ARZENC D APCHER</t>
  </si>
  <si>
    <t>ROD502091</t>
  </si>
  <si>
    <t>MEN500024</t>
  </si>
  <si>
    <t>SENT DE LA CALADE</t>
  </si>
  <si>
    <t>PONT DE MONVERT-SUD MT LOZERE</t>
  </si>
  <si>
    <t>ROD502092</t>
  </si>
  <si>
    <t>MEN400779</t>
  </si>
  <si>
    <t xml:space="preserve">att CDC(CAPFT)/FIN TRAVAUX: entre fin juin et fin septembre/ </t>
  </si>
  <si>
    <t>ROD502099</t>
  </si>
  <si>
    <t>MEN400760</t>
  </si>
  <si>
    <t>BANASSAC-CANILHAC</t>
  </si>
  <si>
    <t xml:space="preserve">LE VIALA </t>
  </si>
  <si>
    <t>RESTE RECEPTION POUR PAIEMENT</t>
  </si>
  <si>
    <t>ROD502100</t>
  </si>
  <si>
    <t>MEN400714</t>
  </si>
  <si>
    <t>MOLEZON</t>
  </si>
  <si>
    <t xml:space="preserve">LIEU DIT LE PUECH </t>
  </si>
  <si>
    <t>ROD502118</t>
  </si>
  <si>
    <t>MEN400703</t>
  </si>
  <si>
    <t xml:space="preserve">LD PRAT SOUTEYRAN </t>
  </si>
  <si>
    <t>ROD502129</t>
  </si>
  <si>
    <t>MEN400690</t>
  </si>
  <si>
    <t>SAINT LAURENT DE VEYRES</t>
  </si>
  <si>
    <t xml:space="preserve">VEYRES </t>
  </si>
  <si>
    <t>VT : rdv le 23/10 matin, client ok , travaux ok</t>
  </si>
  <si>
    <t>ROD502143</t>
  </si>
  <si>
    <t>MEN400673</t>
  </si>
  <si>
    <t>PREVENCHERES</t>
  </si>
  <si>
    <t>LD LE CROUZET</t>
  </si>
  <si>
    <t>NE PAS TENIR COMPTE</t>
  </si>
  <si>
    <t>ROD600012</t>
  </si>
  <si>
    <t>MEN400672</t>
  </si>
  <si>
    <t>GRANDRIEU</t>
  </si>
  <si>
    <t>CHEMIN DU PONT ROMAIN</t>
  </si>
  <si>
    <t>ROD600020</t>
  </si>
  <si>
    <t>MEN400662</t>
  </si>
  <si>
    <t>ROD600027</t>
  </si>
  <si>
    <t>MEN400651</t>
  </si>
  <si>
    <t xml:space="preserve">9 R JULES DAUDE </t>
  </si>
  <si>
    <t>ROD600028</t>
  </si>
  <si>
    <t>MEN400593</t>
  </si>
  <si>
    <t>NAUSSAC FONTANES</t>
  </si>
  <si>
    <t>CHAUSSENILLES</t>
  </si>
  <si>
    <t>ROD600035</t>
  </si>
  <si>
    <t>MEN400482</t>
  </si>
  <si>
    <t>TERMES</t>
  </si>
  <si>
    <t>RTE DE FENESTRES</t>
  </si>
  <si>
    <t>ROD600036</t>
  </si>
  <si>
    <t>MEN400319</t>
  </si>
  <si>
    <t>LA FAGE MONTIVERNOUX</t>
  </si>
  <si>
    <t>RTE DU POUGET</t>
  </si>
  <si>
    <t>ROD600037</t>
  </si>
  <si>
    <t>MEN400261</t>
  </si>
  <si>
    <t>ALLENC</t>
  </si>
  <si>
    <t>LE PUECH</t>
  </si>
  <si>
    <t>ROD600042</t>
  </si>
  <si>
    <t>MEN400232</t>
  </si>
  <si>
    <t>SAINT LAURENT DE MURET</t>
  </si>
  <si>
    <t>ROD600043</t>
  </si>
  <si>
    <t>MEN400150</t>
  </si>
  <si>
    <t>BOURGS SUR COLAGNE</t>
  </si>
  <si>
    <t>RTE DU SEGALA</t>
  </si>
  <si>
    <t>ROD600059</t>
  </si>
  <si>
    <t>MEN400115</t>
  </si>
  <si>
    <t>I3</t>
  </si>
  <si>
    <t>BARJAC</t>
  </si>
  <si>
    <t>PLACE DE L EGLISE</t>
  </si>
  <si>
    <t>ROD600072</t>
  </si>
  <si>
    <t>MEN400080</t>
  </si>
  <si>
    <t>MEYRUEIS</t>
  </si>
  <si>
    <t>LD FERRUSSAC</t>
  </si>
  <si>
    <t>ROD600081</t>
  </si>
  <si>
    <t>MEN300157</t>
  </si>
  <si>
    <t>585 AV EDOUARD ALFRED MARTEL</t>
  </si>
  <si>
    <t>14/04: Dissim: Le dossier ne comporte aucun contact</t>
  </si>
  <si>
    <t>ROD600083</t>
  </si>
  <si>
    <t>ALE500580</t>
  </si>
  <si>
    <t>ALES</t>
  </si>
  <si>
    <t>TRA DES ESPINEAUX A LA BEDOSSE</t>
  </si>
  <si>
    <t>iée a la ALE500143</t>
  </si>
  <si>
    <t>ROD600086</t>
  </si>
  <si>
    <t>ALE500143</t>
  </si>
  <si>
    <t>1190 TRA DES ESPINEAUX A LA BEDOSSE</t>
  </si>
  <si>
    <t>ROD600096</t>
  </si>
  <si>
    <t>MEN500679</t>
  </si>
  <si>
    <t>NASBINALS</t>
  </si>
  <si>
    <t>6 RTE DES LACS</t>
  </si>
  <si>
    <t>ROD600097</t>
  </si>
  <si>
    <t>NIM500816</t>
  </si>
  <si>
    <t>CHE DU MAS DE CLERC</t>
  </si>
  <si>
    <t>ROD600112</t>
  </si>
  <si>
    <t>MEN600051</t>
  </si>
  <si>
    <t>PEYRE EN AUBRAC</t>
  </si>
  <si>
    <t>20 RTE DE SAINTE COLOMBE DE PEYRE</t>
  </si>
  <si>
    <t>ROD600113</t>
  </si>
  <si>
    <t>MEN500667</t>
  </si>
  <si>
    <t>3811 RTE D AUBRAC</t>
  </si>
  <si>
    <t>ROD600119</t>
  </si>
  <si>
    <t>MEN500565</t>
  </si>
  <si>
    <t>VEYRES</t>
  </si>
  <si>
    <t>URGENT photos hors zone,besoin retour/ /vérification de GC photo et vidéo , 44.77257 ; 3.13156</t>
  </si>
  <si>
    <t>ROD600120</t>
  </si>
  <si>
    <t>MEN400643</t>
  </si>
  <si>
    <t>NOALHAC</t>
  </si>
  <si>
    <t>BECUS</t>
  </si>
  <si>
    <t>ROD600123</t>
  </si>
  <si>
    <t>MPL401025</t>
  </si>
  <si>
    <t>MAUGUIO</t>
  </si>
  <si>
    <t>739 AV JEAN BAPTISTE CLEMENT</t>
  </si>
  <si>
    <t>ROD600147</t>
  </si>
  <si>
    <t>MEN600032</t>
  </si>
  <si>
    <t>CUBIERES</t>
  </si>
  <si>
    <t>LD POMARET</t>
  </si>
  <si>
    <t>ROD600149</t>
  </si>
  <si>
    <t>19 LOT SAINT FERREOLS</t>
  </si>
  <si>
    <t>ROD600159</t>
  </si>
  <si>
    <t>13 ETAT 5</t>
  </si>
  <si>
    <t>COMPEYRE</t>
  </si>
  <si>
    <t>R DU RAVIN</t>
  </si>
  <si>
    <t>ROD600160</t>
  </si>
  <si>
    <t>ROD500349</t>
  </si>
  <si>
    <t>1 AVENUE DU SEGALA</t>
  </si>
  <si>
    <t>ROD600161</t>
  </si>
  <si>
    <t>ROD500704</t>
  </si>
  <si>
    <t>COURRY</t>
  </si>
  <si>
    <t>ROD600162</t>
  </si>
  <si>
    <t>ROD501099</t>
  </si>
  <si>
    <t>3 RUE PHILIPPE ROUTABOUL</t>
  </si>
  <si>
    <r>
      <rPr>
        <sz val="10"/>
        <color rgb="FF000000"/>
        <rFont val="Arial"/>
      </rPr>
      <t xml:space="preserve">Vérification trvx ( GC+chbres ) </t>
    </r>
    <r>
      <rPr>
        <sz val="10"/>
        <color rgb="FFFF0000"/>
        <rFont val="Arial"/>
      </rPr>
      <t>RDV 8h/9h besoin retour</t>
    </r>
  </si>
  <si>
    <t>ROD600166</t>
  </si>
  <si>
    <t>ROD501804</t>
  </si>
  <si>
    <t>PV OK</t>
  </si>
  <si>
    <t>RODELLE</t>
  </si>
  <si>
    <t>HAM LAGNAC</t>
  </si>
  <si>
    <t>A remonter par CHAIMA</t>
  </si>
  <si>
    <t>ROD600168</t>
  </si>
  <si>
    <t>URGENT :photo VLOC</t>
  </si>
  <si>
    <t>ROD600169</t>
  </si>
  <si>
    <t>12 AT MAJ SI</t>
  </si>
  <si>
    <t>D1</t>
  </si>
  <si>
    <t>ROD600204</t>
  </si>
  <si>
    <t>MEN400695</t>
  </si>
  <si>
    <t>manque attestation adressage</t>
  </si>
  <si>
    <t>LES BONDONS</t>
  </si>
  <si>
    <t xml:space="preserve">LD LE CROUZET </t>
  </si>
  <si>
    <t>ROD600209</t>
  </si>
  <si>
    <t>MEN400649</t>
  </si>
  <si>
    <t xml:space="preserve">RTE DU LANGUEDOC </t>
  </si>
  <si>
    <t>ROD600224</t>
  </si>
  <si>
    <t>MEN600011</t>
  </si>
  <si>
    <t>46 AV DU MARECHAL FOCH</t>
  </si>
  <si>
    <t>RDV à 16h ; à appeler le client avant l'arrivée de 45min</t>
  </si>
  <si>
    <t>ROD600249</t>
  </si>
  <si>
    <t>MEN500717</t>
  </si>
  <si>
    <t>ST ETIENNE DU VALDONNEZ</t>
  </si>
  <si>
    <t>1 CH DE VENTAILHAC</t>
  </si>
  <si>
    <t>ROD600259</t>
  </si>
  <si>
    <t>ROD600309</t>
  </si>
  <si>
    <t>O0</t>
  </si>
  <si>
    <t>PIERREFICHE</t>
  </si>
  <si>
    <t>RTE DE BELLEVUE</t>
  </si>
  <si>
    <t>ROD600261</t>
  </si>
  <si>
    <t>11 AT DTA</t>
  </si>
  <si>
    <t>78 CHEMIN DE LA SALESSE</t>
  </si>
  <si>
    <t>ROD600265</t>
  </si>
  <si>
    <t>LA BASTIDE-SOLAGES</t>
  </si>
  <si>
    <t>LE BOURG</t>
  </si>
  <si>
    <t>ROD600272</t>
  </si>
  <si>
    <t>LE TRUEL</t>
  </si>
  <si>
    <t>LES CAZALS</t>
  </si>
  <si>
    <t>ROD600275</t>
  </si>
  <si>
    <t>EW</t>
  </si>
  <si>
    <t>CAMARES</t>
  </si>
  <si>
    <t>AV ST AFFRIQUE</t>
  </si>
  <si>
    <t>ROD600279</t>
  </si>
  <si>
    <t>10.1 ATT DT</t>
  </si>
  <si>
    <t>MARTRIN</t>
  </si>
  <si>
    <t>LD L ADRECH</t>
  </si>
  <si>
    <t xml:space="preserve">A remonter par CHAIMA/43.94938 ; 2.60489 </t>
  </si>
  <si>
    <t>ROD600281</t>
  </si>
  <si>
    <t>10 AT PV</t>
  </si>
  <si>
    <t xml:space="preserve">Recu </t>
  </si>
  <si>
    <t>LES ALBRES</t>
  </si>
  <si>
    <t>CHEMIN PIERRE BLANCHE</t>
  </si>
  <si>
    <t>12/09/2025retour le 06/10</t>
  </si>
  <si>
    <t>reprise des photos montage par khedher</t>
  </si>
  <si>
    <t>ROD600283</t>
  </si>
  <si>
    <t>Att changement DRE + DPLI de BEIN</t>
  </si>
  <si>
    <t>GABRIAC</t>
  </si>
  <si>
    <t>RUE DU CHATEAU</t>
  </si>
  <si>
    <t>RDV à 8h:15 /9h</t>
  </si>
  <si>
    <t>ROD600308</t>
  </si>
  <si>
    <t>OLEMPS</t>
  </si>
  <si>
    <t>425 RTE DE CAYSSIOLET</t>
  </si>
  <si>
    <t>ENTRAYGUES SUR TRUYERE</t>
  </si>
  <si>
    <t>1 PASS DU MOULIN</t>
  </si>
  <si>
    <t>ROD600310</t>
  </si>
  <si>
    <t>RELANCE TEL</t>
  </si>
  <si>
    <t>CAMPUAC</t>
  </si>
  <si>
    <t>2 CHEMIN DES CLAUZELLOUS</t>
  </si>
  <si>
    <t xml:space="preserve">URGENT </t>
  </si>
  <si>
    <t>ROD600312</t>
  </si>
  <si>
    <t>SAINT ROME DE CERNON</t>
  </si>
  <si>
    <t>23 AV REPUBLIQUE</t>
  </si>
  <si>
    <t>refus RIP(rdv avec poste)</t>
  </si>
  <si>
    <t>ROD600334</t>
  </si>
  <si>
    <t>6 R SCOURDOIS</t>
  </si>
  <si>
    <t>fin trvx : avril 2027</t>
  </si>
  <si>
    <t>ROD600343</t>
  </si>
  <si>
    <t xml:space="preserve">Liée a la ROD600312 </t>
  </si>
  <si>
    <t>ESTAING</t>
  </si>
  <si>
    <t xml:space="preserve">30 RUE DE L ECOLE </t>
  </si>
  <si>
    <r>
      <rPr>
        <sz val="10"/>
        <color rgb="FF000000"/>
        <rFont val="Arial"/>
      </rPr>
      <t xml:space="preserve">ZOHRA </t>
    </r>
    <r>
      <rPr>
        <sz val="10"/>
        <color rgb="FFFF0000"/>
        <rFont val="Arial"/>
      </rPr>
      <t>RDV entre 10h et 12h</t>
    </r>
  </si>
  <si>
    <t>MEN200785</t>
  </si>
  <si>
    <t>R SCOURDOIS</t>
  </si>
  <si>
    <t>MEN200889</t>
  </si>
  <si>
    <t>MEN600009</t>
  </si>
  <si>
    <t>LACHAMP RIBENNES</t>
  </si>
  <si>
    <t>52 CHASSAGNES</t>
  </si>
  <si>
    <t>MEN300154</t>
  </si>
  <si>
    <t>MEN500710</t>
  </si>
  <si>
    <t>LD LA CITERNE</t>
  </si>
  <si>
    <t>MEN300291</t>
  </si>
  <si>
    <t>MEN600021</t>
  </si>
  <si>
    <t>LE BUISSON</t>
  </si>
  <si>
    <t>170 RUE DES SOURCES</t>
  </si>
  <si>
    <t>MEN300571</t>
  </si>
  <si>
    <t>MEN500712</t>
  </si>
  <si>
    <t>SAINT JULIEN DES POINTS</t>
  </si>
  <si>
    <t>RTE DU BRUC</t>
  </si>
  <si>
    <t>RDV entre 15h et 16h</t>
  </si>
  <si>
    <t>MEN300841</t>
  </si>
  <si>
    <t>MEN500038</t>
  </si>
  <si>
    <t xml:space="preserve">VT par stephane le 17/02 </t>
  </si>
  <si>
    <t>MEN400033</t>
  </si>
  <si>
    <t>MEN500659</t>
  </si>
  <si>
    <t>MONT LOZERE ET GOULET</t>
  </si>
  <si>
    <t>230 RUE DES JARDINS</t>
  </si>
  <si>
    <t>MEN400055</t>
  </si>
  <si>
    <t>09 AT DEVIS ORANGE/RIP</t>
  </si>
  <si>
    <t>MEN400056</t>
  </si>
  <si>
    <t>MONTPEYROUX</t>
  </si>
  <si>
    <t>RTE DE SOUBEYROLLES</t>
  </si>
  <si>
    <t>MEN400152</t>
  </si>
  <si>
    <t>ATT UPR</t>
  </si>
  <si>
    <t>LAVAT ROQUECEZIERE</t>
  </si>
  <si>
    <t>RTE DES PERES</t>
  </si>
  <si>
    <t>MEN400290</t>
  </si>
  <si>
    <t xml:space="preserve">ATT ORANGE </t>
  </si>
  <si>
    <t>BROUSSE LE CHATEAU</t>
  </si>
  <si>
    <t>LA PALISSE</t>
  </si>
  <si>
    <t>MEN400292</t>
  </si>
  <si>
    <t xml:space="preserve"> LE THERONDELS</t>
  </si>
  <si>
    <t>MEN400331</t>
  </si>
  <si>
    <t>DI</t>
  </si>
  <si>
    <t xml:space="preserve"> VERRIERES</t>
  </si>
  <si>
    <t xml:space="preserve">	1 CONCLUS</t>
  </si>
  <si>
    <t>Liée à la ROD501307 (traité par sondos)</t>
  </si>
  <si>
    <t>MEN400334</t>
  </si>
  <si>
    <t>TAUSSAC</t>
  </si>
  <si>
    <t>1200 PEYRAT</t>
  </si>
  <si>
    <t>MEN400337</t>
  </si>
  <si>
    <t>CENTRES</t>
  </si>
  <si>
    <t>RTE DE TAURINES</t>
  </si>
  <si>
    <t>MEN400515</t>
  </si>
  <si>
    <t>NAUCELLE</t>
  </si>
  <si>
    <t>40 AV DE RODEZ</t>
  </si>
  <si>
    <t>MEN400595</t>
  </si>
  <si>
    <t>SOULAGES BONNEVAL</t>
  </si>
  <si>
    <t>LD LA GARDELLE</t>
  </si>
  <si>
    <t>n att compte rendu piqueteur</t>
  </si>
  <si>
    <t>E8</t>
  </si>
  <si>
    <t>CONQUES EN ROUERGUE</t>
  </si>
  <si>
    <t>L HORTE</t>
  </si>
  <si>
    <t>MEN400743</t>
  </si>
  <si>
    <t>BROMMET</t>
  </si>
  <si>
    <t>RTE DE SAINT ANTHIME</t>
  </si>
  <si>
    <t xml:space="preserve"> ORANGE NON IMPVerification trvx ENEDIS/A remonter par sondos</t>
  </si>
  <si>
    <t>MEN400749</t>
  </si>
  <si>
    <t>ROUTE DE SARNHAC</t>
  </si>
  <si>
    <t>MEN500026</t>
  </si>
  <si>
    <t xml:space="preserve"> 	70 CH DE LA CARRAL</t>
  </si>
  <si>
    <t>sera traiter par chaima/sol EVOLGC</t>
  </si>
  <si>
    <t>MEN500028</t>
  </si>
  <si>
    <t>LES 3 PIERRES</t>
  </si>
  <si>
    <t>MEN500029</t>
  </si>
  <si>
    <t>CASTELNAU PEGAYROLS</t>
  </si>
  <si>
    <t>2410 RTE DE BOULOC</t>
  </si>
  <si>
    <t>A remonter par HAJJEJ</t>
  </si>
  <si>
    <t>MEN500032</t>
  </si>
  <si>
    <t>THERONDELS</t>
  </si>
  <si>
    <t>4 ZA LABOUNITIO</t>
  </si>
  <si>
    <t>RIEUPEYROUX</t>
  </si>
  <si>
    <t>PUECH CRAMAT</t>
  </si>
  <si>
    <t>MEN500040</t>
  </si>
  <si>
    <t xml:space="preserve"> ARGENCE EN AUBRAC</t>
  </si>
  <si>
    <t>3 RUE DU MOULIN CHANGRAND</t>
  </si>
  <si>
    <t>MEN500042</t>
  </si>
  <si>
    <t>MARCILLAC VALLON</t>
  </si>
  <si>
    <t>49 CH DE LA CARRIERE</t>
  </si>
  <si>
    <t>MEN500066</t>
  </si>
  <si>
    <t>AV LAURAS</t>
  </si>
  <si>
    <t>Racha</t>
  </si>
  <si>
    <t>MEN500125</t>
  </si>
  <si>
    <t>14 R GAMBETTA</t>
  </si>
  <si>
    <t>A remonter par chaima/RDV à partir de 14h</t>
  </si>
  <si>
    <t>MEN500127</t>
  </si>
  <si>
    <t>BONNEFON</t>
  </si>
  <si>
    <t>MEN500142</t>
  </si>
  <si>
    <t>REYNES</t>
  </si>
  <si>
    <t>A remonter par sondos/Besoin retour/44.06610;2.73155</t>
  </si>
  <si>
    <t>MEN500149</t>
  </si>
  <si>
    <t>VERRIERES</t>
  </si>
  <si>
    <t>LARQUINEL</t>
  </si>
  <si>
    <t>44.23378 ; 3.03944</t>
  </si>
  <si>
    <t>MEN500177</t>
  </si>
  <si>
    <t>ARVIEU</t>
  </si>
  <si>
    <t>RTE DES GRIFFOULS</t>
  </si>
  <si>
    <t>RACHA</t>
  </si>
  <si>
    <t>MEN500191</t>
  </si>
  <si>
    <t>11 RUE DE RASTIGNAC</t>
  </si>
  <si>
    <t>MEN500201</t>
  </si>
  <si>
    <t>ATT CER</t>
  </si>
  <si>
    <t>MEN500215</t>
  </si>
  <si>
    <t>27 AV ARSENE RATIER</t>
  </si>
  <si>
    <t>liée a la ROD501099</t>
  </si>
  <si>
    <t>MEN500219</t>
  </si>
  <si>
    <t>pas de VT</t>
  </si>
  <si>
    <t>pas besoin de VT</t>
  </si>
  <si>
    <t>MEN500221</t>
  </si>
  <si>
    <t>SAINT COME D'OLT</t>
  </si>
  <si>
    <t>9 CH DU LAC</t>
  </si>
  <si>
    <t>racha</t>
  </si>
  <si>
    <t>MEN500239</t>
  </si>
  <si>
    <t>RULLAC SAINT CIRQ</t>
  </si>
  <si>
    <t>158 CH DES ACCACIAS</t>
  </si>
  <si>
    <t>44.12463 ; 2.46096/ZOHRA</t>
  </si>
  <si>
    <t>MEN500246</t>
  </si>
  <si>
    <t>LAISSAC SEVERAC L EGLISE</t>
  </si>
  <si>
    <t>SALACROUP</t>
  </si>
  <si>
    <t>MEN500261</t>
  </si>
  <si>
    <t>2 CHE COMBES</t>
  </si>
  <si>
    <t>MEN500262</t>
  </si>
  <si>
    <t>SEBRAZAC</t>
  </si>
  <si>
    <t>LD LAVAL</t>
  </si>
  <si>
    <t>VT à refaire URGENT!</t>
  </si>
  <si>
    <t>MEN500269</t>
  </si>
  <si>
    <t>QUINS</t>
  </si>
  <si>
    <t>4873 RTE D ARGENT</t>
  </si>
  <si>
    <t>MEN500280</t>
  </si>
  <si>
    <t>6 RUE DU CHATEAU D EAU</t>
  </si>
  <si>
    <t>pose PBdans L1T</t>
  </si>
  <si>
    <t>MEN500281</t>
  </si>
  <si>
    <t>ESCLANEDES</t>
  </si>
  <si>
    <t>RTE DE LA ROCHEROUSSE</t>
  </si>
  <si>
    <t>MEN500282</t>
  </si>
  <si>
    <t>MEN600005</t>
  </si>
  <si>
    <t>PLAN A MODIFIER NON CONFORME</t>
  </si>
  <si>
    <t>199 RUE DE LA GRAILLE</t>
  </si>
  <si>
    <t>loin de la tournée plus proche à rodez / Zohra</t>
  </si>
  <si>
    <t>MEN500283</t>
  </si>
  <si>
    <t>MEN500709</t>
  </si>
  <si>
    <t>SAINT ALBAN LIMAGNOLE</t>
  </si>
  <si>
    <t xml:space="preserve"> 	RUE DES PINS</t>
  </si>
  <si>
    <t>MEN500284</t>
  </si>
  <si>
    <t>MEN500658</t>
  </si>
  <si>
    <t>Manque  appareil de profondeur</t>
  </si>
  <si>
    <t>LES BESSONS</t>
  </si>
  <si>
    <t>LE MAS</t>
  </si>
  <si>
    <t xml:space="preserve">ZOHRA/SOLUTION EVOLGC/44.77469 ; 3.21560 </t>
  </si>
  <si>
    <t>MEN500356</t>
  </si>
  <si>
    <t>MEN500651</t>
  </si>
  <si>
    <t>Lié a MEN400779</t>
  </si>
  <si>
    <t>pas besoin VT</t>
  </si>
  <si>
    <t>MEN500377</t>
  </si>
  <si>
    <t>MEN500503</t>
  </si>
  <si>
    <t>SAINT PRIVAT DU FAU</t>
  </si>
  <si>
    <t xml:space="preserve"> 	LE VILLARD GRAND</t>
  </si>
  <si>
    <t>Liée a la MEN500440</t>
  </si>
  <si>
    <t>MEN500380</t>
  </si>
  <si>
    <t>MEN500492</t>
  </si>
  <si>
    <t>SAINT FLOUR DE MERCOIRE</t>
  </si>
  <si>
    <t>RTE DE MERCOIRE</t>
  </si>
  <si>
    <t>MEN500404</t>
  </si>
  <si>
    <t>MEN500487</t>
  </si>
  <si>
    <t>ALBARET LE COMTAL</t>
  </si>
  <si>
    <t>MEN500422</t>
  </si>
  <si>
    <t>MEN500457</t>
  </si>
  <si>
    <t>JULIANGES</t>
  </si>
  <si>
    <t>MEN500435</t>
  </si>
  <si>
    <t>MEN500440</t>
  </si>
  <si>
    <t>LE VILLARD GRAND</t>
  </si>
  <si>
    <t>MEN500437</t>
  </si>
  <si>
    <t>BRAMONAS</t>
  </si>
  <si>
    <t>En Att 11/06</t>
  </si>
  <si>
    <t>LE VILLARET</t>
  </si>
  <si>
    <t>MEN500454</t>
  </si>
  <si>
    <t xml:space="preserve">VILLAGE </t>
  </si>
  <si>
    <t xml:space="preserve">	37 RTE DE SAINT SAUVEUR </t>
  </si>
  <si>
    <t xml:space="preserve">12/05 à11h </t>
  </si>
  <si>
    <t>lié MEN500238</t>
  </si>
  <si>
    <t>MEN500223</t>
  </si>
  <si>
    <t xml:space="preserve">	1 RUE DE BELLEVUE</t>
  </si>
  <si>
    <t>MEN500490</t>
  </si>
  <si>
    <t>En ATT 9/07</t>
  </si>
  <si>
    <t>FLORAC</t>
  </si>
  <si>
    <t>LD LES FOUZES</t>
  </si>
  <si>
    <t>LA CANOURGUE</t>
  </si>
  <si>
    <t>Le Boulay - ENEDIS</t>
  </si>
  <si>
    <t>En ATT 18/07</t>
  </si>
  <si>
    <t>SAINT ANDRE CAPCEZE</t>
  </si>
  <si>
    <t>L ELZIERE</t>
  </si>
  <si>
    <t xml:space="preserve">DOSSIER LIEE A LA MEN300841 </t>
  </si>
  <si>
    <t>MEN500541</t>
  </si>
  <si>
    <t>En ATT 15/05</t>
  </si>
  <si>
    <t>SAINT GERMAIN DE CALBERTE</t>
  </si>
  <si>
    <t>LD REVOLTE</t>
  </si>
  <si>
    <t>MEN500542</t>
  </si>
  <si>
    <t>MEN600006</t>
  </si>
  <si>
    <t>AV DU MARECHAL FOCH</t>
  </si>
  <si>
    <t>MEN500545</t>
  </si>
  <si>
    <t>MEN500720</t>
  </si>
  <si>
    <t>5C PL DU PRE COMMUN</t>
  </si>
  <si>
    <t>afek</t>
  </si>
  <si>
    <t>259 CH DE CAMPELS BAS</t>
  </si>
  <si>
    <t xml:space="preserve">REO ET </t>
  </si>
  <si>
    <t xml:space="preserve">LA FOUILLADE </t>
  </si>
  <si>
    <t>1 CHE DU CAMMAS</t>
  </si>
  <si>
    <t>1 PRADELLES</t>
  </si>
  <si>
    <t>LE MOULIN DE BONNEFON</t>
  </si>
  <si>
    <t>louay</t>
  </si>
  <si>
    <t>LD ESPANHAC</t>
  </si>
  <si>
    <t>zohra+racha</t>
  </si>
  <si>
    <t>MEN500657</t>
  </si>
  <si>
    <t>CHAUCHAILLES</t>
  </si>
  <si>
    <t>MEN500602</t>
  </si>
  <si>
    <t>MONTRODAT</t>
  </si>
  <si>
    <t>6 RUE DE LA LIMOUSE</t>
  </si>
  <si>
    <t>liée à MEN500576</t>
  </si>
  <si>
    <t>MEN500707</t>
  </si>
  <si>
    <t>NOUVELLE (VOIE)</t>
  </si>
  <si>
    <t>étude CAPFT</t>
  </si>
  <si>
    <t>MEN500566</t>
  </si>
  <si>
    <t>07 AT TRVX CLIENT</t>
  </si>
  <si>
    <t xml:space="preserve">Avril APF A faire </t>
  </si>
  <si>
    <t>COMPS LA GRAND VILLE</t>
  </si>
  <si>
    <t>RTE DE LA CIBADIERE</t>
  </si>
  <si>
    <t xml:space="preserve">date fin trvx :début avril </t>
  </si>
  <si>
    <t>MEN500573</t>
  </si>
  <si>
    <t>RUE DE LA MAIRIE</t>
  </si>
  <si>
    <t>MEN500574</t>
  </si>
  <si>
    <t>LE NAYRAC</t>
  </si>
  <si>
    <t>20 PL DE L EGLISE</t>
  </si>
  <si>
    <t>travaux commencent  en décembre / mail envoyé 23/02</t>
  </si>
  <si>
    <t>AVENUE ESPALION</t>
  </si>
  <si>
    <t>LIEE ROD500771 ROD500914</t>
  </si>
  <si>
    <t>MEN500619</t>
  </si>
  <si>
    <t>GOLINHAC</t>
  </si>
  <si>
    <t>Les travaux de construction de l'IMB sont en cours et devraient être finalisés en janvier 2026.</t>
  </si>
  <si>
    <t>MEN500629</t>
  </si>
  <si>
    <t>SAINT LEONS</t>
  </si>
  <si>
    <t>10 LOT LE CAUSSE</t>
  </si>
  <si>
    <t>13/05: client injoignable (aucun mail sur dossier)                                                24/02: Les travaux seront accomplis début mai.</t>
  </si>
  <si>
    <t>MEN500630</t>
  </si>
  <si>
    <t>PRUINES</t>
  </si>
  <si>
    <t>LE CAMP GRAND</t>
  </si>
  <si>
    <t>pas encore terminés</t>
  </si>
  <si>
    <t>MEN500631</t>
  </si>
  <si>
    <t>MONJAUX</t>
  </si>
  <si>
    <t xml:space="preserve">CANDAS </t>
  </si>
  <si>
    <t>mail envoyé 09/01/2026 //pas encore terminés</t>
  </si>
  <si>
    <t>MEN500638</t>
  </si>
  <si>
    <t>ROUTE DE LA VEZINGUE</t>
  </si>
  <si>
    <t>MEN500641</t>
  </si>
  <si>
    <t xml:space="preserve">MAXELS </t>
  </si>
  <si>
    <t>travaux dans batiment seront terminés au mois de juin</t>
  </si>
  <si>
    <t>MEN500642</t>
  </si>
  <si>
    <t xml:space="preserve">05/06 9H30 </t>
  </si>
  <si>
    <t>Travaux fin Octobre/ mail envoyé 05/01/2026 sans réponse</t>
  </si>
  <si>
    <t>CHE DE COMBEFOUILLOUSE</t>
  </si>
  <si>
    <t xml:space="preserve">lundi 9h30 sans retard </t>
  </si>
  <si>
    <t>MEN500653</t>
  </si>
  <si>
    <t>IMP DE COMBEFOUILLOUSE</t>
  </si>
  <si>
    <t>travaux pas encore réalisés / dossier vide</t>
  </si>
  <si>
    <t>LOT LES LANDES</t>
  </si>
  <si>
    <t>travaux terminés au mois de mars 2026/ pas encore termionés</t>
  </si>
  <si>
    <t xml:space="preserve"> SAINT CHELY D AUBRAC</t>
  </si>
  <si>
    <t xml:space="preserve">	RUE DU PONT VIEUX</t>
  </si>
  <si>
    <t>travaux pas encore commencés &amp; Batiment inaccessible</t>
  </si>
  <si>
    <t>SAINT COME D OLT</t>
  </si>
  <si>
    <t>Avenue d'Espalion</t>
  </si>
  <si>
    <t>20/06 9H</t>
  </si>
  <si>
    <t>MEN500670</t>
  </si>
  <si>
    <t>2 R EGLISE</t>
  </si>
  <si>
    <t>ROD500627 / mail envoyé sans réponse 08/01/2026</t>
  </si>
  <si>
    <t>MEN500673</t>
  </si>
  <si>
    <t>24/07 à 12h</t>
  </si>
  <si>
    <t>Travxu début septembre pour 3mois</t>
  </si>
  <si>
    <t xml:space="preserve"> LESTRADE ET THOUELS</t>
  </si>
  <si>
    <t>LD TAYSSES</t>
  </si>
  <si>
    <t xml:space="preserve">VT OK </t>
  </si>
  <si>
    <t>mail envoyé 09/02</t>
  </si>
  <si>
    <t>SEGUR</t>
  </si>
  <si>
    <t>5 RUE DU CLAUX</t>
  </si>
  <si>
    <t>tvx pas encore effectués/ mail envoyé12/01/2025 sans réponse</t>
  </si>
  <si>
    <t>CARRATIERES BASSES</t>
  </si>
  <si>
    <t>début trvx 12/01/26 et dureront 9 semaines</t>
  </si>
  <si>
    <t>CH DE LA BLAQUIERE</t>
  </si>
  <si>
    <t>mail envoyé 09/01/2026 // trvx terminés en octobre 2025</t>
  </si>
  <si>
    <t>MEN500714</t>
  </si>
  <si>
    <t>SAINT-LAURENT-DE-LEVEZOU</t>
  </si>
  <si>
    <t>LA LAITERIE</t>
  </si>
  <si>
    <t>mail envoyé 09/01/2026 sans réponse</t>
  </si>
  <si>
    <t>20 PLACE DE L AMICALE</t>
  </si>
  <si>
    <t>Dossier vide</t>
  </si>
  <si>
    <t>MEN500719</t>
  </si>
  <si>
    <t>ARQUES</t>
  </si>
  <si>
    <t>91 IMP DES COMBALS</t>
  </si>
  <si>
    <t xml:space="preserve">Appui ENEDIS à déposer/ mail envoyé au client pour confirmation </t>
  </si>
  <si>
    <t>ARGENCE EN AUBRAC</t>
  </si>
  <si>
    <t>RTE PRADEAUX</t>
  </si>
  <si>
    <t>Les travaux seront terminés courant juillet 2026.</t>
  </si>
  <si>
    <t>Route de Saint Victor</t>
  </si>
  <si>
    <t>trvx terminent fin avril 2026</t>
  </si>
  <si>
    <t>MONTEZIC</t>
  </si>
  <si>
    <t>LE PUECH DE MONNES</t>
  </si>
  <si>
    <t xml:space="preserve">travaux ENEDIS commencent avril 2026 </t>
  </si>
  <si>
    <t>MEN600007</t>
  </si>
  <si>
    <t>BASSE CURVALLE</t>
  </si>
  <si>
    <t xml:space="preserve">CH DE LA SALESSE  </t>
  </si>
  <si>
    <t>mail envoyé 12/01/2026 sans réponse</t>
  </si>
  <si>
    <t>RTE DE LA PRIMAUBE</t>
  </si>
  <si>
    <t>mail envoyé 12/01/2026 // trvx début février 2026</t>
  </si>
  <si>
    <t>MEN600010</t>
  </si>
  <si>
    <t>A contacter le 15/01</t>
  </si>
  <si>
    <t>LE BOUSQUET HAUT</t>
  </si>
  <si>
    <t>trvx pas encore terminés</t>
  </si>
  <si>
    <t>BARAQUEVILLE</t>
  </si>
  <si>
    <t>3932 AV DE RODEZ</t>
  </si>
  <si>
    <t>MEN600016</t>
  </si>
  <si>
    <t>SAINT FELIX DE LUNEL</t>
  </si>
  <si>
    <t>ROUTE DE LA FLGAYROUSE</t>
  </si>
  <si>
    <t>MEN600020</t>
  </si>
  <si>
    <t>CASTANET</t>
  </si>
  <si>
    <t xml:space="preserve">LE BELVEDERE </t>
  </si>
  <si>
    <t>mail envoyé 09/01/2025 sans réponse</t>
  </si>
  <si>
    <t>MEN600030</t>
  </si>
  <si>
    <t>Att TRX Client</t>
  </si>
  <si>
    <t>SAINT LAURENT D OLT</t>
  </si>
  <si>
    <t>RUE DU VAL D OLT</t>
  </si>
  <si>
    <t>mail envoyé 06/02</t>
  </si>
  <si>
    <t>06 71 24 51 25</t>
  </si>
  <si>
    <t>MEN600034</t>
  </si>
  <si>
    <t>//</t>
  </si>
  <si>
    <t>MEN600045</t>
  </si>
  <si>
    <t>5 R SABLON</t>
  </si>
  <si>
    <t>tvx GC prévus octobre 2026</t>
  </si>
  <si>
    <t>MEN600050</t>
  </si>
  <si>
    <t>MEN600052</t>
  </si>
  <si>
    <t>18 R SOUBAYROL</t>
  </si>
  <si>
    <t xml:space="preserve">26/09/2025 9H30 </t>
  </si>
  <si>
    <t>TRAITE</t>
  </si>
  <si>
    <t>MEN600053</t>
  </si>
  <si>
    <t>SAINT ANDRE DE NAJAC</t>
  </si>
  <si>
    <t>RTE DE L ORATOIRE</t>
  </si>
  <si>
    <t>MEN600058</t>
  </si>
  <si>
    <t>LE BELVEDERE</t>
  </si>
  <si>
    <t>trvx commencent fin février 2026 et dureront 2 mois</t>
  </si>
  <si>
    <t>MEN600063</t>
  </si>
  <si>
    <t>trvx commencent 12 janvier et ils dureront 9 semaines :44.11588;3.06470</t>
  </si>
  <si>
    <t>MEN600064</t>
  </si>
  <si>
    <t>LA SALVETAT PEYRALES</t>
  </si>
  <si>
    <t>PUECHMONTARD</t>
  </si>
  <si>
    <t>mail enovyé le 09/02</t>
  </si>
  <si>
    <t>MEN600068</t>
  </si>
  <si>
    <t>RUE DU CHANOINE BREVIER</t>
  </si>
  <si>
    <t>MEN600071</t>
  </si>
  <si>
    <t>MPL401026</t>
  </si>
  <si>
    <t xml:space="preserve">OINE à prévoir </t>
  </si>
  <si>
    <t xml:space="preserve">6 R FAUBOURG </t>
  </si>
  <si>
    <t>date trvx : avril 2026</t>
  </si>
  <si>
    <t>MPL500843</t>
  </si>
  <si>
    <t>RUE DES MATELINES</t>
  </si>
  <si>
    <t>en att CRVT signé ; appel fait 03/02</t>
  </si>
  <si>
    <t>L ESCARASSOUS</t>
  </si>
  <si>
    <t xml:space="preserve">OINE A FAIRE </t>
  </si>
  <si>
    <t>CH DE L AUBADERE</t>
  </si>
  <si>
    <t xml:space="preserve">Att accord pose PTX partie privée </t>
  </si>
  <si>
    <t>LE PUECH SAINT AMANS</t>
  </si>
  <si>
    <t>Att date création GC</t>
  </si>
  <si>
    <t>MUR DE BARREZ</t>
  </si>
  <si>
    <t>RUE DU PUECH DE LA TOURELLE</t>
  </si>
  <si>
    <r>
      <rPr>
        <sz val="10"/>
        <color rgb="FFFF0000"/>
        <rFont val="Arial"/>
      </rPr>
      <t>RDV à 14h ;</t>
    </r>
    <r>
      <rPr>
        <sz val="10"/>
        <color rgb="FF000000"/>
        <rFont val="Arial"/>
      </rPr>
      <t>bernard dubedat 0785688655</t>
    </r>
  </si>
  <si>
    <t>LES COSTES GOZON</t>
  </si>
  <si>
    <t>8 RTE DE BLAUNAC</t>
  </si>
  <si>
    <t>en att date fin trvx;appel fait 04/02 ;client refuse remplacement gaine</t>
  </si>
  <si>
    <t xml:space="preserve">Fin Mai </t>
  </si>
  <si>
    <t>407 AV EUROPE</t>
  </si>
  <si>
    <t>ate fin travayx : fin mai</t>
  </si>
  <si>
    <t>BEDOUES COCURES</t>
  </si>
  <si>
    <t>R DE LA COLLEGIALE</t>
  </si>
  <si>
    <r>
      <rPr>
        <sz val="10"/>
        <color rgb="FF000000"/>
        <rFont val="Arial"/>
      </rPr>
      <t>Sondos /mixte pro + dessat</t>
    </r>
    <r>
      <rPr>
        <sz val="10"/>
        <color rgb="FFFF0000"/>
        <rFont val="Arial"/>
      </rPr>
      <t xml:space="preserve"> RDV 10h/11h</t>
    </r>
  </si>
  <si>
    <t>3 RUE DES FONTAINES</t>
  </si>
  <si>
    <t>trvx se terminent  1er juin 2026</t>
  </si>
  <si>
    <t>PASSAGE DE LA FREGEYRE</t>
  </si>
  <si>
    <t xml:space="preserve">2 R DES PENITENTS </t>
  </si>
  <si>
    <t xml:space="preserve">Zlin avec OI MEN500541 /VT à faire pour MEN500541 </t>
  </si>
  <si>
    <t>MALFACON A REPRENDRE</t>
  </si>
  <si>
    <t>COUCOURON</t>
  </si>
  <si>
    <t>QUA MONTMOULARD</t>
  </si>
  <si>
    <t>liée à MEN500545</t>
  </si>
  <si>
    <t xml:space="preserve">Liée MEN500127 </t>
  </si>
  <si>
    <t>BADAROUX</t>
  </si>
  <si>
    <t>4 CHE DU MOULIN</t>
  </si>
  <si>
    <t>ST CHELY D APCHER</t>
  </si>
  <si>
    <t>Route de Brassac</t>
  </si>
  <si>
    <t>ALBARET STE MARIE</t>
  </si>
  <si>
    <t>Rue du Château</t>
  </si>
  <si>
    <t>Le Viala</t>
  </si>
  <si>
    <t xml:space="preserve">28/05 à 9h </t>
  </si>
  <si>
    <t>CRVT  envoyé le 30/10</t>
  </si>
  <si>
    <t>R JEAN CHASTEL</t>
  </si>
  <si>
    <t xml:space="preserve">4 QUA ESTRADASSES </t>
  </si>
  <si>
    <t>21/05 à 14h</t>
  </si>
  <si>
    <t xml:space="preserve">trvx se terminent en avril 2026 </t>
  </si>
  <si>
    <t>RUE DU BOULODROME</t>
  </si>
  <si>
    <t>mail envoyé pour date fin trvx /relance le15/01</t>
  </si>
  <si>
    <t>LE VILLAGE</t>
  </si>
  <si>
    <t>RDV 18/03 10h30</t>
  </si>
  <si>
    <t>13/05: client injoignable, un mail a été envoyé</t>
  </si>
  <si>
    <t>LES LAUBIES</t>
  </si>
  <si>
    <t>Lieu Dit La Chaze</t>
  </si>
  <si>
    <t>CH DE LA GAZELLE</t>
  </si>
  <si>
    <t>SERVERETTE</t>
  </si>
  <si>
    <t>LE PLO</t>
  </si>
  <si>
    <t xml:space="preserve">Reprise éffectué </t>
  </si>
  <si>
    <t>CCTAC A FAIRE</t>
  </si>
  <si>
    <t>CHABESTRAS</t>
  </si>
  <si>
    <t>CANS ET CEVENNES</t>
  </si>
  <si>
    <t>VERNAGUES</t>
  </si>
  <si>
    <t>LIEE MEN200785</t>
  </si>
  <si>
    <t>Reprise trvx client à faire</t>
  </si>
  <si>
    <t xml:space="preserve"> 	2 HLM DU PATUS</t>
  </si>
  <si>
    <t>en att CRVT signé</t>
  </si>
  <si>
    <t>06 73 40 98 09</t>
  </si>
  <si>
    <t>PL DU PRE COMMUN</t>
  </si>
  <si>
    <t>en att crvt signé;relance le 06/02; travaux terminent décembre 2026,</t>
  </si>
  <si>
    <t>1 RUE DE BELLEVUE</t>
  </si>
  <si>
    <t>verif trvx GC  44.81048 ; 3.27546</t>
  </si>
  <si>
    <t>CH DE MERDARIC</t>
  </si>
  <si>
    <t>trvx non réalisés(mail envoyé au CHAFF)</t>
  </si>
  <si>
    <t xml:space="preserve">Att travaux client + date ? </t>
  </si>
  <si>
    <t>SAINT ETIENNE VAL FRANC</t>
  </si>
  <si>
    <t xml:space="preserve"> 	5 IMP DES CHENES</t>
  </si>
  <si>
    <t>pas de date précis pour les trvx</t>
  </si>
  <si>
    <t>2398 RTE DE SOULAGES</t>
  </si>
  <si>
    <t>crvt signé ; La date de fin des travaux est fixée au 20/03/2026</t>
  </si>
  <si>
    <t>06 AT DEVIS CLIENT</t>
  </si>
  <si>
    <t>LD LANDOUYNES</t>
  </si>
  <si>
    <r>
      <rPr>
        <sz val="10"/>
        <color rgb="FF000000"/>
        <rFont val="Arial"/>
      </rPr>
      <t>ZOHRA</t>
    </r>
    <r>
      <rPr>
        <sz val="10"/>
        <color rgb="FFFF0000"/>
        <rFont val="Arial"/>
      </rPr>
      <t>/RDV entre 8h et 9h</t>
    </r>
  </si>
  <si>
    <t>HAM DES COMBES</t>
  </si>
  <si>
    <t>appel fait le 28/01 mairie inj</t>
  </si>
  <si>
    <t>LA</t>
  </si>
  <si>
    <t>AUROUX</t>
  </si>
  <si>
    <t xml:space="preserve">966 RTE DE CHAZEAUX </t>
  </si>
  <si>
    <t>SAINT GERMAIN DU TEIL</t>
  </si>
  <si>
    <t>RUE DES TILLEULS</t>
  </si>
  <si>
    <t>25/04/2025 à9h</t>
  </si>
  <si>
    <t xml:space="preserve">13/05: client injoignable, un mail a été envoyé </t>
  </si>
  <si>
    <t>06 71 81 01 05</t>
  </si>
  <si>
    <t>TERRANJOU</t>
  </si>
  <si>
    <t>VT OK</t>
  </si>
  <si>
    <t>2 R DES PENITENTS</t>
  </si>
  <si>
    <t>08/04 9H</t>
  </si>
  <si>
    <t>VT 08/04: tvx pas encore effectués</t>
  </si>
  <si>
    <t>MENDE</t>
  </si>
  <si>
    <t>21 RUE JACQUES BREL</t>
  </si>
  <si>
    <t xml:space="preserve">VERNAGUES </t>
  </si>
  <si>
    <t>24/02 :</t>
  </si>
  <si>
    <t xml:space="preserve"> Le client ne va pas effectuer les travaux de remplacement des regards posés par des regards de télécom. Il les a utilisées pour l’électricité. Il nous enverra les photos par mail.</t>
  </si>
  <si>
    <t>06 37 84 57 03</t>
  </si>
  <si>
    <t>1 RUE MONSEIGNEUR DE LIGONES</t>
  </si>
  <si>
    <t>date trvx mars 2026</t>
  </si>
  <si>
    <t>RA</t>
  </si>
  <si>
    <t>jusqu'au 19/03</t>
  </si>
  <si>
    <t>SAINTE RADEGONDE</t>
  </si>
  <si>
    <t>10B R CAMPET</t>
  </si>
  <si>
    <t>RDV 8h/9h</t>
  </si>
  <si>
    <t>ROD600260</t>
  </si>
  <si>
    <t>05.1 ETU TRANSMISE</t>
  </si>
  <si>
    <t>POUSTHOMY</t>
  </si>
  <si>
    <t>8 RUE DU FOIRAIL</t>
  </si>
  <si>
    <t>RUE DU LAVOIR</t>
  </si>
  <si>
    <t>VEBRON</t>
  </si>
  <si>
    <t>MONTAGUT</t>
  </si>
  <si>
    <t>05 AT INFO CAF REF</t>
  </si>
  <si>
    <t>?</t>
  </si>
  <si>
    <t>REBOURGUIL</t>
  </si>
  <si>
    <t>RTE DE SEGONZAC</t>
  </si>
  <si>
    <t>dossier localiser le PAR:ROD502084</t>
  </si>
  <si>
    <t>BRASAC</t>
  </si>
  <si>
    <t>436 IMP DU PLAN D EAU</t>
  </si>
  <si>
    <t>MELJAC</t>
  </si>
  <si>
    <t>8 GRASCAZES BASSES</t>
  </si>
  <si>
    <t>LOTISSEMENT LE CLAPEYROL</t>
  </si>
  <si>
    <t>A vérifier si Besoin VT?/pour le moment VT le 20/11</t>
  </si>
  <si>
    <t>MURASSON</t>
  </si>
  <si>
    <t>LE GORC DEL PONT</t>
  </si>
  <si>
    <t>besoin retour VT (manque photo appui 46) /A remonter par sondos/43.76271;2.76937</t>
  </si>
  <si>
    <t>JH</t>
  </si>
  <si>
    <t xml:space="preserve">AV DE LA SALSE </t>
  </si>
  <si>
    <t>SAINT IZAIRE</t>
  </si>
  <si>
    <t>FAVEYROLLES</t>
  </si>
  <si>
    <t>A remonter par sondos</t>
  </si>
  <si>
    <t>SALVETAT PEYRALES</t>
  </si>
  <si>
    <t>LA VAYSSIERE</t>
  </si>
  <si>
    <t>appel fait et mail envoyé au client /en att de réponse(4 ralences la derniere: 08/01)</t>
  </si>
  <si>
    <t>68 IMP DE LA DEVEZE</t>
  </si>
  <si>
    <t>ZOHRA/ besoin retour VT</t>
  </si>
  <si>
    <t>MC</t>
  </si>
  <si>
    <t>CONDAMINES</t>
  </si>
  <si>
    <t>PB trop éloigné</t>
  </si>
  <si>
    <t>18A ROUTE DE VIELMONT</t>
  </si>
  <si>
    <t>chbre PA bouché</t>
  </si>
  <si>
    <t>VOIR CADASTRE</t>
  </si>
  <si>
    <t>TRABASSAC HAUT</t>
  </si>
  <si>
    <t>,</t>
  </si>
  <si>
    <t xml:space="preserve">
Le Village</t>
  </si>
  <si>
    <t>44.69073;3.73524/Lié MEN500435/lcient non dispo le 24/12</t>
  </si>
  <si>
    <t>Chemin du Pont Romain</t>
  </si>
  <si>
    <t>RELANCE SDEE</t>
  </si>
  <si>
    <t>ALBARET SAINTE MARIE</t>
  </si>
  <si>
    <t xml:space="preserve">PL DU FOIRAIL </t>
  </si>
  <si>
    <t>ST LAURENT BAINS LAVAL D'AURELLE</t>
  </si>
  <si>
    <t>CH DE COSTELONGE</t>
  </si>
  <si>
    <t>20/10/2025 14h</t>
  </si>
  <si>
    <t>Sondos</t>
  </si>
  <si>
    <t>04 DOSSIER A MONTER</t>
  </si>
  <si>
    <t>AV ROSIERS</t>
  </si>
  <si>
    <t>VEYREAU</t>
  </si>
  <si>
    <t>RUE DU PORCHE</t>
  </si>
  <si>
    <t>CANET DE SALARS</t>
  </si>
  <si>
    <t>RUE DE L EGLISE</t>
  </si>
  <si>
    <t>PLAN ZONE GED</t>
  </si>
  <si>
    <t>LA TIEULE</t>
  </si>
  <si>
    <t xml:space="preserve">	PERTUZADES</t>
  </si>
  <si>
    <t>CHASTEL NOUVEL</t>
  </si>
  <si>
    <t>LD LA FAGETTE</t>
  </si>
  <si>
    <t xml:space="preserve">                     </t>
  </si>
  <si>
    <t>RIMEIZE</t>
  </si>
  <si>
    <t>LD BIGOSE</t>
  </si>
  <si>
    <t>44.73448;3.34009 afek</t>
  </si>
  <si>
    <t>AV DES GORGES DU TARN</t>
  </si>
  <si>
    <t>à voir avec mohamed</t>
  </si>
  <si>
    <t>749 AV JEAN BAPTISTE CLEMENT</t>
  </si>
  <si>
    <t>GIGEAN</t>
  </si>
  <si>
    <t>8 RUE JEAN HEYER</t>
  </si>
  <si>
    <t>03 DOSSIER A REPRENDRE</t>
  </si>
  <si>
    <t>profondeur/longueur</t>
  </si>
  <si>
    <t>485 RTE DES ADRECHS</t>
  </si>
  <si>
    <t>besoin retour VT</t>
  </si>
  <si>
    <t>ARZENC DE RANDON</t>
  </si>
  <si>
    <t>2 LD LE MONTEIL</t>
  </si>
  <si>
    <t xml:space="preserve"> rappeler le BE lundi le 09/02 pour recuperer le ctc client</t>
  </si>
  <si>
    <t xml:space="preserve">Manque CRVT signée </t>
  </si>
  <si>
    <t xml:space="preserve">RACHA ; att crvt signé </t>
  </si>
  <si>
    <t xml:space="preserve">CRVT a revoir </t>
  </si>
  <si>
    <t>Dossier traité en att CRVT signé envoyé 18/02</t>
  </si>
  <si>
    <t xml:space="preserve">Att info sur proprio sur cable cuivre </t>
  </si>
  <si>
    <t>CH DU CHATEAU D EAU</t>
  </si>
  <si>
    <t>02 RETOUR VT</t>
  </si>
  <si>
    <t>MOURET</t>
  </si>
  <si>
    <t>RTE DE LA BESSIERE</t>
  </si>
  <si>
    <t>SAINT AMANS DES COTS</t>
  </si>
  <si>
    <t>16 RTE MONTEZIC</t>
  </si>
  <si>
    <t>ROD500818</t>
  </si>
  <si>
    <t>MANHAC</t>
  </si>
  <si>
    <t>à vérifier un fibre passant pas les appuis à déposer</t>
  </si>
  <si>
    <t>VT pour vérification si client raccordé en aériens /SONDOS</t>
  </si>
  <si>
    <t>ROD500830</t>
  </si>
  <si>
    <t>RUE DU RAVIN</t>
  </si>
  <si>
    <t>155 RUE DU CALCAIRE</t>
  </si>
  <si>
    <t xml:space="preserve">sondos </t>
  </si>
  <si>
    <t>Mail ENEDIS</t>
  </si>
  <si>
    <t>TAURIAC DE NAUCELLE</t>
  </si>
  <si>
    <t>Route de Cros Viel</t>
  </si>
  <si>
    <t>ALMONT LES JUNIES</t>
  </si>
  <si>
    <t>RTE DE GINOUILLAC</t>
  </si>
  <si>
    <t>meme que ROD600147</t>
  </si>
  <si>
    <t>+33 5 65 68 95 88</t>
  </si>
  <si>
    <t>Aiguillage GC 2 sens pk création GC ?</t>
  </si>
  <si>
    <t>110 RUE DE L EGLISE</t>
  </si>
  <si>
    <t>+33 6 30 39 50 26</t>
  </si>
  <si>
    <t>Manque photos vue ensemble</t>
  </si>
  <si>
    <t>SAINT PRIVAT DE VALLONGUE</t>
  </si>
  <si>
    <t>LA FARELLE</t>
  </si>
  <si>
    <t>en att retour ORANGE (ajout 1 ligne)</t>
  </si>
  <si>
    <r>
      <rPr>
        <sz val="10"/>
        <color rgb="FF000000"/>
        <rFont val="Arial"/>
      </rPr>
      <t xml:space="preserve">client souhaite ajouter une ligne </t>
    </r>
    <r>
      <rPr>
        <sz val="10"/>
        <color rgb="FFF2630A"/>
        <rFont val="Arial"/>
      </rPr>
      <t>/en att retour ORANGE</t>
    </r>
  </si>
  <si>
    <t>verification GC</t>
  </si>
  <si>
    <t>MEN500256</t>
  </si>
  <si>
    <t>verification GC : VIDEO OBLIGATOIRE sondos</t>
  </si>
  <si>
    <t>MEN500065</t>
  </si>
  <si>
    <t xml:space="preserve">34 RTE D AUBRAC </t>
  </si>
  <si>
    <t>LASBROS</t>
  </si>
  <si>
    <t>MEN400329</t>
  </si>
  <si>
    <t>MEN400235</t>
  </si>
  <si>
    <t>VT à refaire (manque photos appuis)44.589868,3.466589</t>
  </si>
  <si>
    <t>CCTGC A FAIRE</t>
  </si>
  <si>
    <t>RUE DE L AVENIR</t>
  </si>
  <si>
    <t>zohra// Dossier traité en att CRVT signé et date trvx</t>
  </si>
  <si>
    <t>MEN500126</t>
  </si>
  <si>
    <t>8 RUE DE LA GRAVE</t>
  </si>
  <si>
    <t>VILLEFORT</t>
  </si>
  <si>
    <t>CH DE LA FAUCONNERIE</t>
  </si>
  <si>
    <t>30 AV DE LA REPUBLIQUE</t>
  </si>
  <si>
    <t>+33 7 67 30 67 47</t>
  </si>
  <si>
    <t>1 PL MANEGE</t>
  </si>
  <si>
    <t>sondos;en att crvt signé</t>
  </si>
  <si>
    <t>FLAVIN</t>
  </si>
  <si>
    <t>245 IMP DE LA BRIANELLE</t>
  </si>
  <si>
    <r>
      <rPr>
        <sz val="10"/>
        <color rgb="FFFF0000"/>
        <rFont val="Arial"/>
      </rPr>
      <t>RDV à 8h</t>
    </r>
    <r>
      <rPr>
        <sz val="10"/>
        <color rgb="FF0D0D0D"/>
        <rFont val="Arial"/>
      </rPr>
      <t xml:space="preserve"> aiguillage à partir de l'interieur</t>
    </r>
  </si>
  <si>
    <t>271 RTE DU SEGALA</t>
  </si>
  <si>
    <r>
      <rPr>
        <sz val="10"/>
        <color rgb="FFFF0000"/>
        <rFont val="Arial"/>
      </rPr>
      <t>RDV 11h</t>
    </r>
    <r>
      <rPr>
        <sz val="10"/>
        <color rgb="FF000000"/>
        <rFont val="Arial"/>
      </rPr>
      <t xml:space="preserve"> ,verifier si le regard 30*30existe</t>
    </r>
  </si>
  <si>
    <t>01.2 A REMONTER</t>
  </si>
  <si>
    <t>VEZOUILLAC</t>
  </si>
  <si>
    <t xml:space="preserve">racha ; att crvt signé </t>
  </si>
  <si>
    <t>VALADOU</t>
  </si>
  <si>
    <t>Dossier traité // att CRVT signé envoyé 18/02</t>
  </si>
  <si>
    <t>+33 7 88 29 16 19</t>
  </si>
  <si>
    <t>liée à ROD600169</t>
  </si>
  <si>
    <t>+33 6 85 04 12 90</t>
  </si>
  <si>
    <t xml:space="preserve"> 	VALADOU BAS</t>
  </si>
  <si>
    <t xml:space="preserve"> / Dossier traité // att CRVT signé envoyé 18/02</t>
  </si>
  <si>
    <t>VERIF ADDUCTION TOUS IMB</t>
  </si>
  <si>
    <t>SA</t>
  </si>
  <si>
    <t>18 R DES AUGUSTINS</t>
  </si>
  <si>
    <t>ROD600333</t>
  </si>
  <si>
    <t>RTE DE LA NAUZE</t>
  </si>
  <si>
    <t>01 AT VT</t>
  </si>
  <si>
    <t>PRADES SALARS</t>
  </si>
  <si>
    <t>LESTAYRES</t>
  </si>
  <si>
    <t>en att réponse client  appel fait le 04/02 ;mail et relance 06/02</t>
  </si>
  <si>
    <t>verif trvx2</t>
  </si>
  <si>
    <t>RTE GORGES DU TARN</t>
  </si>
  <si>
    <t>2 CHEMIN DU PESQUIER</t>
  </si>
  <si>
    <t>manque aiguillage(devis refusé par alliance)</t>
  </si>
  <si>
    <t>1 CHEMIN DES HETRES</t>
  </si>
  <si>
    <t>BROQUIES</t>
  </si>
  <si>
    <t>LASCOMBES</t>
  </si>
  <si>
    <t>rdv à 14h</t>
  </si>
  <si>
    <t xml:space="preserve"> SAINT AFFRIQUE</t>
  </si>
  <si>
    <t>1 RUE BARRA</t>
  </si>
  <si>
    <t>en att trvx dissim /liée à ROD500712</t>
  </si>
  <si>
    <t>en att trvx dissim</t>
  </si>
  <si>
    <t>100 RTE DE ST SEVER</t>
  </si>
  <si>
    <t>pas de reponse pour rdv: numéro achitechte : 0607711872;appel le 17/02</t>
  </si>
  <si>
    <t>rdv à 16:30</t>
  </si>
  <si>
    <r>
      <rPr>
        <sz val="10"/>
        <color rgb="FFFF0000"/>
        <rFont val="Arial"/>
      </rPr>
      <t>RDV fin de journée</t>
    </r>
    <r>
      <rPr>
        <sz val="10"/>
        <color rgb="FF000000"/>
        <rFont val="Arial"/>
      </rPr>
      <t>(clt dans MEN500028) à appeler le client avant 1h de l'arrivée</t>
    </r>
  </si>
  <si>
    <t xml:space="preserve">LD ESPINASSOUS </t>
  </si>
  <si>
    <t>vérifier accessibilité appui</t>
  </si>
  <si>
    <t>MEN400647</t>
  </si>
  <si>
    <t>sol GC</t>
  </si>
  <si>
    <t>CH DU MAZELET</t>
  </si>
  <si>
    <t xml:space="preserve">RDV à midi </t>
  </si>
  <si>
    <t>RUE DU COUVENT</t>
  </si>
  <si>
    <t>rdv à 14h/15h à appeler le client avant l'arrivée d'1h</t>
  </si>
  <si>
    <t>4 CH DE PRIVAT</t>
  </si>
  <si>
    <t>AV PAULIN DAUDE</t>
  </si>
  <si>
    <t>dossier vide</t>
  </si>
  <si>
    <t>Chargé</t>
  </si>
  <si>
    <t>QPR600247</t>
  </si>
  <si>
    <t>15 POI FACTU</t>
  </si>
  <si>
    <t>VAN004278</t>
  </si>
  <si>
    <t>QQ</t>
  </si>
  <si>
    <t>Quiberon</t>
  </si>
  <si>
    <t>7 QU OCEAN</t>
  </si>
  <si>
    <t>Same as VAN004277</t>
  </si>
  <si>
    <t>VAN500832</t>
  </si>
  <si>
    <t>B3</t>
  </si>
  <si>
    <t>S04 CRASH</t>
  </si>
  <si>
    <t>NIVILLAC</t>
  </si>
  <si>
    <t>RUE JOSEPH SAUVEUR</t>
  </si>
  <si>
    <t>amrou</t>
  </si>
  <si>
    <t>QPR500885</t>
  </si>
  <si>
    <t>14.1 AT RETOUR DOE</t>
  </si>
  <si>
    <t>QPR500660</t>
  </si>
  <si>
    <t>F9</t>
  </si>
  <si>
    <t>Quimper</t>
  </si>
  <si>
    <t>12 R BECQUEREL</t>
  </si>
  <si>
    <t>VT faite le 09/07</t>
  </si>
  <si>
    <t>LOR500732</t>
  </si>
  <si>
    <t>QPR500654</t>
  </si>
  <si>
    <t>5Y</t>
  </si>
  <si>
    <t>Att GEOREF</t>
  </si>
  <si>
    <t>Plogastel-Saint-Germain</t>
  </si>
  <si>
    <t>12 STAN KELERON</t>
  </si>
  <si>
    <t>RRE501172</t>
  </si>
  <si>
    <t>QPR501059</t>
  </si>
  <si>
    <t xml:space="preserve">proposition d'attachement </t>
  </si>
  <si>
    <t>Plouhinec, Finistère</t>
  </si>
  <si>
    <t>R DE LA CROIX DONNART</t>
  </si>
  <si>
    <t>RRE501199</t>
  </si>
  <si>
    <t>QPR500784</t>
  </si>
  <si>
    <t>JG</t>
  </si>
  <si>
    <t>Manque DOE + cloture LINE</t>
  </si>
  <si>
    <t>Loctudy</t>
  </si>
  <si>
    <t>25 RUE DU PORT</t>
  </si>
  <si>
    <t>à remonter par ghada</t>
  </si>
  <si>
    <t>VAN501393</t>
  </si>
  <si>
    <t>QPR500679</t>
  </si>
  <si>
    <t xml:space="preserve">Manque RT GCD020
GEO cloturé </t>
  </si>
  <si>
    <t>Plobannalec-Lesconil</t>
  </si>
  <si>
    <t>2B RUE DE KARREK KREIZ</t>
  </si>
  <si>
    <t>QPR500983</t>
  </si>
  <si>
    <t>QPR401859</t>
  </si>
  <si>
    <t>LOR500806</t>
  </si>
  <si>
    <t>QPR402292</t>
  </si>
  <si>
    <t>QPR501023</t>
  </si>
  <si>
    <t>QPR501038</t>
  </si>
  <si>
    <t>Quéménéven</t>
  </si>
  <si>
    <t>TY FORN</t>
  </si>
  <si>
    <t xml:space="preserve">urgent mail envoyé concernant </t>
  </si>
  <si>
    <t>LOR500883</t>
  </si>
  <si>
    <t>LOR400490</t>
  </si>
  <si>
    <t xml:space="preserve">Factu a faire </t>
  </si>
  <si>
    <t>PLUMELIAU BIEUZY</t>
  </si>
  <si>
    <t>10 IMP DES NENUPHARS</t>
  </si>
  <si>
    <t>VAN501638</t>
  </si>
  <si>
    <t>VAN401205</t>
  </si>
  <si>
    <t>PAS Accès LINE CRASH</t>
  </si>
  <si>
    <t>LOR500901</t>
  </si>
  <si>
    <t>QPR300617</t>
  </si>
  <si>
    <t>Cloture LINE</t>
  </si>
  <si>
    <t>LOR500925</t>
  </si>
  <si>
    <t>RRE400009</t>
  </si>
  <si>
    <t>Attente DOE + Attachement</t>
  </si>
  <si>
    <t>RRE501484</t>
  </si>
  <si>
    <t>VAN202306</t>
  </si>
  <si>
    <t>Attente DOE + Attachement CRASH</t>
  </si>
  <si>
    <t>RRE501518</t>
  </si>
  <si>
    <t>QPR402301</t>
  </si>
  <si>
    <t>RECOL LINE TIGRE OK</t>
  </si>
  <si>
    <t>RRE501554</t>
  </si>
  <si>
    <t>VAN402909</t>
  </si>
  <si>
    <t>VAN501849</t>
  </si>
  <si>
    <t>RRE402429</t>
  </si>
  <si>
    <t>LOR501020</t>
  </si>
  <si>
    <t>RRE401267</t>
  </si>
  <si>
    <t>Att modif Attachement</t>
  </si>
  <si>
    <t>QPR501326</t>
  </si>
  <si>
    <t>LOR401481</t>
  </si>
  <si>
    <t>Clôture LINE</t>
  </si>
  <si>
    <t>LOR501040</t>
  </si>
  <si>
    <t>RRE402093</t>
  </si>
  <si>
    <t>LOR501041</t>
  </si>
  <si>
    <t>LOR401381</t>
  </si>
  <si>
    <t>Clôture LINE CRASH</t>
  </si>
  <si>
    <t>QPR501355</t>
  </si>
  <si>
    <t>LOR401177</t>
  </si>
  <si>
    <t>VAN501934</t>
  </si>
  <si>
    <t>LOR401124</t>
  </si>
  <si>
    <t>CRO500184</t>
  </si>
  <si>
    <t>VAN401887</t>
  </si>
  <si>
    <t>LOR501050</t>
  </si>
  <si>
    <t>LOR401068</t>
  </si>
  <si>
    <t>QPR501380</t>
  </si>
  <si>
    <t>LOR401026</t>
  </si>
  <si>
    <t>QPR501383</t>
  </si>
  <si>
    <t>BRS402138</t>
  </si>
  <si>
    <t>LOR501066</t>
  </si>
  <si>
    <t>VAN401697</t>
  </si>
  <si>
    <t>LOR501073</t>
  </si>
  <si>
    <t>LOR400901</t>
  </si>
  <si>
    <t>QPR501423</t>
  </si>
  <si>
    <t>QPR401009</t>
  </si>
  <si>
    <t>RRE501826</t>
  </si>
  <si>
    <t>QPR400869</t>
  </si>
  <si>
    <t>VAN502239</t>
  </si>
  <si>
    <t>QPR401612</t>
  </si>
  <si>
    <t>Pas acces LINE</t>
  </si>
  <si>
    <t>QPR501608</t>
  </si>
  <si>
    <t>VAN401708</t>
  </si>
  <si>
    <t xml:space="preserve">Pas acces LINE CRASH </t>
  </si>
  <si>
    <t>VAN502293</t>
  </si>
  <si>
    <t>QPR400863</t>
  </si>
  <si>
    <t>VAN502329</t>
  </si>
  <si>
    <t>VAN400894</t>
  </si>
  <si>
    <t>Pas acces LINE CRASH</t>
  </si>
  <si>
    <t>VAN502362</t>
  </si>
  <si>
    <t>LOR400304</t>
  </si>
  <si>
    <t>QPR501676</t>
  </si>
  <si>
    <t>VAN400096</t>
  </si>
  <si>
    <t>Pas acces Line CRASH</t>
  </si>
  <si>
    <t>VAN502373</t>
  </si>
  <si>
    <t>LOR400444</t>
  </si>
  <si>
    <t xml:space="preserve">Cloture Line + ATT </t>
  </si>
  <si>
    <t>RRE502145</t>
  </si>
  <si>
    <t>QPR302486</t>
  </si>
  <si>
    <t>Pas acces Line</t>
  </si>
  <si>
    <t>VAN502407</t>
  </si>
  <si>
    <t>VAN302982</t>
  </si>
  <si>
    <t xml:space="preserve">Pas acces Line CRASH </t>
  </si>
  <si>
    <t>VAN502442</t>
  </si>
  <si>
    <t>QPR300169</t>
  </si>
  <si>
    <t>QPR501723</t>
  </si>
  <si>
    <t>QPR202273</t>
  </si>
  <si>
    <t>LOR501322</t>
  </si>
  <si>
    <t>QPR402032</t>
  </si>
  <si>
    <t>DISSIM</t>
  </si>
  <si>
    <t>LOR501327</t>
  </si>
  <si>
    <t>LOR401808</t>
  </si>
  <si>
    <t>Recol FO</t>
  </si>
  <si>
    <t>QPR501841</t>
  </si>
  <si>
    <t>LOR401699</t>
  </si>
  <si>
    <t>DISSIM CRASH</t>
  </si>
  <si>
    <t>CRO500249</t>
  </si>
  <si>
    <t>VAN402853</t>
  </si>
  <si>
    <t>LOR501346</t>
  </si>
  <si>
    <t>LOR401529</t>
  </si>
  <si>
    <t>LOR501352</t>
  </si>
  <si>
    <t>LOR401530</t>
  </si>
  <si>
    <t>Recol FO CRASH</t>
  </si>
  <si>
    <t>QPR501867</t>
  </si>
  <si>
    <t>RRE402153</t>
  </si>
  <si>
    <t>Att CCTGC</t>
  </si>
  <si>
    <t>LOR501398</t>
  </si>
  <si>
    <t>LOR401427</t>
  </si>
  <si>
    <t>VAN502631</t>
  </si>
  <si>
    <t>QPR400285</t>
  </si>
  <si>
    <t>TIGRE A FAIRE</t>
  </si>
  <si>
    <t>QPR501901</t>
  </si>
  <si>
    <t>QPR400498</t>
  </si>
  <si>
    <t xml:space="preserve">GEOREF EN ATT </t>
  </si>
  <si>
    <t>QPR501902</t>
  </si>
  <si>
    <t>QPR300168</t>
  </si>
  <si>
    <t>QPR501908</t>
  </si>
  <si>
    <t>QPR400186</t>
  </si>
  <si>
    <t>VAN502650</t>
  </si>
  <si>
    <t>QPR400286</t>
  </si>
  <si>
    <t>CRO500257</t>
  </si>
  <si>
    <t>BRS302246</t>
  </si>
  <si>
    <t>LOR501421</t>
  </si>
  <si>
    <t>QPR103602</t>
  </si>
  <si>
    <t>QPR501916</t>
  </si>
  <si>
    <t>QPR300274</t>
  </si>
  <si>
    <t>REO ETUDE</t>
  </si>
  <si>
    <t>QPR501919</t>
  </si>
  <si>
    <t>QPR300167</t>
  </si>
  <si>
    <t>CRO500258</t>
  </si>
  <si>
    <t>VAN202637</t>
  </si>
  <si>
    <t>LOR501433</t>
  </si>
  <si>
    <t>RRE402217</t>
  </si>
  <si>
    <t>VAN502671</t>
  </si>
  <si>
    <t>RRE500820</t>
  </si>
  <si>
    <t>KA</t>
  </si>
  <si>
    <t>Val-d'Izé</t>
  </si>
  <si>
    <t>LD LES NACHARDAIS</t>
  </si>
  <si>
    <t xml:space="preserve">Photos sur sharepoint </t>
  </si>
  <si>
    <t>CRO500259</t>
  </si>
  <si>
    <t>RRE400998</t>
  </si>
  <si>
    <t>DOE + proposition att</t>
  </si>
  <si>
    <t>PIRE CHANCE</t>
  </si>
  <si>
    <t>R DE BOISTRUDAN</t>
  </si>
  <si>
    <t>tous les documents envoyées à cynthia ou stephane</t>
  </si>
  <si>
    <t>QPR501964</t>
  </si>
  <si>
    <t>VAN501004</t>
  </si>
  <si>
    <t>Manque cloture ACF010</t>
  </si>
  <si>
    <t>Le Cours</t>
  </si>
  <si>
    <t>KERBRANQUET</t>
  </si>
  <si>
    <t>à remonter par khadher</t>
  </si>
  <si>
    <t>QPR501965</t>
  </si>
  <si>
    <t>QPR500419</t>
  </si>
  <si>
    <t>Manque cloture ACF010  + ACF011 + manque DMS + proposition attachement</t>
  </si>
  <si>
    <t>Pluguffan</t>
  </si>
  <si>
    <t>ROUTE DE LEUBIN</t>
  </si>
  <si>
    <t>LOR501475</t>
  </si>
  <si>
    <t>QPR401299</t>
  </si>
  <si>
    <t>5Z</t>
  </si>
  <si>
    <t>Recollement a faire pas acces a LINE reesaye</t>
  </si>
  <si>
    <t>Audierne</t>
  </si>
  <si>
    <t>BOULEVARD JEAN MOULIN</t>
  </si>
  <si>
    <t>LOR501031</t>
  </si>
  <si>
    <t>LOR500521</t>
  </si>
  <si>
    <t>Manque cloture ACF010 + manque transfert de cable sur appui 91501 et 91500</t>
  </si>
  <si>
    <t>Saint-Caradec-Trégomel</t>
  </si>
  <si>
    <t>LANN ER MARECHAL</t>
  </si>
  <si>
    <t>LOR501442</t>
  </si>
  <si>
    <t>VAN501000</t>
  </si>
  <si>
    <t>Buléon</t>
  </si>
  <si>
    <t>KERGUIGNO</t>
  </si>
  <si>
    <t>VAN502687</t>
  </si>
  <si>
    <t>BRS402155</t>
  </si>
  <si>
    <t>LOR501447</t>
  </si>
  <si>
    <t>QPR401457</t>
  </si>
  <si>
    <t>VAN502694</t>
  </si>
  <si>
    <t>LOR500542</t>
  </si>
  <si>
    <t>ZJ</t>
  </si>
  <si>
    <t>Lorient</t>
  </si>
  <si>
    <t>6 RUE EUGENE ANTHIOME</t>
  </si>
  <si>
    <t>CRO500268</t>
  </si>
  <si>
    <t>CRO500072</t>
  </si>
  <si>
    <t>WY</t>
  </si>
  <si>
    <t>Lanvéoc</t>
  </si>
  <si>
    <t>26 RUE DE TAL AR GROAS</t>
  </si>
  <si>
    <t>QPR501949</t>
  </si>
  <si>
    <t>QPR401355</t>
  </si>
  <si>
    <t>Plomeur</t>
  </si>
  <si>
    <t>RUE AR C HOAJOU</t>
  </si>
  <si>
    <t xml:space="preserve">à voir </t>
  </si>
  <si>
    <t>VOIR INFO SOGETREL</t>
  </si>
  <si>
    <t>VAN502718</t>
  </si>
  <si>
    <t>RRE500282</t>
  </si>
  <si>
    <t>Retiers</t>
  </si>
  <si>
    <t>6 LD LA GERARDAIS</t>
  </si>
  <si>
    <t>23/07 à 8h</t>
  </si>
  <si>
    <t>VAN502724</t>
  </si>
  <si>
    <t>VAN004276</t>
  </si>
  <si>
    <t>QL</t>
  </si>
  <si>
    <t xml:space="preserve"> 	7 QU OCEAN </t>
  </si>
  <si>
    <t>lié a la VAN00477 et VAN004278</t>
  </si>
  <si>
    <t>QPR501960</t>
  </si>
  <si>
    <t>QPR501010</t>
  </si>
  <si>
    <t>Plozévet</t>
  </si>
  <si>
    <t>2 LD MENGLEUX</t>
  </si>
  <si>
    <t>QPR501966</t>
  </si>
  <si>
    <t>LOR500133</t>
  </si>
  <si>
    <t xml:space="preserve">Manque cloture ACF010 + manque transfert de cable   + proposition attachement </t>
  </si>
  <si>
    <t>Gourin</t>
  </si>
  <si>
    <t>CRANN PIPIDIC</t>
  </si>
  <si>
    <t>QPR501981</t>
  </si>
  <si>
    <t>QPR500887</t>
  </si>
  <si>
    <t>F6</t>
  </si>
  <si>
    <t>Briec</t>
  </si>
  <si>
    <t>PL DE RUTHIN</t>
  </si>
  <si>
    <t xml:space="preserve">mairie à contacter pour le clé </t>
  </si>
  <si>
    <t>LOR501477</t>
  </si>
  <si>
    <t>QPR500994</t>
  </si>
  <si>
    <t>Névez</t>
  </si>
  <si>
    <t>11 T LD KERSTANG</t>
  </si>
  <si>
    <t>07/08/2025 l'apres-midi</t>
  </si>
  <si>
    <t>LOR501478</t>
  </si>
  <si>
    <t>QPR500752</t>
  </si>
  <si>
    <t>Treffiagat</t>
  </si>
  <si>
    <t>16 AV DU 8 MAI 1945</t>
  </si>
  <si>
    <t>LOR501482</t>
  </si>
  <si>
    <t>Malguénac</t>
  </si>
  <si>
    <t>LE SENCE</t>
  </si>
  <si>
    <t xml:space="preserve">à remonter par chaima </t>
  </si>
  <si>
    <t>QPR502001</t>
  </si>
  <si>
    <t>LOR500508</t>
  </si>
  <si>
    <t xml:space="preserve">Manque travaux cuivre + explication percution + proposition attachement </t>
  </si>
  <si>
    <t>Inguiniel</t>
  </si>
  <si>
    <t>BOTSCAVE</t>
  </si>
  <si>
    <t>Retour le 17/09</t>
  </si>
  <si>
    <t>à remonter par Afek en cours</t>
  </si>
  <si>
    <t>QPR502010</t>
  </si>
  <si>
    <t>RRE501420</t>
  </si>
  <si>
    <t xml:space="preserve">Manquie cloture ACF + manque transfert de cables </t>
  </si>
  <si>
    <t>Avessac</t>
  </si>
  <si>
    <t xml:space="preserve">A CROIX DU BILAIS </t>
  </si>
  <si>
    <t>QPR502014</t>
  </si>
  <si>
    <t>QPR501171</t>
  </si>
  <si>
    <t>Pont-l'Abbé</t>
  </si>
  <si>
    <t>RUE JEANNE D ARC</t>
  </si>
  <si>
    <t>Travaux En cours | Plusieurs Chambres, regards enterrés | pas de contact pour savoir la date de fin des travaux</t>
  </si>
  <si>
    <t>CRO500279</t>
  </si>
  <si>
    <t>LOR500509</t>
  </si>
  <si>
    <t>Meslan</t>
  </si>
  <si>
    <t>KERVRECH NEVE</t>
  </si>
  <si>
    <t>LOR501512</t>
  </si>
  <si>
    <t>LOR400923</t>
  </si>
  <si>
    <t>QPR502055</t>
  </si>
  <si>
    <t>QPR402118</t>
  </si>
  <si>
    <t>12 RUE DES JONQUILLES</t>
  </si>
  <si>
    <t>client injoignable</t>
  </si>
  <si>
    <t>LOR501534</t>
  </si>
  <si>
    <t>LOR500820</t>
  </si>
  <si>
    <t>B6</t>
  </si>
  <si>
    <t>Caudan</t>
  </si>
  <si>
    <t>1 RUE MARECHAL LECLERC</t>
  </si>
  <si>
    <t>à  assurer par stephane</t>
  </si>
  <si>
    <t>CRO500293</t>
  </si>
  <si>
    <t>BRS402663</t>
  </si>
  <si>
    <t>Saint-Nic</t>
  </si>
  <si>
    <t>1 R PLAGE</t>
  </si>
  <si>
    <t>Tigre ok à modif</t>
  </si>
  <si>
    <t>LOR501552</t>
  </si>
  <si>
    <t>QPR500963</t>
  </si>
  <si>
    <t>Guilvinec</t>
  </si>
  <si>
    <t>5B R DE MEJOU VEIL</t>
  </si>
  <si>
    <t>VT a refaire suite refus plantation</t>
  </si>
  <si>
    <t>QPR502092</t>
  </si>
  <si>
    <t>RRE501894</t>
  </si>
  <si>
    <t>Le Crouais</t>
  </si>
  <si>
    <t>BEL AIR</t>
  </si>
  <si>
    <t>QPR502100</t>
  </si>
  <si>
    <t>LOR501156</t>
  </si>
  <si>
    <t xml:space="preserve">	R DES ANEMONES</t>
  </si>
  <si>
    <t xml:space="preserve"> 23/092025</t>
  </si>
  <si>
    <t>QPR502114</t>
  </si>
  <si>
    <t>LOR500350</t>
  </si>
  <si>
    <t>QPR502116</t>
  </si>
  <si>
    <t>QPR400016</t>
  </si>
  <si>
    <t>RRE502654</t>
  </si>
  <si>
    <t>QPR501403</t>
  </si>
  <si>
    <t>Trégunc</t>
  </si>
  <si>
    <t>37B RTE MELGVEN</t>
  </si>
  <si>
    <t>liée a la QPR501676</t>
  </si>
  <si>
    <t>CRO500295</t>
  </si>
  <si>
    <t>RRE501466</t>
  </si>
  <si>
    <t>Rennes</t>
  </si>
  <si>
    <t>95 BD VOLTAIRE</t>
  </si>
  <si>
    <t>QPR502125</t>
  </si>
  <si>
    <t>RRE501198</t>
  </si>
  <si>
    <t xml:space="preserve"> 18 RUE DE CHATEAUGIRON </t>
  </si>
  <si>
    <t>x</t>
  </si>
  <si>
    <t>LOR501566</t>
  </si>
  <si>
    <t>LOR501153</t>
  </si>
  <si>
    <t>Locmalo</t>
  </si>
  <si>
    <t>PONT MEEN</t>
  </si>
  <si>
    <t>liée a la LOR501260</t>
  </si>
  <si>
    <t>LOR501571</t>
  </si>
  <si>
    <t>LOR501260</t>
  </si>
  <si>
    <t>KD</t>
  </si>
  <si>
    <t>liée a la LOR501153</t>
  </si>
  <si>
    <t>LOR501580</t>
  </si>
  <si>
    <t>CRO500116</t>
  </si>
  <si>
    <t>Cast, Finistère</t>
  </si>
  <si>
    <t>7D RUE DE PEN AR PRAT</t>
  </si>
  <si>
    <t>à remonter par chaima</t>
  </si>
  <si>
    <t>QPR600020</t>
  </si>
  <si>
    <t>QPR500928</t>
  </si>
  <si>
    <t>Pleuven</t>
  </si>
  <si>
    <t>CHE KILOURIN</t>
  </si>
  <si>
    <t xml:space="preserve"> à voir avec khadher </t>
  </si>
  <si>
    <t>QPR600035</t>
  </si>
  <si>
    <t>QPR501406</t>
  </si>
  <si>
    <t>7B CH DES TOURTERELLES</t>
  </si>
  <si>
    <t xml:space="preserve">mail envoyé pour cause retour </t>
  </si>
  <si>
    <t>QPR600046</t>
  </si>
  <si>
    <t>QPR501989</t>
  </si>
  <si>
    <t>ET</t>
  </si>
  <si>
    <t>Douarnenez</t>
  </si>
  <si>
    <t>RTE DE BREHUEL</t>
  </si>
  <si>
    <t>QPR600047</t>
  </si>
  <si>
    <t>QPR501381</t>
  </si>
  <si>
    <t>Tréméoc</t>
  </si>
  <si>
    <t>ROSCELOU COZ</t>
  </si>
  <si>
    <t>Amrou</t>
  </si>
  <si>
    <t>VAN600068</t>
  </si>
  <si>
    <t>QPR501918</t>
  </si>
  <si>
    <t>Pont-Aven</t>
  </si>
  <si>
    <t>1 KERNONEN</t>
  </si>
  <si>
    <t>AFEK</t>
  </si>
  <si>
    <t>LOR600042</t>
  </si>
  <si>
    <t>LOR501425</t>
  </si>
  <si>
    <t>Plouay</t>
  </si>
  <si>
    <t>28 RUE DE KERNIVINEN</t>
  </si>
  <si>
    <t>Afek</t>
  </si>
  <si>
    <t>QPR600054</t>
  </si>
  <si>
    <t>QPR502002</t>
  </si>
  <si>
    <t>KERIWA</t>
  </si>
  <si>
    <t>Attente retour ENEDIS</t>
  </si>
  <si>
    <t>VAN600074</t>
  </si>
  <si>
    <t>CRO500153</t>
  </si>
  <si>
    <t>Crozon</t>
  </si>
  <si>
    <t>LIEU DIT PERSUEL</t>
  </si>
  <si>
    <t xml:space="preserve"> à remonter par khadher</t>
  </si>
  <si>
    <t>VAN600095</t>
  </si>
  <si>
    <t>QPR501931</t>
  </si>
  <si>
    <t>Bannalec</t>
  </si>
  <si>
    <t>10 BI ALL DU QUINQUIS</t>
  </si>
  <si>
    <t>khadher</t>
  </si>
  <si>
    <t>QPR600066</t>
  </si>
  <si>
    <t>QPR501927</t>
  </si>
  <si>
    <t>32 R DE L OCEAN</t>
  </si>
  <si>
    <t>CRVT envoyé !!</t>
  </si>
  <si>
    <t>QPR600078</t>
  </si>
  <si>
    <t>QPR501501</t>
  </si>
  <si>
    <t>Poullan-sur-Mer</t>
  </si>
  <si>
    <t>KERANDRAON</t>
  </si>
  <si>
    <t>QPR600079</t>
  </si>
  <si>
    <t>QPR501939</t>
  </si>
  <si>
    <t>41 R DES KORRIGANS</t>
  </si>
  <si>
    <t>QPR600080</t>
  </si>
  <si>
    <t>QPR500992</t>
  </si>
  <si>
    <t>5Q</t>
  </si>
  <si>
    <t>RUE DES MESANGES</t>
  </si>
  <si>
    <t>GC en question verfié</t>
  </si>
  <si>
    <t>QPR600084</t>
  </si>
  <si>
    <t>QPR501572</t>
  </si>
  <si>
    <t>Moëlan-sur-Mer</t>
  </si>
  <si>
    <t>KERCARN</t>
  </si>
  <si>
    <t xml:space="preserve">rdv confirmé avec le  client </t>
  </si>
  <si>
    <t>QPR600095</t>
  </si>
  <si>
    <t>LOR500385</t>
  </si>
  <si>
    <t>Inzinzac-Lochrist</t>
  </si>
  <si>
    <t>MAIL FRANCOIS GIOVANELLI</t>
  </si>
  <si>
    <t>VAN600141</t>
  </si>
  <si>
    <t>LOR500511</t>
  </si>
  <si>
    <t>QPR600101</t>
  </si>
  <si>
    <t>CRO500261</t>
  </si>
  <si>
    <t>3 IMP COZ DOUAR</t>
  </si>
  <si>
    <t>LOR600065</t>
  </si>
  <si>
    <t>QPR402367</t>
  </si>
  <si>
    <t>30A RUE SANT TREVEL</t>
  </si>
  <si>
    <t>VAN600158</t>
  </si>
  <si>
    <t>RRE501899</t>
  </si>
  <si>
    <t>Bourg-des-Comptes</t>
  </si>
  <si>
    <t>LA GREE GUISSONNIERE</t>
  </si>
  <si>
    <t>KHADHER</t>
  </si>
  <si>
    <t>QPR600129</t>
  </si>
  <si>
    <t>RRE502542</t>
  </si>
  <si>
    <t>VAN600303</t>
  </si>
  <si>
    <t>2P</t>
  </si>
  <si>
    <t>RUE D AUDIERNE</t>
  </si>
  <si>
    <t>AMROU</t>
  </si>
  <si>
    <t>Roscanvel</t>
  </si>
  <si>
    <t>38 RTE DE KERINCUFF</t>
  </si>
  <si>
    <t>VAN600185</t>
  </si>
  <si>
    <t>QPR501995</t>
  </si>
  <si>
    <t>VAN600198</t>
  </si>
  <si>
    <t>CRO500068</t>
  </si>
  <si>
    <t>HP</t>
  </si>
  <si>
    <t xml:space="preserve">MAJ ok a monter </t>
  </si>
  <si>
    <t>LD PERSUEL</t>
  </si>
  <si>
    <t>LOR600119</t>
  </si>
  <si>
    <t>VAN500330</t>
  </si>
  <si>
    <t>Saint-Guyomard</t>
  </si>
  <si>
    <t xml:space="preserve">	LAUN BIJUS</t>
  </si>
  <si>
    <t xml:space="preserve">à remonter par khadher </t>
  </si>
  <si>
    <t>QPR600138</t>
  </si>
  <si>
    <t>UG</t>
  </si>
  <si>
    <t xml:space="preserve">Att retour Alexis </t>
  </si>
  <si>
    <t>Ploemeur</t>
  </si>
  <si>
    <t>RUE MARIE HOUDE</t>
  </si>
  <si>
    <t>att CAPFT A monter ensemble Cynthia et Stephane</t>
  </si>
  <si>
    <t>VAN600226</t>
  </si>
  <si>
    <t>RRE400063</t>
  </si>
  <si>
    <t>D2  att creation IMB + DWG</t>
  </si>
  <si>
    <t>Montauban-de-Bretagne</t>
  </si>
  <si>
    <t>49 RUE DE ROMILLE</t>
  </si>
  <si>
    <t>VAN600231</t>
  </si>
  <si>
    <t>RRE400064</t>
  </si>
  <si>
    <t>PRES CABLAGE  att creation IMB + DWG</t>
  </si>
  <si>
    <t>VAN600235</t>
  </si>
  <si>
    <t>2N</t>
  </si>
  <si>
    <t>Att MAJ ipon PMZ</t>
  </si>
  <si>
    <t>SURZUR</t>
  </si>
  <si>
    <t>RUE DU GENERAL HENRI DE VIREL</t>
  </si>
  <si>
    <t>Mohamed</t>
  </si>
  <si>
    <t>VAN600238</t>
  </si>
  <si>
    <t xml:space="preserve">Att import bat tigre Raccordmeent publique Cuivre </t>
  </si>
  <si>
    <t>Penmarch</t>
  </si>
  <si>
    <t>RUE ROUGET DE L ISLE</t>
  </si>
  <si>
    <t xml:space="preserve">Amrou </t>
  </si>
  <si>
    <t>VAN600248</t>
  </si>
  <si>
    <t>VAN500992</t>
  </si>
  <si>
    <t xml:space="preserve">OI </t>
  </si>
  <si>
    <t>Brech</t>
  </si>
  <si>
    <t>50 RUE PIERRE ALLIO</t>
  </si>
  <si>
    <t>Manque prise de distance</t>
  </si>
  <si>
    <t>VAN600252</t>
  </si>
  <si>
    <t>SARZEAU</t>
  </si>
  <si>
    <t xml:space="preserve"> 	RTE DE LA GREE PENVINS</t>
  </si>
  <si>
    <t>QPR600176</t>
  </si>
  <si>
    <t>VAN600306</t>
  </si>
  <si>
    <t>2J</t>
  </si>
  <si>
    <t xml:space="preserve">Att remonter UNIR </t>
  </si>
  <si>
    <t xml:space="preserve"> SARZEAU</t>
  </si>
  <si>
    <t>VLGE LE DUER</t>
  </si>
  <si>
    <t>VAN600276</t>
  </si>
  <si>
    <t>QPR500707</t>
  </si>
  <si>
    <t>Relance téléphonique</t>
  </si>
  <si>
    <t>Fouesnant</t>
  </si>
  <si>
    <t>HENT LESTREZIVIT</t>
  </si>
  <si>
    <t>02/12 TVX pas encore terminé khadher</t>
  </si>
  <si>
    <t>QPR600199</t>
  </si>
  <si>
    <t>liée a la LOR501571</t>
  </si>
  <si>
    <t>Plouhinec, Morbihan56</t>
  </si>
  <si>
    <t>LD ER VAMEN</t>
  </si>
  <si>
    <t>Khadher // plans à reprendre</t>
  </si>
  <si>
    <t>LOR600154</t>
  </si>
  <si>
    <t>23B R JULES GUESDE</t>
  </si>
  <si>
    <t>Khadher</t>
  </si>
  <si>
    <t>LOR600159</t>
  </si>
  <si>
    <t>105 HENT LESTREZIVIT</t>
  </si>
  <si>
    <t>11h/mohamed amine</t>
  </si>
  <si>
    <t>RRE600368</t>
  </si>
  <si>
    <t xml:space="preserve">Att PV liée à la LOR500732 </t>
  </si>
  <si>
    <t xml:space="preserve"> PLOUHINEC</t>
  </si>
  <si>
    <t xml:space="preserve"> 	LD ER VAMEN</t>
  </si>
  <si>
    <t>PLOBANNALEC LESCONIL</t>
  </si>
  <si>
    <t>PONT LEVERIEN</t>
  </si>
  <si>
    <t>RRE600369</t>
  </si>
  <si>
    <t>liée a la QPR501981</t>
  </si>
  <si>
    <t>KERAMENEZ</t>
  </si>
  <si>
    <t>LE JUCH</t>
  </si>
  <si>
    <t>RRE600378</t>
  </si>
  <si>
    <t>ATT DEVIS QPR501676</t>
  </si>
  <si>
    <t>LD KERGLEUHAN LAEZ</t>
  </si>
  <si>
    <t>VAN500982</t>
  </si>
  <si>
    <t>Plouharnel</t>
  </si>
  <si>
    <t>RUE KERNIZAN</t>
  </si>
  <si>
    <t xml:space="preserve">TRV ENEDIS ENTRE 10/09 ET 22/09 </t>
  </si>
  <si>
    <t>VAN600311</t>
  </si>
  <si>
    <t>Att devis LOR501421</t>
  </si>
  <si>
    <t>Guiscriff</t>
  </si>
  <si>
    <t>5 CHEMINS</t>
  </si>
  <si>
    <t>Clients impactés à relancer...</t>
  </si>
  <si>
    <t>LOR600169</t>
  </si>
  <si>
    <t>CRO400002</t>
  </si>
  <si>
    <t>B2</t>
  </si>
  <si>
    <t>URGENT</t>
  </si>
  <si>
    <t>Telgruc-sur-Mer</t>
  </si>
  <si>
    <t>2 RUE ABER</t>
  </si>
  <si>
    <t>Retour le 16/09</t>
  </si>
  <si>
    <t>Photos +vids sur sharepoint</t>
  </si>
  <si>
    <t>LOR600173</t>
  </si>
  <si>
    <t>ATT UPR (KA: QPR501867)</t>
  </si>
  <si>
    <t>LOR600174</t>
  </si>
  <si>
    <t>B4</t>
  </si>
  <si>
    <t xml:space="preserve">Att contact client CRASH </t>
  </si>
  <si>
    <t xml:space="preserve">1 RUE AMBROISE CROIZAT </t>
  </si>
  <si>
    <t>VAN600329</t>
  </si>
  <si>
    <t>7 RUE JEAN MARIE LE BRIS</t>
  </si>
  <si>
    <t>LOR600176</t>
  </si>
  <si>
    <t xml:space="preserve">Att UPR pour annulation ? </t>
  </si>
  <si>
    <t>Surzur</t>
  </si>
  <si>
    <t>La date de livraison est estimée au 3ème trimestre 2027</t>
  </si>
  <si>
    <t>QPR600256</t>
  </si>
  <si>
    <t>RUE JULES FERRY</t>
  </si>
  <si>
    <t>VAN600351</t>
  </si>
  <si>
    <t>RRE302596</t>
  </si>
  <si>
    <t xml:space="preserve">ATT INFO UPR </t>
  </si>
  <si>
    <t>Gaël</t>
  </si>
  <si>
    <t>16 RUE DU LIEUTENANT GUILLARD</t>
  </si>
  <si>
    <t>contact@mairie-gael.bzh</t>
  </si>
  <si>
    <t>LOR600188</t>
  </si>
  <si>
    <t>RRE302595</t>
  </si>
  <si>
    <t>Annulation</t>
  </si>
  <si>
    <t>VAN600357</t>
  </si>
  <si>
    <t>ZR DE TI BOUTIG</t>
  </si>
  <si>
    <t>Faut remonter le 03/12 à répasser demain</t>
  </si>
  <si>
    <t>VAN600358</t>
  </si>
  <si>
    <t>CLEDEN CAP SIZUN</t>
  </si>
  <si>
    <t>CITE KERAZAN</t>
  </si>
  <si>
    <t>VAN600293</t>
  </si>
  <si>
    <t xml:space="preserve">ATT fin de travaux et apres envoie en trx </t>
  </si>
  <si>
    <t>Amanlis</t>
  </si>
  <si>
    <t xml:space="preserve">LD LE ROCHER </t>
  </si>
  <si>
    <t>RRE600327</t>
  </si>
  <si>
    <t xml:space="preserve">Fin Avril </t>
  </si>
  <si>
    <t>1 CITE KERAZAN</t>
  </si>
  <si>
    <t>29/01/2026 9h</t>
  </si>
  <si>
    <t>DFT : fin Avril</t>
  </si>
  <si>
    <t>VAN600360</t>
  </si>
  <si>
    <t>Fin de travaux 1/08/2026</t>
  </si>
  <si>
    <t>PLUVIGNER</t>
  </si>
  <si>
    <t>23 KERVADEC SAINT GUENAEL</t>
  </si>
  <si>
    <t>28/01/2026 11h</t>
  </si>
  <si>
    <t>CRVT signé par le client</t>
  </si>
  <si>
    <t>LOR600190</t>
  </si>
  <si>
    <t>ATT UPR CRASH</t>
  </si>
  <si>
    <t>Plouhinec, Morbihan</t>
  </si>
  <si>
    <t>31 MEZAT BRAS</t>
  </si>
  <si>
    <t>QPR600270</t>
  </si>
  <si>
    <t xml:space="preserve">Fin fevrier/ Debut Mars </t>
  </si>
  <si>
    <t>21 R DES GENETS</t>
  </si>
  <si>
    <t>TRV ENEDIS OCTOBRE 2025</t>
  </si>
  <si>
    <t>QPR600271</t>
  </si>
  <si>
    <t xml:space="preserve">Pas de date </t>
  </si>
  <si>
    <t>IMP ALOUETTES</t>
  </si>
  <si>
    <t>Le client va nous contacter dès que les travaux seront réalisés.</t>
  </si>
  <si>
    <t>RRE600409</t>
  </si>
  <si>
    <t>VAN500258</t>
  </si>
  <si>
    <t>Radenac</t>
  </si>
  <si>
    <t xml:space="preserve">	5 R DES SABOTIERS</t>
  </si>
  <si>
    <t xml:space="preserve">conseil et la réception; la mairie nous a confirmer que Le bâtiment devrait être terminé pour le 20 janvier.
</t>
  </si>
  <si>
    <t>CRO600032</t>
  </si>
  <si>
    <t>VAN500259</t>
  </si>
  <si>
    <t xml:space="preserve">Racco cuivre ; date fin trx le 20/01/2026 </t>
  </si>
  <si>
    <t>QPR600276</t>
  </si>
  <si>
    <t>VAN500993</t>
  </si>
  <si>
    <t>client pas dispo avant le 01/09 ; oui les travaux furent repris conformément à vos demandes du 25/09//2025.</t>
  </si>
  <si>
    <t>QPR600277</t>
  </si>
  <si>
    <t>QPR500631</t>
  </si>
  <si>
    <r>
      <rPr>
        <sz val="10"/>
        <color rgb="FFFF0000"/>
        <rFont val="Arial"/>
      </rPr>
      <t>A apperler</t>
    </r>
    <r>
      <rPr>
        <sz val="10"/>
        <color rgb="FF000000"/>
        <rFont val="Arial"/>
      </rPr>
      <t xml:space="preserve"> Att retour info pour devis ENEDIS </t>
    </r>
  </si>
  <si>
    <t>Querrien</t>
  </si>
  <si>
    <t>KERVAGAT</t>
  </si>
  <si>
    <t>client contacté par telephone refuse les travaux mail ok</t>
  </si>
  <si>
    <t>VAN600378</t>
  </si>
  <si>
    <t>38 RUE LA TOUR D AUVERGNE</t>
  </si>
  <si>
    <t xml:space="preserve">mail envoyé le 06 concernant date fin trx pas de reponse </t>
  </si>
  <si>
    <t>VAN600379</t>
  </si>
  <si>
    <t xml:space="preserve">Att retour client </t>
  </si>
  <si>
    <t>Guidel</t>
  </si>
  <si>
    <t>RUE ANNE DE BRETAGNE</t>
  </si>
  <si>
    <t>Afek
Les travaux sont en cours.
La livraison est prévu en octobre 2026.</t>
  </si>
  <si>
    <t>VAN600380</t>
  </si>
  <si>
    <t>KERVIGNAC</t>
  </si>
  <si>
    <t>AMROU; les travaux seront probablement réalisés en février.</t>
  </si>
  <si>
    <t>VAN600381</t>
  </si>
  <si>
    <t>ATT PLAN DE RECOL CRASH</t>
  </si>
  <si>
    <t>2 ANSE DU STOLE</t>
  </si>
  <si>
    <t xml:space="preserve">Dossier ajouté </t>
  </si>
  <si>
    <t>QPR600293</t>
  </si>
  <si>
    <t>Att retour info pour devis ENEDIS + plan a changer</t>
  </si>
  <si>
    <t>Ploërdut</t>
  </si>
  <si>
    <t>PONTARLEN</t>
  </si>
  <si>
    <t>travaux terminées</t>
  </si>
  <si>
    <t>RRE600424</t>
  </si>
  <si>
    <t xml:space="preserve">Att retour info pour devis ENEDIS </t>
  </si>
  <si>
    <t>liée à la QPR500631</t>
  </si>
  <si>
    <t>VAN600393</t>
  </si>
  <si>
    <t>QPR500841</t>
  </si>
  <si>
    <t>Plonéour-Lanvern</t>
  </si>
  <si>
    <t>LD KERALLAN</t>
  </si>
  <si>
    <t>client contacté pour avoir son mail Mme Corrine Tel: 06 23 01 46 68(avis de passage laissé)</t>
  </si>
  <si>
    <t>VAN600430</t>
  </si>
  <si>
    <t>LOR201914</t>
  </si>
  <si>
    <t>BD FRANCOIS MITTERRAND</t>
  </si>
  <si>
    <t>Date fin travaux : Juin 2026 / Photos + Plan Obtenus sur SP (MAJ : 24/11) à voir avec omrane pour rens.. avant CRVT</t>
  </si>
  <si>
    <t>VAN600443</t>
  </si>
  <si>
    <t>LOR400947</t>
  </si>
  <si>
    <t>D2</t>
  </si>
  <si>
    <t xml:space="preserve"> 	0 BD FRANCOIS MITTERRAND </t>
  </si>
  <si>
    <t>liée à LOR201914</t>
  </si>
  <si>
    <t>LOR600211</t>
  </si>
  <si>
    <t>Larmor-Plage</t>
  </si>
  <si>
    <t>11 RUE DES ARCHITECTES</t>
  </si>
  <si>
    <t>Afek;   
Les travaux sont en cours.
La livraison est prévu en octobre 2026.</t>
  </si>
  <si>
    <t>LOR600217</t>
  </si>
  <si>
    <t>6443 KERMOISAN</t>
  </si>
  <si>
    <t>AMROU ; les travaux de pose des poteaux sont terminés</t>
  </si>
  <si>
    <t>LOR600219</t>
  </si>
  <si>
    <t>MI MAI</t>
  </si>
  <si>
    <t>Brandérion</t>
  </si>
  <si>
    <t>22 RUE GUILLAUME PERRON</t>
  </si>
  <si>
    <t xml:space="preserve">Dossier annulé </t>
  </si>
  <si>
    <t>VAN600463</t>
  </si>
  <si>
    <t>9 RUE DE KERYVALAND</t>
  </si>
  <si>
    <t xml:space="preserve">Khadher;  Les travaux seront terminés en semaine 10  2026.
</t>
  </si>
  <si>
    <t>Att retour info pour devis ENEDIS  fin mars/début avril</t>
  </si>
  <si>
    <t>Baye, Finistère</t>
  </si>
  <si>
    <t>RTE DE QUIMPERLE</t>
  </si>
  <si>
    <t>amrou;  Les travaux ne sont pas réalisés. Le démarrage est prévu fin mars/début avril.</t>
  </si>
  <si>
    <t xml:space="preserve">travaux client+ demande mail a faire pour autorisation </t>
  </si>
  <si>
    <t>Combrit</t>
  </si>
  <si>
    <t>IMP KERMOR BIHAN</t>
  </si>
  <si>
    <t>Amrou VT refaite; Concernant la date de fin des TRX, elle n’est pas encore précisée. Ils nous la communiqueront dès qu’une nouvelle date sera connue</t>
  </si>
  <si>
    <t>Melgven</t>
  </si>
  <si>
    <t xml:space="preserve">LD CROAS KERFRANCES </t>
  </si>
  <si>
    <t>Hajjej</t>
  </si>
  <si>
    <t xml:space="preserve">vers mars </t>
  </si>
  <si>
    <t>RUE SAINT GILDAS</t>
  </si>
  <si>
    <t xml:space="preserve">Att travaux partie privée </t>
  </si>
  <si>
    <t>Riec-sur-Bélon</t>
  </si>
  <si>
    <t xml:space="preserve">LD KERSPERN </t>
  </si>
  <si>
    <t>Contact Client Pour reprise GC</t>
  </si>
  <si>
    <t>URGENT D8'?</t>
  </si>
  <si>
    <t>Plogoff</t>
  </si>
  <si>
    <t>16 CRX DE TROGOR</t>
  </si>
  <si>
    <t>01/12 : 02 injoignable , mail laissé</t>
  </si>
  <si>
    <t xml:space="preserve">Recontacter en avril </t>
  </si>
  <si>
    <t>Thorigné-Fouillard</t>
  </si>
  <si>
    <t>25  RUE NATIONALE 12</t>
  </si>
  <si>
    <t>VAN500470</t>
  </si>
  <si>
    <t>dossier lié au VAN500469</t>
  </si>
  <si>
    <t xml:space="preserve">	46 RUE DE PORT HALIGUEN</t>
  </si>
  <si>
    <t>VAN500469</t>
  </si>
  <si>
    <t xml:space="preserve">fin janvier </t>
  </si>
  <si>
    <t>Realisation de travaux prevu Fin de Janvier</t>
  </si>
  <si>
    <t>CRO500276</t>
  </si>
  <si>
    <t>Att retour ENEDIS</t>
  </si>
  <si>
    <t>Châteaulin</t>
  </si>
  <si>
    <t>RTE DE KERMOEC</t>
  </si>
  <si>
    <t xml:space="preserve">Khadher </t>
  </si>
  <si>
    <t>DATE TRVX + CRVT</t>
  </si>
  <si>
    <t xml:space="preserve"> FOUESNANT</t>
  </si>
  <si>
    <t>52 HENT PRAJOUMARC</t>
  </si>
  <si>
    <t>Mohamed // DFT fin 2026</t>
  </si>
  <si>
    <t xml:space="preserve"> QUIMPERLE</t>
  </si>
  <si>
    <t>RUE BISSON</t>
  </si>
  <si>
    <t xml:space="preserve">Annulation </t>
  </si>
  <si>
    <t>15 R DU VIEUX MOULIN</t>
  </si>
  <si>
    <t>DFT Mars 2026</t>
  </si>
  <si>
    <t>GC non OK</t>
  </si>
  <si>
    <t>CCAL DE GUIDEL PLAGES</t>
  </si>
  <si>
    <r>
      <t>Amrou//</t>
    </r>
    <r>
      <rPr>
        <sz val="12"/>
        <color rgb="FF000000"/>
        <rFont val="Arial"/>
      </rPr>
      <t xml:space="preserve">relance envoyé
</t>
    </r>
  </si>
  <si>
    <t>fin de travaux est prévue autour de la fin du mois d'Avril 2026</t>
  </si>
  <si>
    <t>COMBRIT</t>
  </si>
  <si>
    <t>IMP KERDUAL</t>
  </si>
  <si>
    <t>26/01/2026 11h</t>
  </si>
  <si>
    <t>Amrou/date fin trvx demandée</t>
  </si>
  <si>
    <t>LAUZACH</t>
  </si>
  <si>
    <t>1 R GRAND CLOS</t>
  </si>
  <si>
    <t>coml A REMPLACER</t>
  </si>
  <si>
    <t>SAINT GILDAS DE RHUYS</t>
  </si>
  <si>
    <t>1 CH DE GORLEVENAN</t>
  </si>
  <si>
    <t>BA</t>
  </si>
  <si>
    <t xml:space="preserve">Att info pour devis </t>
  </si>
  <si>
    <t>PLOEMEUR</t>
  </si>
  <si>
    <t xml:space="preserve">LA VRAIE CROIX </t>
  </si>
  <si>
    <t xml:space="preserve"> 9I</t>
  </si>
  <si>
    <t>CORAY</t>
  </si>
  <si>
    <t>6 R DU STADE</t>
  </si>
  <si>
    <t xml:space="preserve">CRVT signé </t>
  </si>
  <si>
    <t>MOELAN SUR MER</t>
  </si>
  <si>
    <t>MALACHAPPE</t>
  </si>
  <si>
    <t>CRVT Signé / DFT Janvier 2027</t>
  </si>
  <si>
    <t>EVELLYS</t>
  </si>
  <si>
    <t>1 RUE DES LILAS</t>
  </si>
  <si>
    <t>1 RUE DES HORTENSIAS NAIZIN</t>
  </si>
  <si>
    <t>7C</t>
  </si>
  <si>
    <t>jusqu'au 19/02</t>
  </si>
  <si>
    <t>Étrelles</t>
  </si>
  <si>
    <t>17  RUE NORMAND D ETRELLES</t>
  </si>
  <si>
    <t>CRVT</t>
  </si>
  <si>
    <t>jusqu'au  29/03/2026</t>
  </si>
  <si>
    <t xml:space="preserve">12 R FELIX GALABERT </t>
  </si>
  <si>
    <t>HAJJEJ</t>
  </si>
  <si>
    <t>jusqu'au 04/03</t>
  </si>
  <si>
    <t>7 R DE LA LIBERTE</t>
  </si>
  <si>
    <t>CRVT à faire</t>
  </si>
  <si>
    <t>Landévennec</t>
  </si>
  <si>
    <t>LA FORET</t>
  </si>
  <si>
    <t xml:space="preserve">RECU </t>
  </si>
  <si>
    <t>Kergrist</t>
  </si>
  <si>
    <t xml:space="preserve"> 	13 LINHOUEDEC </t>
  </si>
  <si>
    <t>VAN500960</t>
  </si>
  <si>
    <t>Date de fin travaux client(manque regard 30x30)12/03</t>
  </si>
  <si>
    <t>THEIX NOYALO</t>
  </si>
  <si>
    <t>12 ALL BRURAL</t>
  </si>
  <si>
    <t>mohamed</t>
  </si>
  <si>
    <t xml:space="preserve"> Mail envoyé pour avoir un état sur la pose du dernier regard (20/01)</t>
  </si>
  <si>
    <t>QPR600168</t>
  </si>
  <si>
    <t>SAINT ARMEL</t>
  </si>
  <si>
    <t>RTE ST COLOMBIER</t>
  </si>
  <si>
    <t>QPR600185</t>
  </si>
  <si>
    <t>QPR500040</t>
  </si>
  <si>
    <t>4 QUA DE LA MARINE</t>
  </si>
  <si>
    <t>Redon, Ille-et-Vilaine</t>
  </si>
  <si>
    <t xml:space="preserve">6 RUE DE SAINT BARTHELEMY </t>
  </si>
  <si>
    <t>Les photos des autres appui sont prises lors de 1ere VT</t>
  </si>
  <si>
    <t>RTE DU SCLUZE</t>
  </si>
  <si>
    <t>SAINT GONNERY</t>
  </si>
  <si>
    <t>RUE ST JOSEPH</t>
  </si>
  <si>
    <t>41BIS CHE KEROMAN</t>
  </si>
  <si>
    <t>ROCHEFORT EN TERRE</t>
  </si>
  <si>
    <t>1 R CANDRE</t>
  </si>
  <si>
    <t>P7</t>
  </si>
  <si>
    <t>Paimpont</t>
  </si>
  <si>
    <t xml:space="preserve">GUE AUX MOINES </t>
  </si>
  <si>
    <t>QPR600231</t>
  </si>
  <si>
    <t xml:space="preserve">Att num PTX </t>
  </si>
  <si>
    <t>VAN600288</t>
  </si>
  <si>
    <t>LOR401756</t>
  </si>
  <si>
    <t xml:space="preserve">Att num PTX + DT </t>
  </si>
  <si>
    <t>CLEGUER</t>
  </si>
  <si>
    <t>COET LETUNE</t>
  </si>
  <si>
    <t>ATT Retour Clients</t>
  </si>
  <si>
    <t>QPR600186</t>
  </si>
  <si>
    <t>Att Num ptx + AS fibre</t>
  </si>
  <si>
    <t>KERGADORET</t>
  </si>
  <si>
    <t xml:space="preserve">vu avec borhen cause de retour stp ? poteau à implanter loin de compteur </t>
  </si>
  <si>
    <t>RRE600325</t>
  </si>
  <si>
    <t>PENMARCH</t>
  </si>
  <si>
    <t xml:space="preserve">279 HENT MEJOU KERVEDAL </t>
  </si>
  <si>
    <t>Att KBIS, RIB scambrai@finisterehabitat.fr</t>
  </si>
  <si>
    <t>RUE DE LA PAIX</t>
  </si>
  <si>
    <t>VAN600280</t>
  </si>
  <si>
    <t>315 LD KERMEROUR BOULBEN</t>
  </si>
  <si>
    <t>SAINT AIGNAN</t>
  </si>
  <si>
    <t>LE PETIT BOT PLEVEN</t>
  </si>
  <si>
    <t>EX VAN501425</t>
  </si>
  <si>
    <t>RUE DU MOULIN DU TER</t>
  </si>
  <si>
    <t>pie</t>
  </si>
  <si>
    <t xml:space="preserve">mail envoyé  le 05/01 concernant date fin trx pas de réponse </t>
  </si>
  <si>
    <t>LOR500657</t>
  </si>
  <si>
    <t>Langonnet</t>
  </si>
  <si>
    <t>RESTANGOASGUEN</t>
  </si>
  <si>
    <t>4 RUE DE KERBENOEN</t>
  </si>
  <si>
    <t>liée à la QPR501023</t>
  </si>
  <si>
    <t>Vitre</t>
  </si>
  <si>
    <t xml:space="preserve">16 ALL DU MAIL </t>
  </si>
  <si>
    <t>RRE500708</t>
  </si>
  <si>
    <t>19 RUE NORMAND D ETRELLES</t>
  </si>
  <si>
    <t>38 BI RUE DE MOELAN</t>
  </si>
  <si>
    <t xml:space="preserve">AFEK </t>
  </si>
  <si>
    <t>HENT KERYANN</t>
  </si>
  <si>
    <t>ATT création CRO600003</t>
  </si>
  <si>
    <t>R GEN LAMORICIERE</t>
  </si>
  <si>
    <t>CROZON</t>
  </si>
  <si>
    <t xml:space="preserve">64BIS ALL DES TILLEULS </t>
  </si>
  <si>
    <t>SAINT YVI</t>
  </si>
  <si>
    <t>HENT AR BOULENNOU</t>
  </si>
  <si>
    <t>VAN600453</t>
  </si>
  <si>
    <t>GUEGON</t>
  </si>
  <si>
    <t>RUE DU CLOS PERRET</t>
  </si>
  <si>
    <t>LOR501149</t>
  </si>
  <si>
    <t>Guern</t>
  </si>
  <si>
    <t xml:space="preserve"> KERAURAY</t>
  </si>
  <si>
    <t>Plan Itinéraire repris + photo montage</t>
  </si>
  <si>
    <t>Att num PTX   LOR501149</t>
  </si>
  <si>
    <t xml:space="preserve">KERAURAY </t>
  </si>
  <si>
    <t>liée a la QPR600054</t>
  </si>
  <si>
    <t xml:space="preserve">PONT LEVERIEN </t>
  </si>
  <si>
    <t>ERDEVEN</t>
  </si>
  <si>
    <t>1 R DE L OCEAN</t>
  </si>
  <si>
    <t>QPR302096</t>
  </si>
  <si>
    <t>Montage CU</t>
  </si>
  <si>
    <t xml:space="preserve">4 RUE DE KERGOADIG </t>
  </si>
  <si>
    <t>iée a la QPR302097</t>
  </si>
  <si>
    <t xml:space="preserve">TP SWAN à faire </t>
  </si>
  <si>
    <t>RUE DU PARADET</t>
  </si>
  <si>
    <t>dossier liée a la RRE501826</t>
  </si>
  <si>
    <t xml:space="preserve">A monter </t>
  </si>
  <si>
    <t>R DES TULIPES</t>
  </si>
  <si>
    <t>VT OK TRAVAUX PAS ENCORE TERMINES, BESOIN DE REVESITER</t>
  </si>
  <si>
    <t>QPR500129</t>
  </si>
  <si>
    <t>12 RUE DE LA MARINE</t>
  </si>
  <si>
    <t>1 CITE DE KERENTRECH</t>
  </si>
  <si>
    <t>1 RUE DE LA REPUBLIQUE</t>
  </si>
  <si>
    <t>ATT Video Piquetage</t>
  </si>
  <si>
    <t>QPR402104</t>
  </si>
  <si>
    <t>KERGUILLEC</t>
  </si>
  <si>
    <t>Plonévez-Porzay</t>
  </si>
  <si>
    <t>6 RTE DE CARN AR HOAT</t>
  </si>
  <si>
    <t xml:space="preserve">A voir pour pose PB </t>
  </si>
  <si>
    <t>R POULCOLO</t>
  </si>
  <si>
    <t>LE TOUR DU PARC</t>
  </si>
  <si>
    <t xml:space="preserve"> QUIMPER</t>
  </si>
  <si>
    <t>6 ALL DE KERAYEN</t>
  </si>
  <si>
    <t>23/01/2026 8h</t>
  </si>
  <si>
    <t>ZS</t>
  </si>
  <si>
    <t>CRACH</t>
  </si>
  <si>
    <t>LD KERZUC</t>
  </si>
  <si>
    <t xml:space="preserve">QPR600288 </t>
  </si>
  <si>
    <t xml:space="preserve">liée à la QPR600077 </t>
  </si>
  <si>
    <t>TREGUNC</t>
  </si>
  <si>
    <t xml:space="preserve">9 RTE KERGLEUHAN </t>
  </si>
  <si>
    <t>Liée a la CRO500257att contact n27</t>
  </si>
  <si>
    <t xml:space="preserve">25 QUAI COSMAO </t>
  </si>
  <si>
    <t>Mail envoyé au propriétaire du restaurant, en attendant son retour
MAJ le 21/02/2026</t>
  </si>
  <si>
    <t>Att valid pb sur  CRO500293 pour etablissement</t>
  </si>
  <si>
    <t xml:space="preserve"> 	25 QUAI COSMAO</t>
  </si>
  <si>
    <t xml:space="preserve"> PLOMEUR</t>
  </si>
  <si>
    <t>1 RTE ST JEAN TROLIMON</t>
  </si>
  <si>
    <t>LOTISSEMENT TY NEHUE</t>
  </si>
  <si>
    <t>PONT SCORFF</t>
  </si>
  <si>
    <t>verification trvx</t>
  </si>
  <si>
    <t xml:space="preserve">Att trx ENEDIS + Client </t>
  </si>
  <si>
    <t>VILLAGE DE KERLIR</t>
  </si>
  <si>
    <t>17 CHE PARK MINN à PLOBANNALEC</t>
  </si>
  <si>
    <t>SAINT VINCENT SUR OUST</t>
  </si>
  <si>
    <t>LA NOE</t>
  </si>
  <si>
    <t>SAINTE ANNE D AURAY</t>
  </si>
  <si>
    <t>R 5 AOUT 1944</t>
  </si>
  <si>
    <t>Dessat PC / Vu par stéphane avec piqueteur sur terrain</t>
  </si>
  <si>
    <t>lié à RRE600378</t>
  </si>
  <si>
    <t>SAINT ERBLON</t>
  </si>
  <si>
    <t>MOULIN DE BLOCHET</t>
  </si>
  <si>
    <t>QPR600187</t>
  </si>
  <si>
    <t>mise en chantier peut être envisagée en avril/mai</t>
  </si>
  <si>
    <t>RIEC SUR BELON</t>
  </si>
  <si>
    <t>1 RUE DE KERGUERN</t>
  </si>
  <si>
    <t>PLOMEUR</t>
  </si>
  <si>
    <t>1 RUE SANT TREVEL</t>
  </si>
  <si>
    <t>TREMEOC</t>
  </si>
  <si>
    <t>10 RUE KERILIS</t>
  </si>
  <si>
    <t>10/02/2026 14h</t>
  </si>
  <si>
    <t>Languidic</t>
  </si>
  <si>
    <t>KERMIRIETTE</t>
  </si>
  <si>
    <t>Verification Travaux</t>
  </si>
  <si>
    <t>lié RRE600325 49/50</t>
  </si>
  <si>
    <t xml:space="preserve"> SAINT ERBLON</t>
  </si>
  <si>
    <t>16/02/2026 15h</t>
  </si>
  <si>
    <t>SIGNED</t>
  </si>
  <si>
    <t>ETRELLES</t>
  </si>
  <si>
    <t>LD LA MAISON NEUVE</t>
  </si>
  <si>
    <t>RIANTEC</t>
  </si>
  <si>
    <t>LD LE STANG</t>
  </si>
  <si>
    <t>279 HENT MEJOU KERVEDAL</t>
  </si>
  <si>
    <t>10/02/2026 16h</t>
  </si>
  <si>
    <r>
      <rPr>
        <b/>
        <sz val="10"/>
        <color rgb="FF000000"/>
        <rFont val="Arial"/>
      </rPr>
      <t>ATT Sign CRVT</t>
    </r>
    <r>
      <rPr>
        <sz val="10"/>
        <color rgb="FF000000"/>
        <rFont val="Arial"/>
      </rPr>
      <t>/ MAJ le 16/02</t>
    </r>
  </si>
  <si>
    <t>IMP FEUNTEUNIO</t>
  </si>
  <si>
    <t>Dossier lié au VAN600357 //DESSAT DANS VAN600253</t>
  </si>
  <si>
    <t>DESSAT DANS VAN600253</t>
  </si>
  <si>
    <t>MUZILLAC</t>
  </si>
  <si>
    <t>KERDOURETTE</t>
  </si>
  <si>
    <t>20 R DES FONTAINES</t>
  </si>
  <si>
    <t>17/02/2026 10h30</t>
  </si>
  <si>
    <t>CRVT SIGNE</t>
  </si>
  <si>
    <t>Manque Photos + photos PB</t>
  </si>
  <si>
    <t>ROUTE DE KERSIDAN</t>
  </si>
  <si>
    <t xml:space="preserve">CTC MAIRIE Par BEIN </t>
  </si>
  <si>
    <t>Riantec</t>
  </si>
  <si>
    <t>RUE DU 19 MARS</t>
  </si>
  <si>
    <t>Besoin de clarifications//lié au LOR501020</t>
  </si>
  <si>
    <t>PLOUHINEC</t>
  </si>
  <si>
    <t>RUE DE KERGREAC H</t>
  </si>
  <si>
    <t>LD BECHEREL</t>
  </si>
  <si>
    <t>Retour Pour Photo Etiquette et parcours cable+ Client veut faire passage en sout</t>
  </si>
  <si>
    <t>R DE LA ROSE DES VENTS</t>
  </si>
  <si>
    <t>QPR600102</t>
  </si>
  <si>
    <t xml:space="preserve">Att info devis ENEDIS, LOR501352 demander si c'est les même info </t>
  </si>
  <si>
    <t>Cléguérec</t>
  </si>
  <si>
    <t>MANGOER</t>
  </si>
  <si>
    <t>mail envoyé le 09/01 concernant date fin trx pas de réponse  ; les travaux élec sont terminés.</t>
  </si>
  <si>
    <t>LOR501519</t>
  </si>
  <si>
    <t>VT de verif</t>
  </si>
  <si>
    <t>STAN EN ESKOP</t>
  </si>
  <si>
    <t xml:space="preserve">Khadher// Clients contacté pour Infos// travaux GC devraient prendre fin d’ici 2semaines.//  les travaux GC télécom sont terminés </t>
  </si>
  <si>
    <t xml:space="preserve">PV verif travaux </t>
  </si>
  <si>
    <t>13 RUE PIERRE TREMINTIN</t>
  </si>
  <si>
    <t>ATT Sign CRVT</t>
  </si>
  <si>
    <t>Quimperlé</t>
  </si>
  <si>
    <t>RUE DE STANG AN AMAN</t>
  </si>
  <si>
    <t xml:space="preserve">11/12/2025  matin </t>
  </si>
  <si>
    <t>PLUMERGAT</t>
  </si>
  <si>
    <t>22 R PAIX</t>
  </si>
  <si>
    <t>11/02/2026 12h</t>
  </si>
  <si>
    <t>ATT SIGN CRVT//Le CRVT sera signé la semaine prochaine</t>
  </si>
  <si>
    <t>CARNAC</t>
  </si>
  <si>
    <t>3 IMP GUEHEN VRAZ</t>
  </si>
  <si>
    <t>Le dossier nécessite un échange avec Orange//Vu avec Stéphane</t>
  </si>
  <si>
    <t>Clohars-Carnoët</t>
  </si>
  <si>
    <t>R PIERRE JACOB</t>
  </si>
  <si>
    <r>
      <rPr>
        <b/>
        <sz val="10"/>
        <color rgb="FF000000"/>
        <rFont val="Arial"/>
      </rPr>
      <t>ATT Sign CRVT</t>
    </r>
    <r>
      <rPr>
        <sz val="10"/>
        <color rgb="FF000000"/>
        <rFont val="Arial"/>
      </rPr>
      <t xml:space="preserve"> + Infos sur GC existant // Derniére relance le 20/02</t>
    </r>
  </si>
  <si>
    <t xml:space="preserve">Att nouveau CRVT signée </t>
  </si>
  <si>
    <t>Saint-Armel, Morbihan</t>
  </si>
  <si>
    <t>RTE PISSAC</t>
  </si>
  <si>
    <t>ATT Sign CRVT/ relance 18/02</t>
  </si>
  <si>
    <t>LOR400936</t>
  </si>
  <si>
    <t>Pont-Scorff</t>
  </si>
  <si>
    <t>RUE YVONNE CHAUFFIN</t>
  </si>
  <si>
    <t>Mail transmis au bureau de Lorient</t>
  </si>
  <si>
    <t>LOR201931</t>
  </si>
  <si>
    <t>0 RUE YVONNE CHAUFFIN</t>
  </si>
  <si>
    <t>LANDREVARZEC</t>
  </si>
  <si>
    <t xml:space="preserve">VEN DE TY PIN </t>
  </si>
  <si>
    <t>DFT : Avril 2026</t>
  </si>
  <si>
    <t>DOUARNENEZ</t>
  </si>
  <si>
    <t>1 R CROAS TALUD</t>
  </si>
  <si>
    <t>BIGNAN</t>
  </si>
  <si>
    <t>RUE BERNARD L HERIAU</t>
  </si>
  <si>
    <t>Mail transmis pour plans eaux usées/ Relance le 16/02</t>
  </si>
  <si>
    <t>LES BUTTES</t>
  </si>
  <si>
    <t xml:space="preserve">Près demande </t>
  </si>
  <si>
    <t>531 COET RIALAN</t>
  </si>
  <si>
    <t>09/02/2026 17h</t>
  </si>
  <si>
    <t>EQ</t>
  </si>
  <si>
    <t>LORIENT</t>
  </si>
  <si>
    <t>6 R DE PONT CARRE</t>
  </si>
  <si>
    <t>09/02/2026 16h</t>
  </si>
  <si>
    <t>MALANSAC</t>
  </si>
  <si>
    <t>SOUS LE BOIS</t>
  </si>
  <si>
    <t xml:space="preserve"> RETIERS</t>
  </si>
  <si>
    <t>17 BD HENRI RAJOT</t>
  </si>
  <si>
    <t>dossier remonté att crvt signé</t>
  </si>
  <si>
    <t>VANNES</t>
  </si>
  <si>
    <t>19 RUE DU CAPITAINE JUDE</t>
  </si>
  <si>
    <t>17/02/2026 14h</t>
  </si>
  <si>
    <t>12 HENT KERBOHIS</t>
  </si>
  <si>
    <t>Nécessite une 2ᵉ VT pour prendre les informations nécessaires pour le COMAC</t>
  </si>
  <si>
    <t>PONT L ABBE</t>
  </si>
  <si>
    <t>CHE KERARGONT</t>
  </si>
  <si>
    <t>1 LE LANNOU</t>
  </si>
  <si>
    <t>18/02/2026 13h30</t>
  </si>
  <si>
    <t>06 11 22 55 75  numéro propriétaire : Ollivier Aubertin</t>
  </si>
  <si>
    <t>KER ELOI</t>
  </si>
  <si>
    <t>GUERN</t>
  </si>
  <si>
    <t>KERAVENT</t>
  </si>
  <si>
    <t>SAINT BARTHELEMY</t>
  </si>
  <si>
    <t>LE RESTO</t>
  </si>
  <si>
    <t>4 RTE DE SAINTE HELENE</t>
  </si>
  <si>
    <t>RDV  le 23/02 à 9h</t>
  </si>
  <si>
    <t>26 LD LE BRAIGNO</t>
  </si>
  <si>
    <t>VAN501217</t>
  </si>
  <si>
    <t>LANDEVANT</t>
  </si>
  <si>
    <t>LD KERVENO BODAVEL</t>
  </si>
  <si>
    <t>LOCTUDY</t>
  </si>
  <si>
    <t>1 HENT POUL AR RANIKE</t>
  </si>
  <si>
    <t>1 RUE DU GENERAL DE PENFENTENYO</t>
  </si>
  <si>
    <t>GUENIN</t>
  </si>
  <si>
    <t>SAINT ENO</t>
  </si>
  <si>
    <t>COLPO</t>
  </si>
  <si>
    <t>R KORNEVEC</t>
  </si>
  <si>
    <t>lundi après midi 15h</t>
  </si>
  <si>
    <t>POULDREUZIC</t>
  </si>
  <si>
    <t>LD PENDREFF</t>
  </si>
  <si>
    <t>VAN402941</t>
  </si>
  <si>
    <t>Locminé</t>
  </si>
  <si>
    <t>1 RUE JACQUES CARTIER</t>
  </si>
  <si>
    <t>VT faite par stephane te louay  ; la mairie nous a confirmer que Le bâtiment devrait être terminé pour le 20 janvier./ Le client est injoignable aucune réponse, ni par téléphone ni par SMS.0687809345</t>
  </si>
  <si>
    <t>SAINT SERVANT SUR OUST</t>
  </si>
  <si>
    <t>29 R DES GRANITIERS</t>
  </si>
  <si>
    <t>La cliente n’a aucune disponibilité, excepté le 19/02 entre 13h et 13h45, durant sa pause déjeuner.
Elle travaille toute la semaine. 0630272983</t>
  </si>
  <si>
    <t>LOCOAL MENDON</t>
  </si>
  <si>
    <t>3 LD KERVORNES</t>
  </si>
  <si>
    <t>24/02/2026 9h</t>
  </si>
  <si>
    <t>Mail Envoyé pour disponiblité (fait le 18/02)</t>
  </si>
  <si>
    <t>PLOEMEL</t>
  </si>
  <si>
    <t>9 LD KERBREZEL</t>
  </si>
  <si>
    <t>24/02/2026 14h</t>
  </si>
  <si>
    <t>disponibles sur place toute la semaine prochaine entre 11h et 15h</t>
  </si>
  <si>
    <t>BADEN</t>
  </si>
  <si>
    <t>1 RUE DU PARUN</t>
  </si>
  <si>
    <t>HENNEBONT</t>
  </si>
  <si>
    <t>AV PASTEUR</t>
  </si>
  <si>
    <t>ARZON</t>
  </si>
  <si>
    <t>43 RUE REDO</t>
  </si>
  <si>
    <t>dispo que le 5-6-9 mars</t>
  </si>
  <si>
    <t>QUESTEMBERT</t>
  </si>
  <si>
    <t>1 AV DES GENETS</t>
  </si>
  <si>
    <t>MEUCON</t>
  </si>
  <si>
    <t>LD CADUAL</t>
  </si>
  <si>
    <t>LIMERZEL</t>
  </si>
  <si>
    <t>RUE DU CHEMIN CREUX</t>
  </si>
  <si>
    <t>Disponible la semaine prochaine</t>
  </si>
  <si>
    <t>VAN400293</t>
  </si>
  <si>
    <t>LA PROVOTAIS</t>
  </si>
  <si>
    <t>ELVEN</t>
  </si>
  <si>
    <t>10 RUE DE KERGONAN</t>
  </si>
  <si>
    <t>Il peut se rendre disponible n'Importe quand</t>
  </si>
  <si>
    <t xml:space="preserve"> CHATEAUBOURG</t>
  </si>
  <si>
    <t xml:space="preserve"> 	1 R DES VIGNES</t>
  </si>
  <si>
    <t xml:space="preserve"> MEDREAC</t>
  </si>
  <si>
    <t>49 LA VILLE AU FRANC</t>
  </si>
  <si>
    <t>26/02/2026 12h-14h</t>
  </si>
  <si>
    <t>BOURG DES COMPTES</t>
  </si>
  <si>
    <t>25 RUE DE BEL AIR</t>
  </si>
  <si>
    <t>VT URGENT CAR KD ETUDE TRANSMISE</t>
  </si>
  <si>
    <t>VT de vérification des travaux (suppression des cables nues)</t>
  </si>
  <si>
    <t>VAN403337</t>
  </si>
  <si>
    <t>CTC CLIENT</t>
  </si>
  <si>
    <t>PLOERMEL</t>
  </si>
  <si>
    <t>RUE DU CLOS DES CHAMPS</t>
  </si>
  <si>
    <t>Non dispo 0668584258</t>
  </si>
  <si>
    <t>VAN402881</t>
  </si>
  <si>
    <t>SAINT DOLAY</t>
  </si>
  <si>
    <t>LE THEYAT</t>
  </si>
  <si>
    <t>VAN403047</t>
  </si>
  <si>
    <t>LA VIEILLE VILLE</t>
  </si>
  <si>
    <t>PEILLAC</t>
  </si>
  <si>
    <t>32 RUE DU STADE</t>
  </si>
  <si>
    <t>27 février ou le 09 et 10 mars</t>
  </si>
  <si>
    <t>VAN500194</t>
  </si>
  <si>
    <t>SAINT MARTIN SUR OUST</t>
  </si>
  <si>
    <t>LE POT</t>
  </si>
  <si>
    <t>SCAER</t>
  </si>
  <si>
    <t>10 TREUSCOAT TRAON</t>
  </si>
  <si>
    <t>disponible les matinées de la semaine, si possible, le lundi matin nous arrangerait</t>
  </si>
  <si>
    <t>1 R DU CHANOINE GRALL</t>
  </si>
  <si>
    <t>SAINT PIERRE QUIBERON</t>
  </si>
  <si>
    <t>5 RUE DU PARCO</t>
  </si>
  <si>
    <t>Plans dans commune diff</t>
  </si>
  <si>
    <t>VAN500576</t>
  </si>
  <si>
    <t>VAN403032</t>
  </si>
  <si>
    <t>MAURON</t>
  </si>
  <si>
    <t>3 LOT BIGNON</t>
  </si>
  <si>
    <t>disponible de 13h à 15h du lundi au jeudi</t>
  </si>
  <si>
    <t>AURAY</t>
  </si>
  <si>
    <t>71 AV DU GENERAL DE GAULLE</t>
  </si>
  <si>
    <t>Non dispo , Opération Auray en stand by // à prendre en consideration mois de mai</t>
  </si>
  <si>
    <t>1 RUE ST CORNELY</t>
  </si>
  <si>
    <t>Titulaire absent jusqu'au lundi 14 avril</t>
  </si>
  <si>
    <t>RIEUX</t>
  </si>
  <si>
    <t>PLUMELEC</t>
  </si>
  <si>
    <t>LINIER</t>
  </si>
  <si>
    <t>41 RTE DE LA GREE PENVINS</t>
  </si>
  <si>
    <t>QPR600297</t>
  </si>
  <si>
    <t>CHEMIN DU SEQUER NEVEZ</t>
  </si>
  <si>
    <t>MDM102429</t>
  </si>
  <si>
    <t>PAU400540</t>
  </si>
  <si>
    <t>XR</t>
  </si>
  <si>
    <t xml:space="preserve">Manque classe A pour recol </t>
  </si>
  <si>
    <t>BUROS</t>
  </si>
  <si>
    <t>2265 CHE ROUMIEU</t>
  </si>
  <si>
    <t>MDM103892</t>
  </si>
  <si>
    <t>PAU101592</t>
  </si>
  <si>
    <t xml:space="preserve">HAGETAUBIN </t>
  </si>
  <si>
    <t>1350 RTE ST MEDARD</t>
  </si>
  <si>
    <t>TVX FINIS</t>
  </si>
  <si>
    <t>MDM200033</t>
  </si>
  <si>
    <t>MDM300296</t>
  </si>
  <si>
    <t>MONT DE MARSAN</t>
  </si>
  <si>
    <t>R PIERRE RISPAL</t>
  </si>
  <si>
    <t>MDM201114</t>
  </si>
  <si>
    <t>BAY400463</t>
  </si>
  <si>
    <t>SAINT MARTIN DE HINX</t>
  </si>
  <si>
    <t>RTE VIGNERONS</t>
  </si>
  <si>
    <t>MDM300394</t>
  </si>
  <si>
    <t>MDM500515</t>
  </si>
  <si>
    <t>CP</t>
  </si>
  <si>
    <t>GAMARDE LES BAINS</t>
  </si>
  <si>
    <t>ROUTE DE TENDURE</t>
  </si>
  <si>
    <t>a reprendre? pourquoi ????</t>
  </si>
  <si>
    <t>BAY300372</t>
  </si>
  <si>
    <t>PAU400255</t>
  </si>
  <si>
    <t xml:space="preserve">SAINT CASTIN  </t>
  </si>
  <si>
    <t>RTE BUROS</t>
  </si>
  <si>
    <t>BAY300536</t>
  </si>
  <si>
    <t>PAU400058</t>
  </si>
  <si>
    <t>RV</t>
  </si>
  <si>
    <t>GERDEREST</t>
  </si>
  <si>
    <t>CH DE MONASSUT</t>
  </si>
  <si>
    <t xml:space="preserve">pas de travaux client fibré déja </t>
  </si>
  <si>
    <t>MDM300689</t>
  </si>
  <si>
    <t>PAU301083</t>
  </si>
  <si>
    <t xml:space="preserve">DOSSIER A VALIDER </t>
  </si>
  <si>
    <t>JURANCON</t>
  </si>
  <si>
    <t>1 RUE DE LA SCIERIE</t>
  </si>
  <si>
    <t xml:space="preserve">Pris en charge par stéphane </t>
  </si>
  <si>
    <t>MDM301155</t>
  </si>
  <si>
    <t>PAU103623</t>
  </si>
  <si>
    <t xml:space="preserve">MORLANNE  </t>
  </si>
  <si>
    <t>ROUTE PERE</t>
  </si>
  <si>
    <t>PAU301084</t>
  </si>
  <si>
    <t>MDM500332</t>
  </si>
  <si>
    <t>BAHUS SOUBIRAN</t>
  </si>
  <si>
    <t>RTE DE DAMOULENS</t>
  </si>
  <si>
    <t>TRVX ENEDIS FAITES</t>
  </si>
  <si>
    <t>MDM301222</t>
  </si>
  <si>
    <t>MDM500161</t>
  </si>
  <si>
    <t>PONTENX LES FORGES</t>
  </si>
  <si>
    <t>607 RTE MOUGNAN</t>
  </si>
  <si>
    <t>TVX OK</t>
  </si>
  <si>
    <t>PAU301245</t>
  </si>
  <si>
    <t>MDM400853</t>
  </si>
  <si>
    <t xml:space="preserve">BEGAAR </t>
  </si>
  <si>
    <t>218 CHEMIN POUCHIOU</t>
  </si>
  <si>
    <t>MDM301401</t>
  </si>
  <si>
    <t>MDM200689</t>
  </si>
  <si>
    <t>DO</t>
  </si>
  <si>
    <t>AUREILHAN</t>
  </si>
  <si>
    <t>21 RTE LACS</t>
  </si>
  <si>
    <t>MDM400167</t>
  </si>
  <si>
    <t>MDM003509</t>
  </si>
  <si>
    <t>DG</t>
  </si>
  <si>
    <t>GEAUNE</t>
  </si>
  <si>
    <t>R NAZ DE GUIT</t>
  </si>
  <si>
    <t>PAU400195</t>
  </si>
  <si>
    <t>DAX400043</t>
  </si>
  <si>
    <t>PONTONX SUR L'ADOUR</t>
  </si>
  <si>
    <t>81 CHE CASTERA</t>
  </si>
  <si>
    <t>MDM400322</t>
  </si>
  <si>
    <t>DAX400041</t>
  </si>
  <si>
    <t>CH NOEL</t>
  </si>
  <si>
    <t>PAU400369</t>
  </si>
  <si>
    <t>BAY400353</t>
  </si>
  <si>
    <t>TARNOS</t>
  </si>
  <si>
    <t>781 CHE ANNELONGUE</t>
  </si>
  <si>
    <t>MDM400398</t>
  </si>
  <si>
    <t>BAY200287</t>
  </si>
  <si>
    <t>LABENNE</t>
  </si>
  <si>
    <t>1 ALL CHAMPAGNE</t>
  </si>
  <si>
    <t>MDM400427</t>
  </si>
  <si>
    <t>ARC500883</t>
  </si>
  <si>
    <t>CG</t>
  </si>
  <si>
    <t>GUJAN MESTRAS</t>
  </si>
  <si>
    <t xml:space="preserve"> 	8 ALL DU BOSQUET DES CIGALES</t>
  </si>
  <si>
    <t xml:space="preserve">amenagement </t>
  </si>
  <si>
    <t>BAY400496</t>
  </si>
  <si>
    <t>MDM300753</t>
  </si>
  <si>
    <t>BX</t>
  </si>
  <si>
    <t>SARBAZAN</t>
  </si>
  <si>
    <t>683 POUY</t>
  </si>
  <si>
    <t>TVX OK (photos travaux sur share point)</t>
  </si>
  <si>
    <t>BAY400497</t>
  </si>
  <si>
    <t>PAU300808</t>
  </si>
  <si>
    <t xml:space="preserve">GELOS </t>
  </si>
  <si>
    <t xml:space="preserve"> AVE HENRI FANFELLE</t>
  </si>
  <si>
    <t xml:space="preserve">j'ai vous transferé le mail du client ou il nous a confirmé que les travaux ont été terminés </t>
  </si>
  <si>
    <t>BAY400498</t>
  </si>
  <si>
    <t>MDM500507</t>
  </si>
  <si>
    <t>BW</t>
  </si>
  <si>
    <t>MUGRON</t>
  </si>
  <si>
    <t>248 RTE DE POMAREZ</t>
  </si>
  <si>
    <t>MDM400530</t>
  </si>
  <si>
    <t>ARC500798</t>
  </si>
  <si>
    <t>OG</t>
  </si>
  <si>
    <t>ARCACHON</t>
  </si>
  <si>
    <t xml:space="preserve"> 	38 AV DES GOELANDS</t>
  </si>
  <si>
    <t>MDM400881</t>
  </si>
  <si>
    <t>MDM300446</t>
  </si>
  <si>
    <t>CASTELNER</t>
  </si>
  <si>
    <t>LASSERRE</t>
  </si>
  <si>
    <t>Pas de dépose d'appui de notre part. | Appui ENEDIS déjà déposés</t>
  </si>
  <si>
    <t>MDM400978</t>
  </si>
  <si>
    <t>PAU301246</t>
  </si>
  <si>
    <t>MIREPEIX</t>
  </si>
  <si>
    <t xml:space="preserve">	RUE BAREILLE</t>
  </si>
  <si>
    <t>lié a PAU301245</t>
  </si>
  <si>
    <t>MDM500002</t>
  </si>
  <si>
    <t>ARC600065</t>
  </si>
  <si>
    <t>IN</t>
  </si>
  <si>
    <t>LE TEICH</t>
  </si>
  <si>
    <t>48 RUE DES POISSONNIERS</t>
  </si>
  <si>
    <t>MDM500310</t>
  </si>
  <si>
    <t>ARC500878</t>
  </si>
  <si>
    <t>IK</t>
  </si>
  <si>
    <t>Rapport d'ammiante existant ou non</t>
  </si>
  <si>
    <t xml:space="preserve"> LE TEICH</t>
  </si>
  <si>
    <t xml:space="preserve"> 	1 ALL DE CANTELAUDE</t>
  </si>
  <si>
    <t>Besoin retour terrain</t>
  </si>
  <si>
    <t>MDM500366</t>
  </si>
  <si>
    <t>ARC500965</t>
  </si>
  <si>
    <t>1 ALL DE CANTELAUDE</t>
  </si>
  <si>
    <t>MDM500477</t>
  </si>
  <si>
    <t>ARC500827</t>
  </si>
  <si>
    <t>LA TESTE DE BUCH</t>
  </si>
  <si>
    <t>7 SQ LUDWIG VAN BEETHOVEN</t>
  </si>
  <si>
    <t>MDM500499</t>
  </si>
  <si>
    <t>Recus</t>
  </si>
  <si>
    <t xml:space="preserve">SAINT PERDON  </t>
  </si>
  <si>
    <t>RTE CALOY</t>
  </si>
  <si>
    <t>MDM500500</t>
  </si>
  <si>
    <t>ARC500960</t>
  </si>
  <si>
    <t>Pres PV</t>
  </si>
  <si>
    <t xml:space="preserve"> SALLES</t>
  </si>
  <si>
    <t xml:space="preserve"> 	CHEMIN DE GUERIN</t>
  </si>
  <si>
    <t>MDM500532</t>
  </si>
  <si>
    <t>ARC500930</t>
  </si>
  <si>
    <t xml:space="preserve"> LA TESTE DE BUCH</t>
  </si>
  <si>
    <t>CHE DE PECHIC</t>
  </si>
  <si>
    <t>MDM500538</t>
  </si>
  <si>
    <t>ARC600021</t>
  </si>
  <si>
    <t>12 B AV DE CESAREE</t>
  </si>
  <si>
    <t>On a passé déja ?</t>
  </si>
  <si>
    <t>ARC500708</t>
  </si>
  <si>
    <t>ARC600070</t>
  </si>
  <si>
    <t>ETUDE FAISABILITE OK demande PV sur la ARC500902</t>
  </si>
  <si>
    <t>LUGOS</t>
  </si>
  <si>
    <t>ARC500728</t>
  </si>
  <si>
    <t>ARC600069</t>
  </si>
  <si>
    <t xml:space="preserve">dossier liée a la ARC500728PV lancer </t>
  </si>
  <si>
    <t>SALLES</t>
  </si>
  <si>
    <t>ROUTE DE LA GARENNE</t>
  </si>
  <si>
    <t>ARC500733</t>
  </si>
  <si>
    <t>ARC600039</t>
  </si>
  <si>
    <t xml:space="preserve">tvx debut avril </t>
  </si>
  <si>
    <t>1 E ALL DE CANTELAUDE</t>
  </si>
  <si>
    <t xml:space="preserve">20/01 à 14h </t>
  </si>
  <si>
    <t>ARC500784</t>
  </si>
  <si>
    <t>ARC600003</t>
  </si>
  <si>
    <t>5 R DU CHATEAU</t>
  </si>
  <si>
    <t>22/01 à 9h30</t>
  </si>
  <si>
    <t>ARC500802</t>
  </si>
  <si>
    <t>ARC500847</t>
  </si>
  <si>
    <t xml:space="preserve">Etude de faisabilité </t>
  </si>
  <si>
    <t>ARC500812</t>
  </si>
  <si>
    <t>Etude de faisabilité  liée a la ARC600069</t>
  </si>
  <si>
    <t>ARC500931</t>
  </si>
  <si>
    <t xml:space="preserve">Att photo regard 30x30 </t>
  </si>
  <si>
    <t xml:space="preserve"> 	2 CHE DE PECHIC </t>
  </si>
  <si>
    <t>26/12/2025 9h30</t>
  </si>
  <si>
    <t>besoin rdv</t>
  </si>
  <si>
    <t>ARC500831</t>
  </si>
  <si>
    <t>ARC500966</t>
  </si>
  <si>
    <t>ARC500836</t>
  </si>
  <si>
    <t xml:space="preserve">MEILLON </t>
  </si>
  <si>
    <t>7 COTE DE MAUHOURAT</t>
  </si>
  <si>
    <t>VENDREDI</t>
  </si>
  <si>
    <t>ARC500840</t>
  </si>
  <si>
    <t>pas de tvx à lancer pour l'instant</t>
  </si>
  <si>
    <t>LESCAR</t>
  </si>
  <si>
    <t xml:space="preserve"> RTE DE L AVIATION</t>
  </si>
  <si>
    <t>mardi</t>
  </si>
  <si>
    <t>ARC500843</t>
  </si>
  <si>
    <t>fin d'avril</t>
  </si>
  <si>
    <t>AUDIGNON</t>
  </si>
  <si>
    <t>RTE DU CHATEAU D EAU</t>
  </si>
  <si>
    <t>NE PAS PRENDRE</t>
  </si>
  <si>
    <t>ARC500862</t>
  </si>
  <si>
    <t>ROQUEFORT</t>
  </si>
  <si>
    <t>214 AV D'ALBRET</t>
  </si>
  <si>
    <t>ARC500872</t>
  </si>
  <si>
    <t xml:space="preserve">manque contact </t>
  </si>
  <si>
    <t>MEZOS</t>
  </si>
  <si>
    <t>94 CH DE DUGRAND</t>
  </si>
  <si>
    <t>ARC500874</t>
  </si>
  <si>
    <t>Att travaux NATHD</t>
  </si>
  <si>
    <t>2290 CHE BAS DE HAUT</t>
  </si>
  <si>
    <t>LA GARE</t>
  </si>
  <si>
    <t>ARC500911</t>
  </si>
  <si>
    <t xml:space="preserve">TVX à 2026 pas de date précise </t>
  </si>
  <si>
    <t xml:space="preserve">LESGOR </t>
  </si>
  <si>
    <t>1060 CH DU REY</t>
  </si>
  <si>
    <t xml:space="preserve">ATT RETOUR CLIENT </t>
  </si>
  <si>
    <t>LAN500514</t>
  </si>
  <si>
    <t>SOUPROSSE</t>
  </si>
  <si>
    <t>RTE GUIRETTE</t>
  </si>
  <si>
    <t>VILLENEUVE DE MARSAN</t>
  </si>
  <si>
    <t xml:space="preserve"> ALLS D HAUSSEZ</t>
  </si>
  <si>
    <t>CAMPAGNE</t>
  </si>
  <si>
    <t>157 AV ECOLES</t>
  </si>
  <si>
    <t>ARC500947</t>
  </si>
  <si>
    <t xml:space="preserve">LESPERON </t>
  </si>
  <si>
    <t>277 R JULES FERRY</t>
  </si>
  <si>
    <t>ARC500948</t>
  </si>
  <si>
    <t>SAINT LAURENT DE GOSSE</t>
  </si>
  <si>
    <t>419 RTE BELLEVUE</t>
  </si>
  <si>
    <t>ARC500952</t>
  </si>
  <si>
    <t>Mi Juillet</t>
  </si>
  <si>
    <t>61 ROUTE DE PEYBIDEAU</t>
  </si>
  <si>
    <t>49/50</t>
  </si>
  <si>
    <t xml:space="preserve">fin de fevrier </t>
  </si>
  <si>
    <t>13 ALL DES PINS VERTS</t>
  </si>
  <si>
    <t>CRVT à refaire 19/12</t>
  </si>
  <si>
    <t>ARC500969</t>
  </si>
  <si>
    <t xml:space="preserve">tvx toujours en cours </t>
  </si>
  <si>
    <t xml:space="preserve"> GUJAN MESTRAS</t>
  </si>
  <si>
    <t>12 AV DE CESAREE</t>
  </si>
  <si>
    <t>15/12/2025  09h</t>
  </si>
  <si>
    <t xml:space="preserve">TVX pas encore commencés </t>
  </si>
  <si>
    <t xml:space="preserve">GUJAN MESTRAS </t>
  </si>
  <si>
    <t>4 TER IMP DES COQUELICOTS</t>
  </si>
  <si>
    <t xml:space="preserve">d'apres la cliente il faut contacter ses voisins puisque c pas à elle de faire les tvx </t>
  </si>
  <si>
    <t>ARC600025</t>
  </si>
  <si>
    <t>70 LOT SAINTE CLOTILDE</t>
  </si>
  <si>
    <t>20/01 16H30 pas avant</t>
  </si>
  <si>
    <t>VV</t>
  </si>
  <si>
    <t>S</t>
  </si>
  <si>
    <t>RUE MICHEL LABARTHE</t>
  </si>
  <si>
    <t xml:space="preserve">18/12/2025 10H </t>
  </si>
  <si>
    <t xml:space="preserve">j'attends le retour du client </t>
  </si>
  <si>
    <t>ARC600031</t>
  </si>
  <si>
    <t>ARC600054</t>
  </si>
  <si>
    <t>fin du chantier mi-juin</t>
  </si>
  <si>
    <t xml:space="preserve">9 D ALL DES PINS VERTS </t>
  </si>
  <si>
    <t>ARC600033</t>
  </si>
  <si>
    <t>ARC600041</t>
  </si>
  <si>
    <t xml:space="preserve"> tvx 01/08/2026</t>
  </si>
  <si>
    <t>51 RUE DU MARECHAL LECLERC CAZAUX</t>
  </si>
  <si>
    <t>22/01 10H30</t>
  </si>
  <si>
    <t>DR</t>
  </si>
  <si>
    <t>Jusqu'au 4/03</t>
  </si>
  <si>
    <t xml:space="preserve">LAGLORIEUSE </t>
  </si>
  <si>
    <t>1880 RTE MONT DE MARSAN</t>
  </si>
  <si>
    <t xml:space="preserve">mail envoyé à stephane concernant </t>
  </si>
  <si>
    <t>ROUTE DE JEAN ROUX</t>
  </si>
  <si>
    <t>ARC600051</t>
  </si>
  <si>
    <t>1 RUE DE LA BAREILHE</t>
  </si>
  <si>
    <t xml:space="preserve">mail envoyé concernant </t>
  </si>
  <si>
    <t>POUYDESSEAUX</t>
  </si>
  <si>
    <t>RTE CORBLEU</t>
  </si>
  <si>
    <t>1435 AV HOUGA</t>
  </si>
  <si>
    <t>rdv apres-midi</t>
  </si>
  <si>
    <t>2 BIS ALL DES GENETS</t>
  </si>
  <si>
    <t>26/12/2025 11h</t>
  </si>
  <si>
    <t xml:space="preserve">CRVT en cours </t>
  </si>
  <si>
    <t>ARC600060</t>
  </si>
  <si>
    <t>LABASTIDE D ARMAGNAC</t>
  </si>
  <si>
    <t>RTE DE LE FRECHE</t>
  </si>
  <si>
    <t>ARC600063</t>
  </si>
  <si>
    <t xml:space="preserve">RTE DE CAZAUBON </t>
  </si>
  <si>
    <t>MDM400873</t>
  </si>
  <si>
    <t>DOAZIT</t>
  </si>
  <si>
    <t>RTE MUS</t>
  </si>
  <si>
    <t xml:space="preserve">Je vois qu'il y a toujours le câble sur l'appui 4, 
Dossier a reprendre 
Je ne vois pas de proposition pour reprendre le câble. Pas de plan ITI concernant sur ces appuis. </t>
  </si>
  <si>
    <t>23 R MONTMARTRE</t>
  </si>
  <si>
    <t xml:space="preserve">SAINT MARTIN D'ONEY  </t>
  </si>
  <si>
    <t>CHEMIN DE LABARRERE</t>
  </si>
  <si>
    <t>ARC600091</t>
  </si>
  <si>
    <t>SAINT JUSTIN</t>
  </si>
  <si>
    <t xml:space="preserve"> ROUTE DE ROQUEFORT</t>
  </si>
  <si>
    <t>BOR600066</t>
  </si>
  <si>
    <t xml:space="preserve"> 	19 BD DU PYLA</t>
  </si>
  <si>
    <t>ARC600108</t>
  </si>
  <si>
    <t>7 RUE LAGRUA</t>
  </si>
  <si>
    <t>22/01 13H30</t>
  </si>
  <si>
    <t>ARC600117</t>
  </si>
  <si>
    <t xml:space="preserve">Att valid etude faisabilité </t>
  </si>
  <si>
    <t>48 BIS RUE DES POISSONNIERS</t>
  </si>
  <si>
    <t>ARC600133</t>
  </si>
  <si>
    <t>PV A FAIRE</t>
  </si>
  <si>
    <t xml:space="preserve"> 28B RUE PIERRE DEYCARD</t>
  </si>
  <si>
    <t>18/12/2025  9h</t>
  </si>
  <si>
    <t xml:space="preserve">client n'a pas honoré le rdv capture texto dans dossier </t>
  </si>
  <si>
    <t>ARC600141</t>
  </si>
  <si>
    <t>PV SP</t>
  </si>
  <si>
    <t>SANGUINET</t>
  </si>
  <si>
    <t>457 CHE CAM NEOU</t>
  </si>
  <si>
    <t>URGENT  Contre visite travaux depuis 7/10 (photos de la visite d'octobre sur sharepoint)</t>
  </si>
  <si>
    <t>LAGLORIEUSE</t>
  </si>
  <si>
    <t xml:space="preserve"> 105 CHEMIN DU BARRADE</t>
  </si>
  <si>
    <t>ROUTE DE CHANTEGRIT</t>
  </si>
  <si>
    <t>VT 25/06</t>
  </si>
  <si>
    <t>31 RUE DU DOCTEUR DUFOURG</t>
  </si>
  <si>
    <t>49/50 à voir avec hajjej</t>
  </si>
  <si>
    <t xml:space="preserve">10 R DES HIPPOCAMPES </t>
  </si>
  <si>
    <t xml:space="preserve">VU avec stephane et louay </t>
  </si>
  <si>
    <t>BOMMES</t>
  </si>
  <si>
    <t>1 HAUT BOMMES</t>
  </si>
  <si>
    <t xml:space="preserve">dessim à remonter par afek </t>
  </si>
  <si>
    <t>680 AV GUSTAVE EIFFEL</t>
  </si>
  <si>
    <t xml:space="preserve">26/01 à 14h sans faute </t>
  </si>
  <si>
    <t>besoin rdv  deplacement reseau</t>
  </si>
  <si>
    <t>ALL DE MALPONT</t>
  </si>
  <si>
    <t xml:space="preserve">tvx ok </t>
  </si>
  <si>
    <t>CERE</t>
  </si>
  <si>
    <t>RTE BROCAS</t>
  </si>
  <si>
    <t xml:space="preserve">TVX pas encoré réalisésmail envoyé </t>
  </si>
  <si>
    <t>MDM203023</t>
  </si>
  <si>
    <t>APPUI 11 OU 12 AVEC TELECOM</t>
  </si>
  <si>
    <t>GAILLERES</t>
  </si>
  <si>
    <t>MENGELY</t>
  </si>
  <si>
    <t>Travaux ENEDIS S24</t>
  </si>
  <si>
    <t xml:space="preserve"> 	ALL DE LA FORET</t>
  </si>
  <si>
    <t xml:space="preserve">TVX enedis seront terminés au mois de mars , une visite à faire apres cette date pour traitement du dossier </t>
  </si>
  <si>
    <t xml:space="preserve">on a eu les contacts de 3 clients , attends retour </t>
  </si>
  <si>
    <t>POMAREZ</t>
  </si>
  <si>
    <t>AV BEARN</t>
  </si>
  <si>
    <t>ATT retour mairie , mail envoyé 23-12-2025, relance mail 29/12</t>
  </si>
  <si>
    <t xml:space="preserve">Travaux ENEDIS fin Mars </t>
  </si>
  <si>
    <t>R JULES FERRY</t>
  </si>
  <si>
    <t>HT</t>
  </si>
  <si>
    <t>AV DE CAMPS</t>
  </si>
  <si>
    <t xml:space="preserve">Vérification travaux a faire </t>
  </si>
  <si>
    <t>USTARITZ</t>
  </si>
  <si>
    <t>RUE HARDOIA</t>
  </si>
  <si>
    <t xml:space="preserve">relance ok , à prendre contacte avec le client apres 4 janvier </t>
  </si>
  <si>
    <t>Besoin VLOC</t>
  </si>
  <si>
    <t>26 CHE DE LA PROCESSION</t>
  </si>
  <si>
    <t>22/01 11H30</t>
  </si>
  <si>
    <t xml:space="preserve">VT à faire </t>
  </si>
  <si>
    <t>AV DES ECOLES</t>
  </si>
  <si>
    <t>NE PAS FAIRE LA VISITE</t>
  </si>
  <si>
    <t xml:space="preserve">3 RUE DE L EGLISE </t>
  </si>
  <si>
    <t xml:space="preserve">Besoin VLOC (dossier remonté ), att CRVT signé </t>
  </si>
  <si>
    <t>LE BARP</t>
  </si>
  <si>
    <t>7 ALL DES ACACIAS</t>
  </si>
  <si>
    <t xml:space="preserve">dispo 9 janvier </t>
  </si>
  <si>
    <t>mail envoyé pour un contact mais pas de retour</t>
  </si>
  <si>
    <t>MENDIONDES</t>
  </si>
  <si>
    <t xml:space="preserve">mail envoyé par khadher à propos ce dossier / Louay : t les infos prises par khahder le jour de vt </t>
  </si>
  <si>
    <t xml:space="preserve">rdv confirmé </t>
  </si>
  <si>
    <t>53 AV BISSERIE</t>
  </si>
  <si>
    <t>19/02 14H30</t>
  </si>
  <si>
    <t>ATT rendez vous client : IMB/33529/X/0QI0</t>
  </si>
  <si>
    <t xml:space="preserve">11 RUE CASTAGNEDE </t>
  </si>
  <si>
    <t>8 R DES HIPPOCAMPES</t>
  </si>
  <si>
    <t>2 RUE MAY SUR ORNE</t>
  </si>
  <si>
    <t>SUIVI DOSSIER ETUDE</t>
  </si>
  <si>
    <t>PV</t>
  </si>
  <si>
    <t>DTA</t>
  </si>
  <si>
    <t>RechercheSPI</t>
  </si>
  <si>
    <t>Adresse</t>
  </si>
  <si>
    <t>Date      création</t>
  </si>
  <si>
    <t xml:space="preserve">Date VT </t>
  </si>
  <si>
    <t>Date VT           &lt;14j</t>
  </si>
  <si>
    <t>N° SAVOIR</t>
  </si>
  <si>
    <t>Date émision PV</t>
  </si>
  <si>
    <t xml:space="preserve">Relance </t>
  </si>
  <si>
    <t xml:space="preserve">Dat PV recu </t>
  </si>
  <si>
    <t>N°BANBOU</t>
  </si>
  <si>
    <t>Date émission DTA</t>
  </si>
  <si>
    <t>DATE RELANCE</t>
  </si>
  <si>
    <t>INFO CAF</t>
  </si>
  <si>
    <t>09.1 ATT DOE</t>
  </si>
  <si>
    <t>IMI-VA-64122/00RM-1</t>
  </si>
  <si>
    <t>BIARRITZ</t>
  </si>
  <si>
    <t>31 PASSAGE MAZAGRAN</t>
  </si>
  <si>
    <t>IMI-VA-64122/02WK-1</t>
  </si>
  <si>
    <t>36 AVENUE DE L IMPERATRICE</t>
  </si>
  <si>
    <t xml:space="preserve">PB AVEC TRAVAUX </t>
  </si>
  <si>
    <t>IMI-VA-40114/017S-1</t>
  </si>
  <si>
    <t>GOURBERA</t>
  </si>
  <si>
    <t>2450 RTE DE HERM</t>
  </si>
  <si>
    <t>IMI-VA-40279/169O-1</t>
  </si>
  <si>
    <t>ST PAUL les DAX</t>
  </si>
  <si>
    <t>332 CHEMIN DES ARTIFICIERS</t>
  </si>
  <si>
    <t>IMI-VA-64024/02WH-1</t>
  </si>
  <si>
    <t>ANGLET</t>
  </si>
  <si>
    <t>14 avenue du vallon</t>
  </si>
  <si>
    <t xml:space="preserve">A faire </t>
  </si>
  <si>
    <t>IMI-VA-40234/0083-1</t>
  </si>
  <si>
    <t>POUYDESSSEAUX</t>
  </si>
  <si>
    <t>ROUTE DE CORBLEU</t>
  </si>
  <si>
    <t>IMI-VA-40234/009R-1</t>
  </si>
  <si>
    <t>1549 route de bostens</t>
  </si>
  <si>
    <t xml:space="preserve">Att fiche GESPOT </t>
  </si>
  <si>
    <t>IMI-VA-40179/00LQ-3</t>
  </si>
  <si>
    <t>MEES</t>
  </si>
  <si>
    <t>ROUTE D ARDY</t>
  </si>
  <si>
    <t>09 POI EN TRAVAUX</t>
  </si>
  <si>
    <t>IMI-VA-64024/04RO-2</t>
  </si>
  <si>
    <t>3 RUE DE GRAVILLE</t>
  </si>
  <si>
    <t>IMI-VA-64125/02AH-1</t>
  </si>
  <si>
    <t>BIDART</t>
  </si>
  <si>
    <t>chemin cartacan</t>
  </si>
  <si>
    <t>IMI-VA-40139/006Y-1</t>
  </si>
  <si>
    <t>2711 ROUTE DE PUJO</t>
  </si>
  <si>
    <t>IMI-VA-64024/06OS-1</t>
  </si>
  <si>
    <t xml:space="preserve">108 PROMENADE DE LA BARRE </t>
  </si>
  <si>
    <t>IMI-VA-64102/01VV-1</t>
  </si>
  <si>
    <t>BAYONNE</t>
  </si>
  <si>
    <t>4 AVENUE MARTHE JEAN</t>
  </si>
  <si>
    <t>IMI-VA-64024/02Y4-1</t>
  </si>
  <si>
    <t xml:space="preserve">96 BOULEVARD DES PLAGES </t>
  </si>
  <si>
    <t>IMI-VA-40202/01WO-1</t>
  </si>
  <si>
    <t>NARROSSE</t>
  </si>
  <si>
    <t>944 ROUTE DE SORT</t>
  </si>
  <si>
    <t>IMI-VA-40123/01L0-1</t>
  </si>
  <si>
    <t>HERM</t>
  </si>
  <si>
    <t>1110  ROUTE DE CLUQUELARDIT</t>
  </si>
  <si>
    <t>NA</t>
  </si>
  <si>
    <t>IMI-VA-40125/00GJ-1</t>
  </si>
  <si>
    <t>HEUGAS</t>
  </si>
  <si>
    <t>2211 ROUTE DU BRAOU</t>
  </si>
  <si>
    <t>IMI-VA-40314/01QH-1</t>
  </si>
  <si>
    <t>TERCIS LES BAINS</t>
  </si>
  <si>
    <t>122 CHEMIN DU TASTET</t>
  </si>
  <si>
    <t>IMI-VA-40003/013O-1</t>
  </si>
  <si>
    <t>ANGOUME</t>
  </si>
  <si>
    <t>ROUTE DE MEES</t>
  </si>
  <si>
    <t>IMI-VA-40279/15MF-1</t>
  </si>
  <si>
    <t>5396 AVENUE DES LACS</t>
  </si>
  <si>
    <t>IMI-VA-64102/044Q-1</t>
  </si>
  <si>
    <t>38 RUE MAUBEC </t>
  </si>
  <si>
    <t>IMI-VA-40280/00C8-2</t>
  </si>
  <si>
    <t>ST PERDON</t>
  </si>
  <si>
    <t>1700 ROUTE DE TOINE</t>
  </si>
  <si>
    <t>IMI-VA-40192/053X-2</t>
  </si>
  <si>
    <t>93 AVENUE DU MARECHAL FOCH</t>
  </si>
  <si>
    <t>OK</t>
  </si>
  <si>
    <t>08 AT DEVIS ORANGE/RIP</t>
  </si>
  <si>
    <t>IMI-VA-40114/017V-1</t>
  </si>
  <si>
    <t>2330 route de Herm</t>
  </si>
  <si>
    <t>IMI-VA-40114/018I-2</t>
  </si>
  <si>
    <t>3370 ROUTE DE CASTETS</t>
  </si>
  <si>
    <t>IMI-VA-40280/00HH-1</t>
  </si>
  <si>
    <t>1630 ROUTE DE JARDINOT</t>
  </si>
  <si>
    <t>IMI-VE-40123/01PN-1</t>
  </si>
  <si>
    <t xml:space="preserve">1403 Route de tachette </t>
  </si>
  <si>
    <t>IMI-VA-40125/01VF-1</t>
  </si>
  <si>
    <t>2000 ROUTE DES BARTHES</t>
  </si>
  <si>
    <t>07 AT INFO CAF REF</t>
  </si>
  <si>
    <t>IMI-VA-40123/01PE-1</t>
  </si>
  <si>
    <t>111 CHEMIN DE LAGRANGE</t>
  </si>
  <si>
    <t>IMI-VA-40234/007H-1</t>
  </si>
  <si>
    <t>78 ROUTE DE CORBLUE</t>
  </si>
  <si>
    <t>PB factu travaux réessayer</t>
  </si>
  <si>
    <t>IMI-VA-64102/04XL-1</t>
  </si>
  <si>
    <t>7 rue du 49ème régiment d'infanterie</t>
  </si>
  <si>
    <t>IMI-VA-40283/11Q1-1</t>
  </si>
  <si>
    <t>Saint vincent de paul</t>
  </si>
  <si>
    <t>160 route de Gorges</t>
  </si>
  <si>
    <t xml:space="preserve">Att retour Yannick </t>
  </si>
  <si>
    <t>IMI-VA-40123/01KZ-1</t>
  </si>
  <si>
    <t>1116 route de cluquelardit</t>
  </si>
  <si>
    <t>Att valid Orange trv</t>
  </si>
  <si>
    <t>IMI-VA-64024/035M-3</t>
  </si>
  <si>
    <t>3 impasse des glycines</t>
  </si>
  <si>
    <t>2957114 / 3117706</t>
  </si>
  <si>
    <t>IMI-VA-40114/018K-2</t>
  </si>
  <si>
    <t>3691 ROUTE DE CASTETS</t>
  </si>
  <si>
    <t>2963583  / 3057191</t>
  </si>
  <si>
    <t>Att valid Orange devis</t>
  </si>
  <si>
    <t>IMI-VA-40088/17PG-2</t>
  </si>
  <si>
    <t>DAX</t>
  </si>
  <si>
    <t>76 ROUTE DE SAUBAGNACQ</t>
  </si>
  <si>
    <t>IMI-VA-40062/0053-1</t>
  </si>
  <si>
    <t>CAMPET ET LAMOLERE</t>
  </si>
  <si>
    <t>565 ROUTE DE LA TUILERIE</t>
  </si>
  <si>
    <t xml:space="preserve">Att valid Orange FAC </t>
  </si>
  <si>
    <t>IMI-VA-64260/01SW-1</t>
  </si>
  <si>
    <t>HENDAYE</t>
  </si>
  <si>
    <t>Rue PARCHETEGUIA</t>
  </si>
  <si>
    <t>3057219 / 3117673</t>
  </si>
  <si>
    <t>IMI-VA-40061/005T-2</t>
  </si>
  <si>
    <t>630 ROUTE DE JEANBEYLET</t>
  </si>
  <si>
    <t>IMI-VA-40062/0051-1</t>
  </si>
  <si>
    <t>650 Route de la tuilerie</t>
  </si>
  <si>
    <t>IMI-VA-64122/048T-1</t>
  </si>
  <si>
    <t>119 AVENUE DE VERDUN</t>
  </si>
  <si>
    <t>IMI-VA-40279/15NT-1</t>
  </si>
  <si>
    <t>1515 ALL D'ARDY</t>
  </si>
  <si>
    <t>IMI-VA-40123/01O5-1</t>
  </si>
  <si>
    <t>1958 route du marquis</t>
  </si>
  <si>
    <t>06 AT MAJ SI</t>
  </si>
  <si>
    <t>IMI-VA-40234/00CO-1</t>
  </si>
  <si>
    <t xml:space="preserve">124 CHEMIN DES FRERES BORDE </t>
  </si>
  <si>
    <t>demande Banbou 3175513</t>
  </si>
  <si>
    <t>05.1 AT DTA</t>
  </si>
  <si>
    <t>IMI-VA-64125/00OI-1</t>
  </si>
  <si>
    <t>1 AVENUE DES RUSSES</t>
  </si>
  <si>
    <t>IMI-VA-64260/019I-1</t>
  </si>
  <si>
    <t>Rue henri Barbusse</t>
  </si>
  <si>
    <t>3057213 / 3117675</t>
  </si>
  <si>
    <t>IMI-VA-40320/006M-1</t>
  </si>
  <si>
    <t>UCHACQ ET PARENTIS</t>
  </si>
  <si>
    <t xml:space="preserve"> ROUTE DE LOUBIT</t>
  </si>
  <si>
    <t>3046399 / 3117711</t>
  </si>
  <si>
    <t>IMI-VA-64024/02RM-1</t>
  </si>
  <si>
    <t>ALLEE DE BORDENAVE</t>
  </si>
  <si>
    <t>IMI-VA-64122/03DM-1</t>
  </si>
  <si>
    <t>DOMAINE DE MIGRON</t>
  </si>
  <si>
    <t>IMI-VA-40050/0017-1</t>
  </si>
  <si>
    <t>BOSTENS</t>
  </si>
  <si>
    <t>ROUTE DE GAILLERES</t>
  </si>
  <si>
    <t>IMI-VA-64125/00AP-1</t>
  </si>
  <si>
    <t>7 RUE ERRETEGIA</t>
  </si>
  <si>
    <t>IMI-VA-40192/0860-1</t>
  </si>
  <si>
    <t>2 RUE MADRAY</t>
  </si>
  <si>
    <t>IMI-VA-40274/00KE-1</t>
  </si>
  <si>
    <t>ST MARTIN D ONEY</t>
  </si>
  <si>
    <t>329 RUE DE BAREYAT</t>
  </si>
  <si>
    <t>05 AT PV</t>
  </si>
  <si>
    <t>IMI-VA-64483/02AV-1</t>
  </si>
  <si>
    <t>ST JEAN DE LUZ</t>
  </si>
  <si>
    <t>31 RUE SAINT JACQUES</t>
  </si>
  <si>
    <t>PV refaite le 16/01</t>
  </si>
  <si>
    <t>IMI-VA-40202/025J-1</t>
  </si>
  <si>
    <t>11 B RUE DE LAVOISIER</t>
  </si>
  <si>
    <t>IMI-VA-40320/004A-1</t>
  </si>
  <si>
    <t>812 ROUTE DE LA BASE</t>
  </si>
  <si>
    <t xml:space="preserve">Pres demande </t>
  </si>
  <si>
    <t>IMI-VA-40139/0072-1</t>
  </si>
  <si>
    <t>2405 ROUTE DE PUJO</t>
  </si>
  <si>
    <t>IMI-VA-40234/00E9-1</t>
  </si>
  <si>
    <t>383 ROUTE DE CORBLEU</t>
  </si>
  <si>
    <t>IMI-VA-40123/01P6-1</t>
  </si>
  <si>
    <t>AVENUE HOSSELEYRE</t>
  </si>
  <si>
    <t>IMI-VA-40279/15PU-1</t>
  </si>
  <si>
    <t>ST PAUL LES DAX</t>
  </si>
  <si>
    <t>1378 ROUTE DE HERM</t>
  </si>
  <si>
    <t>IMI-VA-64483/00GZ-1</t>
  </si>
  <si>
    <t>3 ALLEE BEHEREKO BORDA</t>
  </si>
  <si>
    <t>IMI-VA-64483/02I9-1</t>
  </si>
  <si>
    <t>78 BLVRD THIERS</t>
  </si>
  <si>
    <t>IMI-VA-40088/06KT-1</t>
  </si>
  <si>
    <t>53 RUE D ASPREMONT</t>
  </si>
  <si>
    <t>IMI-VA-64024/03RO-1</t>
  </si>
  <si>
    <t>16 RUE D AUGERON</t>
  </si>
  <si>
    <t>IMI-VA-64024/07IQ-1</t>
  </si>
  <si>
    <t>IMPASSE DE MONTBRUN</t>
  </si>
  <si>
    <t>IMI-VA-40279/055B-1</t>
  </si>
  <si>
    <t>3 RUE DU BEARN</t>
  </si>
  <si>
    <t>IMI-VA-40114/017F-1</t>
  </si>
  <si>
    <t>Chemin de pountinbeou</t>
  </si>
  <si>
    <t>IMI-VA-40320/004W-1</t>
  </si>
  <si>
    <t>RTE DE LA BASE</t>
  </si>
  <si>
    <t>IMI-VA-40280/00CS-1</t>
  </si>
  <si>
    <t>3100 ROUTE DE SAINT ORENS </t>
  </si>
  <si>
    <t>01 VT A FAIRE</t>
  </si>
  <si>
    <t>IMI-VA-40279/15OX-1</t>
  </si>
  <si>
    <t>1824 route des barthes</t>
  </si>
  <si>
    <t>IMI-VA-64125/00ZE-2</t>
  </si>
  <si>
    <t>RUE HARGUIN ETCHEBERRY</t>
  </si>
  <si>
    <t>IMI-VA-64260/01UQ-1</t>
  </si>
  <si>
    <t>3 RUE DU PONT </t>
  </si>
  <si>
    <t>IMI-VA-64024/06GU-1</t>
  </si>
  <si>
    <t>49 RUE DE L UNION</t>
  </si>
  <si>
    <t>DEPT</t>
  </si>
  <si>
    <t>OEIE</t>
  </si>
  <si>
    <t xml:space="preserve">Date creation </t>
  </si>
  <si>
    <t>Date MAX pour CRVT 1 (9I)</t>
  </si>
  <si>
    <t>Date MAX pour CRVT 1 + OINE + APD (72)</t>
  </si>
  <si>
    <t xml:space="preserve">Date fin de travaux client </t>
  </si>
  <si>
    <t>CRVT3 Fin de travaux  (9I et 72)</t>
  </si>
  <si>
    <t xml:space="preserve">Commentaire </t>
  </si>
  <si>
    <t>COMAC/CAPFT</t>
  </si>
  <si>
    <t>NOMBRE D'APPUIS</t>
  </si>
  <si>
    <t>DATE CREATION</t>
  </si>
  <si>
    <t>DATE R ETUDE</t>
  </si>
  <si>
    <t xml:space="preserve">COMAC </t>
  </si>
  <si>
    <t>MDM400362</t>
  </si>
  <si>
    <t>05 Dossier terminer</t>
  </si>
  <si>
    <t>NIM500036</t>
  </si>
  <si>
    <t>CAPFT</t>
  </si>
  <si>
    <t>ROD400677</t>
  </si>
  <si>
    <t>ROD500059</t>
  </si>
  <si>
    <t>Cassagnes-Bégonhes</t>
  </si>
  <si>
    <t>15 RUE DE CABRIERES</t>
  </si>
  <si>
    <t>ROD500352</t>
  </si>
  <si>
    <t>ROD500354</t>
  </si>
  <si>
    <t>ROD401146</t>
  </si>
  <si>
    <t>NIM401251</t>
  </si>
  <si>
    <t>MEN500305</t>
  </si>
  <si>
    <t xml:space="preserve"> BEZ400612</t>
  </si>
  <si>
    <t>DFE-DEP-SN-56158-0235-1</t>
  </si>
  <si>
    <t>DEP-AN-56101-03HN-1</t>
  </si>
  <si>
    <t>DEP-AN-5615800NZ-1</t>
  </si>
  <si>
    <t>04 Dossier à reprendre</t>
  </si>
  <si>
    <t>MPL301383</t>
  </si>
  <si>
    <t>COURNONTERRAL</t>
  </si>
  <si>
    <t>10 RUE BASTIDE DE L OULIEU</t>
  </si>
  <si>
    <t>ROD501511</t>
  </si>
  <si>
    <t>LIEU DIT SOLEILLAGES</t>
  </si>
  <si>
    <t>4 LOT LES HAUTS DE CHEYROUSES</t>
  </si>
  <si>
    <t>90 RUE DE LA CROIX VIEILLE</t>
  </si>
  <si>
    <t>NIM500910</t>
  </si>
  <si>
    <t>ST GILLES</t>
  </si>
  <si>
    <t>8 AVENUE PAUL RAMADIER</t>
  </si>
  <si>
    <t>83 ROUTE DE BEAUCAIRE,</t>
  </si>
  <si>
    <t>MPL501398</t>
  </si>
  <si>
    <t>1 RUE DU 8 MAI 1945</t>
  </si>
  <si>
    <t>ALE500147</t>
  </si>
  <si>
    <t>2 LOTISSEMENT LES CLOS</t>
  </si>
  <si>
    <t>MPL401457</t>
  </si>
  <si>
    <t>01 Dossier à monter</t>
  </si>
  <si>
    <t>MDM-DAX</t>
  </si>
  <si>
    <t xml:space="preserve">SPI BRETAGNE </t>
  </si>
  <si>
    <t>BAY</t>
  </si>
  <si>
    <t xml:space="preserve">PAU  </t>
  </si>
  <si>
    <t>ROD</t>
  </si>
  <si>
    <t>MEN</t>
  </si>
  <si>
    <t>Étiquettes de lignes</t>
  </si>
  <si>
    <t>Somme de DRE KO</t>
  </si>
  <si>
    <t>Somme de NB DE DOSSIERS</t>
  </si>
  <si>
    <t>(Tous)</t>
  </si>
  <si>
    <t>MOIS</t>
  </si>
  <si>
    <t>ANNEE</t>
  </si>
  <si>
    <t>mois</t>
  </si>
  <si>
    <t>annee</t>
  </si>
  <si>
    <t>(vide)</t>
  </si>
  <si>
    <t>Total général</t>
  </si>
  <si>
    <t>Nombre de POI</t>
  </si>
  <si>
    <t>Nombre de COG</t>
  </si>
  <si>
    <t>AMOU</t>
  </si>
  <si>
    <t>AUDIERNE</t>
  </si>
  <si>
    <t>CAUDAN</t>
  </si>
  <si>
    <t>ARAMITS</t>
  </si>
  <si>
    <t xml:space="preserve"> AURIAC-LAGAST</t>
  </si>
  <si>
    <t xml:space="preserve"> ARZENC DE RANDON</t>
  </si>
  <si>
    <t>ARGELOS</t>
  </si>
  <si>
    <t>BENODET</t>
  </si>
  <si>
    <t xml:space="preserve">ARTIGUELOUVE  </t>
  </si>
  <si>
    <t xml:space="preserve"> BALAGUIER SUR RANCE</t>
  </si>
  <si>
    <t xml:space="preserve"> GRABELS</t>
  </si>
  <si>
    <t>ERGUE GABERIC</t>
  </si>
  <si>
    <t>LA BORIE DE POUJADE</t>
  </si>
  <si>
    <t xml:space="preserve"> NIMES</t>
  </si>
  <si>
    <t xml:space="preserve">COARRAZE </t>
  </si>
  <si>
    <t xml:space="preserve"> BROMMAT</t>
  </si>
  <si>
    <t>PLONEOUR LANVERN</t>
  </si>
  <si>
    <t>LANESTER</t>
  </si>
  <si>
    <t>BOUCAU</t>
  </si>
  <si>
    <t xml:space="preserve">DOAZON  </t>
  </si>
  <si>
    <t xml:space="preserve"> ESPALION</t>
  </si>
  <si>
    <t>BENESSE MAREMNE</t>
  </si>
  <si>
    <t>LOCMIQUELIC</t>
  </si>
  <si>
    <t>GAN</t>
  </si>
  <si>
    <t>BENQUET</t>
  </si>
  <si>
    <t>LAHONCE</t>
  </si>
  <si>
    <t xml:space="preserve"> 570 AV MARSAN</t>
  </si>
  <si>
    <t>PLESCOP</t>
  </si>
  <si>
    <t xml:space="preserve"> MILLAU</t>
  </si>
  <si>
    <t>1076 RTE DE HAUT MAUCO</t>
  </si>
  <si>
    <t>62 AVENUE DU MARSAN</t>
  </si>
  <si>
    <t>LE CROISTY</t>
  </si>
  <si>
    <t>PORT LOUIS</t>
  </si>
  <si>
    <t>BISCARROSSE</t>
  </si>
  <si>
    <t>MESLAN</t>
  </si>
  <si>
    <t>QUEVEN</t>
  </si>
  <si>
    <t xml:space="preserve">LABATUT  </t>
  </si>
  <si>
    <t>BOUGUE</t>
  </si>
  <si>
    <t>SAINT CARADEC TREGOMEL</t>
  </si>
  <si>
    <t>QUIMPER</t>
  </si>
  <si>
    <t xml:space="preserve">LALONGUE  </t>
  </si>
  <si>
    <t>RENNES</t>
  </si>
  <si>
    <t>QUIBERON</t>
  </si>
  <si>
    <t>ALLEE DE LA GARAYE</t>
  </si>
  <si>
    <t>LOUVIE JUZON</t>
  </si>
  <si>
    <t>ALLEE JEAN DE LA VARENDE</t>
  </si>
  <si>
    <t>ALRANCE</t>
  </si>
  <si>
    <t>BERRIC</t>
  </si>
  <si>
    <t>AVENUE ANDRE MALRAUX</t>
  </si>
  <si>
    <t xml:space="preserve">MIOSSENS </t>
  </si>
  <si>
    <t>BEZIERS</t>
  </si>
  <si>
    <t>MONTAUBAN DE BRETAGNE</t>
  </si>
  <si>
    <t>AVENUE AUGUSTE BRIZEUX</t>
  </si>
  <si>
    <t xml:space="preserve">GAILLERES  </t>
  </si>
  <si>
    <t>AVENUE DES PAYS BAS</t>
  </si>
  <si>
    <t>AUBIN</t>
  </si>
  <si>
    <t>GOURIN</t>
  </si>
  <si>
    <t>AVENUE GROS MALHON</t>
  </si>
  <si>
    <t xml:space="preserve">OGEU LES BAINS  </t>
  </si>
  <si>
    <t>5 PL JEAN JAURES à AUBIN</t>
  </si>
  <si>
    <t>GOUESNACH</t>
  </si>
  <si>
    <t>AVENUE JEAN JANVIER</t>
  </si>
  <si>
    <t xml:space="preserve">ORTHEZ  </t>
  </si>
  <si>
    <t>AURIAC-LAGAST</t>
  </si>
  <si>
    <t xml:space="preserve">GOOS  </t>
  </si>
  <si>
    <t>HENT REUNIOU</t>
  </si>
  <si>
    <t>AVENUE JORGE SEMPRUN</t>
  </si>
  <si>
    <t>AUZITS</t>
  </si>
  <si>
    <t>CASTELNAU LE LEZ</t>
  </si>
  <si>
    <t>THORIGNE FOUILLARD</t>
  </si>
  <si>
    <t>BOULEVARD ALBERT 1ER</t>
  </si>
  <si>
    <t>BASSE
 CURVALLE</t>
  </si>
  <si>
    <t>CAUSSES</t>
  </si>
  <si>
    <t>HABAS</t>
  </si>
  <si>
    <t>BOULEVARD ALEXIS CARREL</t>
  </si>
  <si>
    <t>BOULEVARD DE BULGARIE</t>
  </si>
  <si>
    <t>CHANAC</t>
  </si>
  <si>
    <t xml:space="preserve">HORSARRIEU </t>
  </si>
  <si>
    <t>BD LA TOUR D AUVERGNE</t>
  </si>
  <si>
    <t>BOULEVARD DE CHEZY</t>
  </si>
  <si>
    <t>REDON</t>
  </si>
  <si>
    <t>BOULEVARD DE LA GUERINAIS</t>
  </si>
  <si>
    <t>BRANDONNET</t>
  </si>
  <si>
    <t>CHAULHAC</t>
  </si>
  <si>
    <t>BOULEVARD DE LA TOUR D AUVERGNE</t>
  </si>
  <si>
    <t>BOULEVARD DE SEVIGNE</t>
  </si>
  <si>
    <t>MAYLIS</t>
  </si>
  <si>
    <t>BOULEVARD JEANNE D ARC</t>
  </si>
  <si>
    <t>MAZEROLLES</t>
  </si>
  <si>
    <t>VITRE</t>
  </si>
  <si>
    <t>BOULEVARD SAINT JEAN BAPTISTE DE LA SAL</t>
  </si>
  <si>
    <t>GENERAC</t>
  </si>
  <si>
    <t>R DU COLLEGE</t>
  </si>
  <si>
    <t>LE PLESSIX LOUVEL</t>
  </si>
  <si>
    <t>689 ROUTE DE CATUSSE</t>
  </si>
  <si>
    <t>GORGES DU TARN CAUSSES</t>
  </si>
  <si>
    <t>SAINT JEAN BREVELAY</t>
  </si>
  <si>
    <t>MAIL FELIX LECLERC</t>
  </si>
  <si>
    <t>MIMIZAN</t>
  </si>
  <si>
    <t>RUE DE RENNES</t>
  </si>
  <si>
    <t>MAIL FRANCOIS MITTERRAND</t>
  </si>
  <si>
    <t xml:space="preserve">MIRAMONT SENSACQ  </t>
  </si>
  <si>
    <t>PLACE DE PRAGUE</t>
  </si>
  <si>
    <t>MONGET</t>
  </si>
  <si>
    <t>1 IMP DU KOH CAPIN</t>
  </si>
  <si>
    <t>PLACE DE SERBIE</t>
  </si>
  <si>
    <t>GUIDEL</t>
  </si>
  <si>
    <t>PLACE DU MONTENEGRO</t>
  </si>
  <si>
    <t>CAMPAGNAC</t>
  </si>
  <si>
    <t>GREZES</t>
  </si>
  <si>
    <t xml:space="preserve">PERQUIE  </t>
  </si>
  <si>
    <t>26 RUE EDOUARD CADIC</t>
  </si>
  <si>
    <t>PLACE DU PARLEMENT DE BRETAGNE</t>
  </si>
  <si>
    <t>PISSOS</t>
  </si>
  <si>
    <t xml:space="preserve"> AVESSAC</t>
  </si>
  <si>
    <t>PLACE EUGENE AULNETTE</t>
  </si>
  <si>
    <t>PLACE JULES VALLES</t>
  </si>
  <si>
    <t>CASSUEJOULS</t>
  </si>
  <si>
    <t>JUVIGNAC</t>
  </si>
  <si>
    <t>BRECH</t>
  </si>
  <si>
    <t>PLACE MARECHAL JUIN</t>
  </si>
  <si>
    <t>QUAI DE LA PREVALAYE</t>
  </si>
  <si>
    <t xml:space="preserve">LA CANOURGUE </t>
  </si>
  <si>
    <t>TREAL</t>
  </si>
  <si>
    <t>RUE AIMEE ANTIGNAC</t>
  </si>
  <si>
    <t>CLAIRVAUX D AVEYRON</t>
  </si>
  <si>
    <t>LA MARCHE</t>
  </si>
  <si>
    <t>RUE ALPHONSE GUERIN</t>
  </si>
  <si>
    <t>9 RTE DU VALLON</t>
  </si>
  <si>
    <t>LA MALENE</t>
  </si>
  <si>
    <t>SAINT GRAVE</t>
  </si>
  <si>
    <t>RUE ARTHUR FONTAINE</t>
  </si>
  <si>
    <t>LA PANOUSE</t>
  </si>
  <si>
    <t>ZA LANVAUX</t>
  </si>
  <si>
    <t>RUE CAPITAINE ALFRED DREYFUS</t>
  </si>
  <si>
    <t>SAINT PIERRE DU MONT</t>
  </si>
  <si>
    <t>PLOUAY</t>
  </si>
  <si>
    <t>RUE CARDINAL PAUL GOUYON</t>
  </si>
  <si>
    <t>SAINT SEVER</t>
  </si>
  <si>
    <t xml:space="preserve">KERPRAT </t>
  </si>
  <si>
    <t>RUE D ANTRAIN</t>
  </si>
  <si>
    <t>RUE DE BREST</t>
  </si>
  <si>
    <t>LAUBERT</t>
  </si>
  <si>
    <t>1 R EDOUARD HERRIOT</t>
  </si>
  <si>
    <t>RUE DE DINAN</t>
  </si>
  <si>
    <t>CRANSAC</t>
  </si>
  <si>
    <t>LE MALZIEU VILLE</t>
  </si>
  <si>
    <t>CALAN</t>
  </si>
  <si>
    <t>RUE DE LA CRECHE</t>
  </si>
  <si>
    <t>CRESPIN</t>
  </si>
  <si>
    <t>SEYRESSE</t>
  </si>
  <si>
    <t>2 PLACE DE L EGLISE</t>
  </si>
  <si>
    <t>RUE DE LA MONNAIE</t>
  </si>
  <si>
    <t>SIEST</t>
  </si>
  <si>
    <t>LARMOR PLAGE</t>
  </si>
  <si>
    <t>RUE DE LA ROSAIS</t>
  </si>
  <si>
    <t>DURENQUE</t>
  </si>
  <si>
    <t>RUE DE LA SANTE</t>
  </si>
  <si>
    <t>RUE DE LA TERRE ADELIE</t>
  </si>
  <si>
    <t>RUE DE LEON</t>
  </si>
  <si>
    <t>ST PIERRE DU MONT</t>
  </si>
  <si>
    <t>RUE DE LORGERIL</t>
  </si>
  <si>
    <t>FONDAMENTE</t>
  </si>
  <si>
    <t>ST VINCENT DE PAUL</t>
  </si>
  <si>
    <t>BRANDERION</t>
  </si>
  <si>
    <t>RUE DE NORMANDIE</t>
  </si>
  <si>
    <t>TOULOUZETTE</t>
  </si>
  <si>
    <t>RUE DE PARIS</t>
  </si>
  <si>
    <t>LA CAPELLE BLEYS</t>
  </si>
  <si>
    <t>VERT</t>
  </si>
  <si>
    <t>RUE DES TRENTE</t>
  </si>
  <si>
    <t>RUE GEORGE SAND</t>
  </si>
  <si>
    <t>RUE DOYEN DENIS LEROY</t>
  </si>
  <si>
    <t>LA COUVERTOIRADE</t>
  </si>
  <si>
    <t>POULLAN SUR MER</t>
  </si>
  <si>
    <t>RUE DU NIVERNAIS</t>
  </si>
  <si>
    <t>LA LOUVIERES</t>
  </si>
  <si>
    <t>RIVIERE SAAS DES GOURBY</t>
  </si>
  <si>
    <t>RUE DU PETIT BOIS</t>
  </si>
  <si>
    <t>SAUGNAC ET CAMBRAN</t>
  </si>
  <si>
    <t>RUE EDOUARD JORDAN</t>
  </si>
  <si>
    <t>PIGNAN</t>
  </si>
  <si>
    <t>GELOUX</t>
  </si>
  <si>
    <t>RUE ETIENNE PINAULT</t>
  </si>
  <si>
    <t>TARTAS</t>
  </si>
  <si>
    <t>RUE FRANCOIS BROUSSAIS</t>
  </si>
  <si>
    <t>LASSOUTS</t>
  </si>
  <si>
    <t>GUISCRIFF</t>
  </si>
  <si>
    <t>RUE FRANCOIS LANNO</t>
  </si>
  <si>
    <t>RUE GARENGEOT</t>
  </si>
  <si>
    <t>MALGUENAC</t>
  </si>
  <si>
    <t>RUE GUY ROPARTZ</t>
  </si>
  <si>
    <t>RUE HOCHE</t>
  </si>
  <si>
    <t>LANGUIDIC</t>
  </si>
  <si>
    <t>RUE JEAN BRULELOU DIT BRITO</t>
  </si>
  <si>
    <t>LEDERGUES</t>
  </si>
  <si>
    <t>SAINT BONNET DE CHIRAC</t>
  </si>
  <si>
    <t>BOTLEVENANT</t>
  </si>
  <si>
    <t>RUE JOSEPH TURMEL</t>
  </si>
  <si>
    <t>PLEUVEN</t>
  </si>
  <si>
    <t>RUE LE GUEN DE KERANGAL</t>
  </si>
  <si>
    <t>RUE LEGRAVEREND</t>
  </si>
  <si>
    <t>LESCURE JAOUL</t>
  </si>
  <si>
    <t>SAINT GAL</t>
  </si>
  <si>
    <t>DOMALAIN</t>
  </si>
  <si>
    <t>RUE LOUIS POSTEL</t>
  </si>
  <si>
    <t>RUE NOTRE DAME DE LOURDES</t>
  </si>
  <si>
    <t>RUE PAPU</t>
  </si>
  <si>
    <t>RUE PAUL LOUIS COURIER</t>
  </si>
  <si>
    <t>LIVINHAC LE HAUT</t>
  </si>
  <si>
    <t>SAINT GILLES</t>
  </si>
  <si>
    <t>RUE PIERRE AMYS</t>
  </si>
  <si>
    <t>LOCMALO</t>
  </si>
  <si>
    <t>RUE POULLAIN DUPARC</t>
  </si>
  <si>
    <t>RUE RENE YVES CRESTON</t>
  </si>
  <si>
    <t>LE CROUAIS</t>
  </si>
  <si>
    <t>RUE SAINT HELIER</t>
  </si>
  <si>
    <t>SAINT PIERRE DES TRIPIERS</t>
  </si>
  <si>
    <t>RUE SAINT MALO</t>
  </si>
  <si>
    <t>RUE XAVIER GRALL</t>
  </si>
  <si>
    <t>SQUARE DE GALICIE</t>
  </si>
  <si>
    <t>SAINT SAUVEUR DE GINESTOU</t>
  </si>
  <si>
    <t>SQUARE DU DOCTEUR GUERIN</t>
  </si>
  <si>
    <t>SQUARE DU ROI ARTHUR</t>
  </si>
  <si>
    <t>MONTOZIER</t>
  </si>
  <si>
    <t>SAINTE CROIX VALLEE FRANCAISE</t>
  </si>
  <si>
    <t>SQUARE YVES MONTAND</t>
  </si>
  <si>
    <t>SENE</t>
  </si>
  <si>
    <t>MONTROZIER</t>
  </si>
  <si>
    <t>ST AVE</t>
  </si>
  <si>
    <t>TREFFLEAN</t>
  </si>
  <si>
    <t xml:space="preserve">MURET LE CHATEAU </t>
  </si>
  <si>
    <t>NAJAC</t>
  </si>
  <si>
    <t>1 PL SAINT BARTHELEMY</t>
  </si>
  <si>
    <t>ONET LE CHATEAU</t>
  </si>
  <si>
    <t>5 R LORIOTS</t>
  </si>
  <si>
    <t xml:space="preserve">ONET LE CHATEAU </t>
  </si>
  <si>
    <t>ONQUES EN ROUERGUE</t>
  </si>
  <si>
    <t>L'Horte</t>
  </si>
  <si>
    <t>GALINIERES</t>
  </si>
  <si>
    <t>REQUISTA</t>
  </si>
  <si>
    <t xml:space="preserve">RULLAC SAINT CRIQ </t>
  </si>
  <si>
    <t xml:space="preserve">SAINT ETIENNE DE CARCENAC </t>
  </si>
  <si>
    <t>SAINT GEORGES DE LUZENCON</t>
  </si>
  <si>
    <t>SAINT HYPPOLYTE</t>
  </si>
  <si>
    <t>SAINT IZAINE</t>
  </si>
  <si>
    <t>SAINT JEAN ET SAINT PAUL</t>
  </si>
  <si>
    <t>SAINT SERNIN SUR RANCE</t>
  </si>
  <si>
    <t>SAINTE EULALIE D OLT</t>
  </si>
  <si>
    <t>7 RUE DU LOT</t>
  </si>
  <si>
    <t>SENERGUES</t>
  </si>
  <si>
    <t>SEVERAC D'AYVERONS</t>
  </si>
  <si>
    <t>SONNAC</t>
  </si>
  <si>
    <t>CRESTELOU</t>
  </si>
  <si>
    <t>VEZINS DE LEVEZOU</t>
  </si>
  <si>
    <t>02 En cours</t>
  </si>
  <si>
    <t>03 Att Infos</t>
  </si>
  <si>
    <t>05.2 ATT DT</t>
  </si>
  <si>
    <t>08 AT COMAC/CAPFT</t>
  </si>
  <si>
    <t>10 POI EN FACTU</t>
  </si>
  <si>
    <t>11 RECOL A FAIRE</t>
  </si>
  <si>
    <t>16 DOSSIER PAYE</t>
  </si>
  <si>
    <t>Act</t>
  </si>
  <si>
    <t>Département</t>
  </si>
  <si>
    <t>Ilot</t>
  </si>
  <si>
    <t>Centre</t>
  </si>
  <si>
    <t>Acteur</t>
  </si>
  <si>
    <t>Référence</t>
  </si>
  <si>
    <t>Commune</t>
  </si>
  <si>
    <t>besoin TP</t>
  </si>
  <si>
    <t>Date TP</t>
  </si>
  <si>
    <t>Etat/Plannif</t>
  </si>
  <si>
    <t>N° SWAN</t>
  </si>
  <si>
    <t>QRL</t>
  </si>
  <si>
    <t>PV5</t>
  </si>
  <si>
    <t>REQ</t>
  </si>
  <si>
    <t>FRAL TELECOM</t>
  </si>
  <si>
    <t>12.TR210021-REQUISTA</t>
  </si>
  <si>
    <t>OUI</t>
  </si>
  <si>
    <t>Préparé</t>
  </si>
  <si>
    <t>T508176152</t>
  </si>
  <si>
    <t>LAG</t>
  </si>
  <si>
    <t>CEOCE2502G80727=1</t>
  </si>
  <si>
    <t>T508195785</t>
  </si>
  <si>
    <t>RIG</t>
  </si>
  <si>
    <t>CEOCE2502L30879=1</t>
  </si>
  <si>
    <t>TR210007</t>
  </si>
  <si>
    <t>T508198605</t>
  </si>
  <si>
    <t>FOD</t>
  </si>
  <si>
    <t>12.TR190005-CORNUS</t>
  </si>
  <si>
    <t>T508196045</t>
  </si>
  <si>
    <t>BE7</t>
  </si>
  <si>
    <t>12.TR190096-BELMONT</t>
  </si>
  <si>
    <t>T508216813</t>
  </si>
  <si>
    <t>STA</t>
  </si>
  <si>
    <t>12.TR200015-STAMANS</t>
  </si>
  <si>
    <t>ST AMANS DES COTS</t>
  </si>
  <si>
    <t>T508227833</t>
  </si>
  <si>
    <t>CAV</t>
  </si>
  <si>
    <t>CEOCE2502G93108=1</t>
  </si>
  <si>
    <t>T508228091</t>
  </si>
  <si>
    <t>BAR</t>
  </si>
  <si>
    <t>CEOCE2503O13791=1</t>
  </si>
  <si>
    <t>T508228156</t>
  </si>
  <si>
    <t>MHH</t>
  </si>
  <si>
    <t>R503642203A</t>
  </si>
  <si>
    <t>T508228203</t>
  </si>
  <si>
    <t>12.TR180006-LECLAPIER</t>
  </si>
  <si>
    <t>T509084396</t>
  </si>
  <si>
    <t>GTE</t>
  </si>
  <si>
    <t>ACC0050YEG1</t>
  </si>
  <si>
    <t>T508179899</t>
  </si>
  <si>
    <t>CBO</t>
  </si>
  <si>
    <t>CEOCE2506T79802=1</t>
  </si>
  <si>
    <t>T509142602</t>
  </si>
  <si>
    <t>SCY</t>
  </si>
  <si>
    <t>CEOCE2506V25832=1</t>
  </si>
  <si>
    <t>T509085631</t>
  </si>
  <si>
    <t>R507687771A</t>
  </si>
  <si>
    <t>T509141071</t>
  </si>
  <si>
    <t>R503644785A</t>
  </si>
  <si>
    <t>T509097195</t>
  </si>
  <si>
    <t>DPS</t>
  </si>
  <si>
    <t>VEL</t>
  </si>
  <si>
    <t>CEOCE2507H53654=1</t>
  </si>
  <si>
    <t>T509156405</t>
  </si>
  <si>
    <t>CN4</t>
  </si>
  <si>
    <t>R502635967A</t>
  </si>
  <si>
    <t>T509086008</t>
  </si>
  <si>
    <t>CPI</t>
  </si>
  <si>
    <t>CEOCE2507I41327=1</t>
  </si>
  <si>
    <t>T509156474</t>
  </si>
  <si>
    <t>R507688532A</t>
  </si>
  <si>
    <t>T509143215</t>
  </si>
  <si>
    <t>ENT</t>
  </si>
  <si>
    <t>CEOCE2507F75413=1</t>
  </si>
  <si>
    <t>T509156539</t>
  </si>
  <si>
    <t>MPX</t>
  </si>
  <si>
    <t>R503646300A</t>
  </si>
  <si>
    <t>Peux-et-Couffouleux 12360</t>
  </si>
  <si>
    <t>REJETE</t>
  </si>
  <si>
    <t>T509086131</t>
  </si>
  <si>
    <t>ATT RETOUR</t>
  </si>
  <si>
    <t>AGU</t>
  </si>
  <si>
    <t>12.TR210048-RIVIERES</t>
  </si>
  <si>
    <t>T509090350</t>
  </si>
  <si>
    <t>LST</t>
  </si>
  <si>
    <t>12.TR190072-LASSOUTS</t>
  </si>
  <si>
    <t>T509090497</t>
  </si>
  <si>
    <t>MBZ</t>
  </si>
  <si>
    <t>CEOCE2507K89152=1</t>
  </si>
  <si>
    <t>MONTBAZENS</t>
  </si>
  <si>
    <t>T509195999</t>
  </si>
  <si>
    <t>RTM</t>
  </si>
  <si>
    <t>VIA01000000205321667</t>
  </si>
  <si>
    <t>T509226805</t>
  </si>
  <si>
    <t>PRO$194335$2398$OK2800m CABLE L1092 24FO MODULO 6 FTTHtype de modification: POSE 1 PEO AVEC CHANGEMENT DE CABLEIdentifiant tronçon: Tr 200041Du PB Pt 000432 x 24 soudures au PEO Poteau n159182 x 24souduresCommentaires : Remplacer 800m de 24 fo m6 du pt 000432 aupoteau 159204 au poteau 159182 le remplacement englobe 2casseCommande : ROD501214</t>
  </si>
  <si>
    <t>ABB</t>
  </si>
  <si>
    <t>R508700248A</t>
  </si>
  <si>
    <t>T509226915</t>
  </si>
  <si>
    <t>PRO$194110$1640$OK2 500m CABLE L1092 12FO MODULO 6 FTTHtype de modification: POSE 2 PEOIdentifiant tronçon: Tr 200221Du PEO Poteau n2125412 x 12 soudures au PEO Poteaun2125424 x 12 soudures</t>
  </si>
  <si>
    <t>SCU</t>
  </si>
  <si>
    <t>CEOCE2508O85725=1</t>
  </si>
  <si>
    <t>SALLE CURAN</t>
  </si>
  <si>
    <t>T509226970</t>
  </si>
  <si>
    <t>PRO$194485$2838$OK2 400m CABLE L1092 72FO MOD 12 FTTHtype de modification: POSE 2 PEOIdentifiant tronçon: Tr 18 0028Du PEO 21750 x 72 soudures au PEO 21736 x 72 soudures</t>
  </si>
  <si>
    <t>LRO</t>
  </si>
  <si>
    <t>R506678556A</t>
  </si>
  <si>
    <t>T509105640</t>
  </si>
  <si>
    <t>RUL</t>
  </si>
  <si>
    <t>VIA01000000215839749</t>
  </si>
  <si>
    <t>T509227058</t>
  </si>
  <si>
    <t>PRO$178237$1190$OK2 ý190m CABLE L1092 24FO MODULO 6 FTTHýtype de modification: POSE 2 PEOýIdentifiant tronçon: Tr 210144ýDu PEO Chambre 99987 x 24 soudures au PEO Poteau 2127896 xý24 souduresýCOMMANDE : ROD501027</t>
  </si>
  <si>
    <t>QUI</t>
  </si>
  <si>
    <t>R412603424A</t>
  </si>
  <si>
    <t>T509141025</t>
  </si>
  <si>
    <t>Câble introuvable</t>
  </si>
  <si>
    <t>DRU</t>
  </si>
  <si>
    <t>CEOCE2507H78827=1</t>
  </si>
  <si>
    <t>DRUELLE</t>
  </si>
  <si>
    <t>T509227106</t>
  </si>
  <si>
    <r>
      <rPr>
        <sz val="11"/>
        <color rgb="FF000000"/>
        <rFont val="Aptos Narrow"/>
        <scheme val="minor"/>
      </rPr>
      <t xml:space="preserve">PRO$191026$1912$OK2 300m CABLE L1092 36FO MOD 12 FTTHtype de modification: POSE 2 PEOIdentifiant tronon: TR 19 0007Du PEO 226271 x 36 soudures au PEO 226264 x 36 souduresCommentaires : 300m de 36FO L1092 M12 doit tre remplaceavec cration de 2 PEP, 1 sur le poteau 226271 et 1 sur lepoteau 226264. 2 poteau cass: 226269 et 226270 remplacs le 26/07/25 via </t>
    </r>
    <r>
      <rPr>
        <b/>
        <sz val="11"/>
        <color rgb="FF000000"/>
        <rFont val="Aptos Narrow"/>
        <scheme val="minor"/>
      </rPr>
      <t>GESTAR250717DRU498625</t>
    </r>
    <r>
      <rPr>
        <sz val="11"/>
        <color rgb="FF000000"/>
        <rFont val="Aptos Narrow"/>
        <scheme val="minor"/>
      </rPr>
      <t>1.Commande : ROD501217</t>
    </r>
  </si>
  <si>
    <t>VIA01000000189767359</t>
  </si>
  <si>
    <t>T509114327</t>
  </si>
  <si>
    <t>SVI</t>
  </si>
  <si>
    <t>CEOCE2508O31257</t>
  </si>
  <si>
    <t>T509227327</t>
  </si>
  <si>
    <t>CEOCE2508O31257** TR200008 350M 72FO L1092 M12Du PEO 9867 x 72 soudures au PEO 9856 x 72 souduresPRO$194557$2682$OK2</t>
  </si>
  <si>
    <t>FIR</t>
  </si>
  <si>
    <t>R503640957A</t>
  </si>
  <si>
    <t>T509227496</t>
  </si>
  <si>
    <t>NVORA*R503640957A* 200M 12FO L1092 M6 ýDu poteau 126740( création de boite ) au poteau 1033211(ýrécupération du pt 000603)ýplus remplacer poteau 2123499 VIA GESTAR250710FIR4978771ýCABLE DISPO A SALLES-LA-SOURCE EN SORTIE COMPTOIR. TR 20 0314</t>
  </si>
  <si>
    <t>SCH</t>
  </si>
  <si>
    <t>CEOCE2507L39259=1</t>
  </si>
  <si>
    <t>T509227582</t>
  </si>
  <si>
    <t>NVSOG**CEOCE2507L39259=1** TR190018 250M 36FO L1092 M12250m 36fom12 doit être remplacée avec creation de deux pep,1 sur le ptx 94556, 1 sur le ptx 94560.REO PRO validée avec modification d ingénierie. 250M de 36foDossier sur BO5PRO$192718$1795$OK2</t>
  </si>
  <si>
    <t>SLE</t>
  </si>
  <si>
    <t>CEOCE2501T10797=1</t>
  </si>
  <si>
    <t>T509227628</t>
  </si>
  <si>
    <t>NVORA**CEOCE2501T10797=1** 380m de L1092 24FO M6 du poteauý112466 a la chambre l2c code 00941/12270 + création 2 boitesý- 1 au poteau 112466 et l'autre dans la chambre l2c code n°ý00941/12270ýCommande de régul : ROD500828</t>
  </si>
  <si>
    <t>CEOCE2508O35486=1</t>
  </si>
  <si>
    <t>T509227664</t>
  </si>
  <si>
    <t>NVFT**CEOCE2508O35486=1** TR180006 700M 36FO L1092 M6Du PEO Pt 000017 x 36 soudures au PEO Poteau 196194 x 36soudures700 m dz 36fo m12 a remplacer du pt 000017 au poteau 196194Sur le terrain nous n avons pas trouver le pt 000017 alorsil faudra crée la boîte pt 000017 au poteau 196207PRO$194746$2690$OK2</t>
  </si>
  <si>
    <t>EST</t>
  </si>
  <si>
    <t>CEOCE2507F32934=1</t>
  </si>
  <si>
    <t>T509227739</t>
  </si>
  <si>
    <t>PRO$189709$2882$OK2 500m CABLE L1092 72FO MOD 12 FTTHtype de modification: POSE 1 PEO AVEC CHANGEMENT DE CABLEIdentifiant tronçon: Tr200010Du PEP Pt 000008 x 72 soudures au PEO Ptx 3120203 x 72soudures</t>
  </si>
  <si>
    <t>SAM</t>
  </si>
  <si>
    <t>CEOCE2503S05538=1</t>
  </si>
  <si>
    <t>T509114398</t>
  </si>
  <si>
    <t>VTJ</t>
  </si>
  <si>
    <t>R506677623A</t>
  </si>
  <si>
    <t>T510090046</t>
  </si>
  <si>
    <t>PRO$183742$1414$OK2  DEMANDE SOGETRELý300m CABLE L1092 24FO MODULO 6 FTTH)ýType de modification: POSE 2 PEOýIdentifiant tronçon: TR 20 0288ýDu PEO 0166390 x 24 soudures au PEO 0166382 x 24 souduresýCommentaires : TR200288 L1092 24F0 M6 Câble arrachéýsuite chute d'arbre voire PJ, le dommage se situeýau FT/0166389ýCOMMANDE: ROD501049</t>
  </si>
  <si>
    <t>SC3</t>
  </si>
  <si>
    <t>R504651747A</t>
  </si>
  <si>
    <t>T509114536</t>
  </si>
  <si>
    <t>STZ</t>
  </si>
  <si>
    <t>CEOCE2507I58714=1</t>
  </si>
  <si>
    <t>T510114387</t>
  </si>
  <si>
    <t>NVSOG**CEOCE2507I58714=1** TR190005 370M 36FO L1092 M12Du PEP Pt 000005 x 36 soudures au PEO 134596 x 36 souduresPRO$191005$1806$OK2Lié au GESTAR250721STZ4989394</t>
  </si>
  <si>
    <t>VLY</t>
  </si>
  <si>
    <t>CEOCE2507H71729=1</t>
  </si>
  <si>
    <t>VALADY</t>
  </si>
  <si>
    <t>T510145679</t>
  </si>
  <si>
    <t>PRO$191257$1704$OK2 550m CABLE L1092 24FO MODULO 6 FTTHtype de modification: PAS DE POSE PEOIdentifiant tronçon: TR 20 0097Du PA PT 000440 x 24 soudures au PB PT 000495 x 18 soudures</t>
  </si>
  <si>
    <t>BOZ</t>
  </si>
  <si>
    <t>CEOCE2506A68287=1</t>
  </si>
  <si>
    <t>T510145841</t>
  </si>
  <si>
    <t>CEOCE2506A68287=1** TR180005 450M 36FO L1092 M12Du PEP 000344 x 36 soudures au PEO Ptx 99566Reo pro validee avec modification d ingenierie, 450m de36FO. Dossier mis sur QR5.PRO$187015$1993$OK2Prestations MO : PCFO1 x 450, DCFO1 x 450, 4B430 x 1, RFA05x 72, FOP20 x 1, ISB03 x 2</t>
  </si>
  <si>
    <t>DEC</t>
  </si>
  <si>
    <t>CEOCE2507C34929=1</t>
  </si>
  <si>
    <t>DECAZEVILLE</t>
  </si>
  <si>
    <t>T510145903</t>
  </si>
  <si>
    <t>CEOCE2507C34929=1** TR180053 900M 36FO L1092 M6Du PA PT 000107 au PA PT 000117Reo PRO validée avec reconstruction à l identique. 900M de36fo.PRO$188191$2920$OK1Prestations MO : PCFO1 x 900, DCFO1 x 900, 4B430 x 2, RFA05x 72, ISB03 x 3</t>
  </si>
  <si>
    <t>CEOCE2507E97621=1</t>
  </si>
  <si>
    <t>T510145981</t>
  </si>
  <si>
    <t>CEOCE2507E97621=1** TR180093 700M 12FO L1092 M6Du PEP Pt 000207-R1 au PEP Pt 000207-R1PRO$189715$1784$OK1Prestations MO : PCFO1 x 700, DCFO1 x 700, 4B430 x 2, RFA05x 24, ISB03 x 2</t>
  </si>
  <si>
    <t>BLE</t>
  </si>
  <si>
    <t>CEOCE2507E53162=1</t>
  </si>
  <si>
    <t>T509114593</t>
  </si>
  <si>
    <t>R200025 350M 36FO L1092 M12type de modification: POSE 1 PEO AVEC CHANGEMENT DE CABLEIdentifiant tronçon: Tr 20 0025Du PEP Pt 000276 x 36 soudures au PEO 57229 x 36 souduresPRO$196078$1759$OK2</t>
  </si>
  <si>
    <t>SEN</t>
  </si>
  <si>
    <t>CEOCE2508S07994</t>
  </si>
  <si>
    <t>SENERGUE</t>
  </si>
  <si>
    <t>T510146041</t>
  </si>
  <si>
    <t>CEOCE2508S07994=1** TR210015 350M 72FO L1092 M6type de modification: POSE 2 PEOIdentifiant tronçon: 12268/NGZ/TR 21 0015Du PEO Pot 38246 x 72 soudures au PEO Pot 5714725 x 72souduresPRO$196474$2630$OK2CABLE EN STOCKPrestations MO : PCFO1 x 350, DCFO1 x 350, RFA05 x 144,FOP20 x 2, ISB03 x 1Prestations Matériel : ML Cable1 x 350, MatPEO_estimate_7680x 2</t>
  </si>
  <si>
    <t>QUE</t>
  </si>
  <si>
    <t>R507688837B</t>
  </si>
  <si>
    <t>T510146096</t>
  </si>
  <si>
    <t>R507688837B** TR190015 700M 12FO L1092 M6du pb pt 000079 ( poteau 151559) au pb pt 000078 (poteau151541)PRO$189178$1742$OK2Prestations MO : PCFO1 x 700, DCFO1 x 700, 4B429 x 2, RFA05x 24, ISB03 x 1</t>
  </si>
  <si>
    <t>FOU</t>
  </si>
  <si>
    <t>R507689597A</t>
  </si>
  <si>
    <t>T510173050</t>
  </si>
  <si>
    <t>PRO$189139$1196$OK1350m CABLE L1092 12FO MODULO 6 FTTHIdentifiant tronçon: TR 20 0149Du PA PT 000225 x 12 soudures au PB PT 000285 x 6 souduresPB en cascade x 2Fibres client raccordées x 12Fibres en dérivation x 6Prestations MO : PCFO1 x 350, DCFO1 x 350, 4B430 x 1, 4B429x 3, RFA05 x 30, ISB03 x 2</t>
  </si>
  <si>
    <t>SAF</t>
  </si>
  <si>
    <t>CEOCE2508U51547</t>
  </si>
  <si>
    <t>T510173268</t>
  </si>
  <si>
    <t>FLA</t>
  </si>
  <si>
    <t>R504653343A</t>
  </si>
  <si>
    <t>T509114643</t>
  </si>
  <si>
    <t>*R508707887A** TR190021 350M 24FO L1092 M6type de modification: POSE 2 PEOIdentifiant tronçon: Tr 19 0021Du PEO 196210 x 24 soudures au PEO 196201 x 24 souduresPRO$196828$1528$OK2CABLE EN STOCKPrestations MO : PCFO1 x 350, DCFO1 x 350, RFA05 x 48, FOP10x 2, ISB03 x 1Prestations Matériel : ML Cable1 x 350, MatPEO_estimate_1966x 2</t>
  </si>
  <si>
    <t>OTB</t>
  </si>
  <si>
    <t>R508708352A</t>
  </si>
  <si>
    <t>SAINT PARTHEM</t>
  </si>
  <si>
    <t>T510173477</t>
  </si>
  <si>
    <t>R508708352A** TR210046 700M 24FO L1092 M6type de modification: POSE 1 PEO AVEC CHANGEMENT DE CABLEIdentifiant tronçon: TR 21 0046Du PEO PT 355 x 24 soudures au PEO Poteau N72760 x 24souduresCommentaires : Tirage dans un chemin/champ 2 poteaux àremplacer Lié aux GESTAR250828OTB5029308 GESTAR2508288AA5029297PRO$197746$2234$OK2CABLE EN STOCKCommande de régul : ROD501291</t>
  </si>
  <si>
    <t>R503639617A</t>
  </si>
  <si>
    <t>LA FOUILLADE</t>
  </si>
  <si>
    <t>T510173602</t>
  </si>
  <si>
    <t>ZOB</t>
  </si>
  <si>
    <t>VIA01000000190873419</t>
  </si>
  <si>
    <t>GALGAN</t>
  </si>
  <si>
    <t>T510173707</t>
  </si>
  <si>
    <t>R503637236A</t>
  </si>
  <si>
    <t>T509114728</t>
  </si>
  <si>
    <t>MTI</t>
  </si>
  <si>
    <t>CEOCE2507H50386=1</t>
  </si>
  <si>
    <t>SAVIGNAC</t>
  </si>
  <si>
    <t>T510190909</t>
  </si>
  <si>
    <t>TSB</t>
  </si>
  <si>
    <t>R509712901A</t>
  </si>
  <si>
    <t>BELCASTEL</t>
  </si>
  <si>
    <t>T510191109</t>
  </si>
  <si>
    <t>SVP</t>
  </si>
  <si>
    <t>R509713640A</t>
  </si>
  <si>
    <t>LA CAPELLE-BLEYS</t>
  </si>
  <si>
    <t>T510218413</t>
  </si>
  <si>
    <t>CEOCE2505K79442=1</t>
  </si>
  <si>
    <t>T509114778</t>
  </si>
  <si>
    <t>T510218460</t>
  </si>
  <si>
    <t>ACCS508022458</t>
  </si>
  <si>
    <t>T510218483</t>
  </si>
  <si>
    <t>ACCS508022071</t>
  </si>
  <si>
    <t>SAINT GENIEZ D'OLT</t>
  </si>
  <si>
    <t>T510218531</t>
  </si>
  <si>
    <t>SZV</t>
  </si>
  <si>
    <t>R508709510A</t>
  </si>
  <si>
    <t>T510219785</t>
  </si>
  <si>
    <t>FNC</t>
  </si>
  <si>
    <t>R509711901A</t>
  </si>
  <si>
    <t>FLAGNAC</t>
  </si>
  <si>
    <t>T510219843</t>
  </si>
  <si>
    <t>R508705427A</t>
  </si>
  <si>
    <t>T510219813</t>
  </si>
  <si>
    <t>ACCS509040958</t>
  </si>
  <si>
    <t>T510219880</t>
  </si>
  <si>
    <t>CEOCE2509C36027=1</t>
  </si>
  <si>
    <t>T510219910</t>
  </si>
  <si>
    <t>VRO</t>
  </si>
  <si>
    <t>CEOCE2506Q76119=1</t>
  </si>
  <si>
    <t>T509114818</t>
  </si>
  <si>
    <t>CEOCE2505L92059=1</t>
  </si>
  <si>
    <t>T510219933</t>
  </si>
  <si>
    <t>7JM</t>
  </si>
  <si>
    <t>R509714683A</t>
  </si>
  <si>
    <t>GABRIAS</t>
  </si>
  <si>
    <t>T510219990</t>
  </si>
  <si>
    <t>CEOCE2508S29908=1</t>
  </si>
  <si>
    <t>T510220079</t>
  </si>
  <si>
    <t>CEOCE2508T24333</t>
  </si>
  <si>
    <t>T510220283</t>
  </si>
  <si>
    <t>LCL</t>
  </si>
  <si>
    <t>R508707887A</t>
  </si>
  <si>
    <t>LE CLAPIER</t>
  </si>
  <si>
    <t>T510220318</t>
  </si>
  <si>
    <t>RYX</t>
  </si>
  <si>
    <t>R508704454A</t>
  </si>
  <si>
    <t>T510220578</t>
  </si>
  <si>
    <t>8BE</t>
  </si>
  <si>
    <t>12.TR190339-GZD</t>
  </si>
  <si>
    <t>T510220369</t>
  </si>
  <si>
    <t>CEOCE2509F21865</t>
  </si>
  <si>
    <t>LAGUIOL</t>
  </si>
  <si>
    <t>T510220405</t>
  </si>
  <si>
    <t>LAI</t>
  </si>
  <si>
    <t>CEOCE2510L44195=1</t>
  </si>
  <si>
    <t>LAISSAC</t>
  </si>
  <si>
    <t>T510220498</t>
  </si>
  <si>
    <t>CEOCE2507K28399=1</t>
  </si>
  <si>
    <t>RIGNAC</t>
  </si>
  <si>
    <t>T510220519</t>
  </si>
  <si>
    <t>VVE</t>
  </si>
  <si>
    <t>CEOCE2510O75854=1</t>
  </si>
  <si>
    <t>VILENEUVE</t>
  </si>
  <si>
    <t>T510220619</t>
  </si>
  <si>
    <t>LCB</t>
  </si>
  <si>
    <t>CEOCE2510L79469=1</t>
  </si>
  <si>
    <t>LACROIX-BARREZ</t>
  </si>
  <si>
    <t>T510220642</t>
  </si>
  <si>
    <t>VIL</t>
  </si>
  <si>
    <t>VIA01000000221574224</t>
  </si>
  <si>
    <t>LE BAS SEGALA</t>
  </si>
  <si>
    <t>T510220683</t>
  </si>
  <si>
    <t>PSA</t>
  </si>
  <si>
    <t>CEOCE2510Q93235=1</t>
  </si>
  <si>
    <t>T511109402</t>
  </si>
  <si>
    <t xml:space="preserve"> BCL TELECOM</t>
  </si>
  <si>
    <t>CEOCE2510T15932</t>
  </si>
  <si>
    <t>CLARENSAC</t>
  </si>
  <si>
    <t>T511114576</t>
  </si>
  <si>
    <t>MIL</t>
  </si>
  <si>
    <t>12.TR190004-MIL</t>
  </si>
  <si>
    <t>T511114654</t>
  </si>
  <si>
    <t>ACCS510121861</t>
  </si>
  <si>
    <t>T511153788</t>
  </si>
  <si>
    <t>CEOCE2510S57642=1</t>
  </si>
  <si>
    <t>T511153860</t>
  </si>
  <si>
    <t>8BU</t>
  </si>
  <si>
    <t>12.TR200065-BQW</t>
  </si>
  <si>
    <t>BOUSSAC</t>
  </si>
  <si>
    <t>T511153912</t>
  </si>
  <si>
    <t>svi</t>
  </si>
  <si>
    <t>R510735230A</t>
  </si>
  <si>
    <t>SAINT VICTOR ET MELVIEUX</t>
  </si>
  <si>
    <t>T511153940</t>
  </si>
  <si>
    <t>BRO</t>
  </si>
  <si>
    <t>CEOCE2508W26161=1</t>
  </si>
  <si>
    <t>T511153965</t>
  </si>
  <si>
    <t>CEOCE2510V07149=1</t>
  </si>
  <si>
    <t>PIERRE DE NOGARET</t>
  </si>
  <si>
    <t>T511153991</t>
  </si>
  <si>
    <t>CEOCE2507G02205=1</t>
  </si>
  <si>
    <t>T511154024</t>
  </si>
  <si>
    <t>T511154052</t>
  </si>
  <si>
    <t>FAY</t>
  </si>
  <si>
    <t>CEOCE2510V52173=1</t>
  </si>
  <si>
    <t>MONTAGNOL</t>
  </si>
  <si>
    <t>T511154078</t>
  </si>
  <si>
    <t>CEOCE2510V24525=1</t>
  </si>
  <si>
    <t>T511154116</t>
  </si>
  <si>
    <t>PV6</t>
  </si>
  <si>
    <t>BOU</t>
  </si>
  <si>
    <t>F510735987A</t>
  </si>
  <si>
    <t>T511154127</t>
  </si>
  <si>
    <t>AGR</t>
  </si>
  <si>
    <t>CEOCE2510S90976</t>
  </si>
  <si>
    <t>T511154142</t>
  </si>
  <si>
    <t>P-G-FI30189007P-1</t>
  </si>
  <si>
    <t>T511173373</t>
  </si>
  <si>
    <t>T511185071</t>
  </si>
  <si>
    <t>R511740541A</t>
  </si>
  <si>
    <t>T511185139</t>
  </si>
  <si>
    <t>T511210284</t>
  </si>
  <si>
    <t>SER</t>
  </si>
  <si>
    <t>KB TELECOM</t>
  </si>
  <si>
    <t>CEOCE2508O98877</t>
  </si>
  <si>
    <t>VALRAS PLAGE</t>
  </si>
  <si>
    <t>T512096297</t>
  </si>
  <si>
    <t>T512196545</t>
  </si>
  <si>
    <t>CEOCE2511F96362=1</t>
  </si>
  <si>
    <t>CAUSSE ET DIEGE</t>
  </si>
  <si>
    <t>T512196804</t>
  </si>
  <si>
    <t>R511748675A</t>
  </si>
  <si>
    <t>T512197011</t>
  </si>
  <si>
    <t>R511742456A</t>
  </si>
  <si>
    <t>T512197304</t>
  </si>
  <si>
    <t>CEOCE2512K80704=1</t>
  </si>
  <si>
    <t>T512197411</t>
  </si>
  <si>
    <t>MOU</t>
  </si>
  <si>
    <t>SOGETREL</t>
  </si>
  <si>
    <t>CEOCE2512K48029</t>
  </si>
  <si>
    <t>T512229221</t>
  </si>
  <si>
    <t>FAC</t>
  </si>
  <si>
    <t>CEOCE2512L76404=1</t>
  </si>
  <si>
    <t>Montpelliers</t>
  </si>
  <si>
    <t>T512201737</t>
  </si>
  <si>
    <t>T512197527</t>
  </si>
  <si>
    <t>ACCS512200038</t>
  </si>
  <si>
    <t>T601120711</t>
  </si>
  <si>
    <t>CEOCE2512K76853=1</t>
  </si>
  <si>
    <t>T601120759</t>
  </si>
  <si>
    <t>SERIGNAN</t>
  </si>
  <si>
    <t>T601127428</t>
  </si>
  <si>
    <t>T601133896</t>
  </si>
  <si>
    <t>VIA01000000221379259</t>
  </si>
  <si>
    <t>T601133939</t>
  </si>
  <si>
    <t>VIA01000000221932232</t>
  </si>
  <si>
    <t>T601133989</t>
  </si>
  <si>
    <t>T601134011</t>
  </si>
  <si>
    <t>T601212493</t>
  </si>
  <si>
    <t>T601231892</t>
  </si>
  <si>
    <t>CEOCE2512P48018=1</t>
  </si>
  <si>
    <t>T601246055</t>
  </si>
  <si>
    <t>R512761224A</t>
  </si>
  <si>
    <t>T601246083</t>
  </si>
  <si>
    <t>T601246265</t>
  </si>
  <si>
    <t>CEOCE2601U32063</t>
  </si>
  <si>
    <t>T601246293</t>
  </si>
  <si>
    <t>CEOCE2504V94378</t>
  </si>
  <si>
    <t>T601246316</t>
  </si>
  <si>
    <t>CEOCE2601T97856</t>
  </si>
  <si>
    <t>SOULAGE BONNEVAL</t>
  </si>
  <si>
    <t>T601246362</t>
  </si>
  <si>
    <t>CEOCE2601Q53745</t>
  </si>
  <si>
    <t>T602097035</t>
  </si>
  <si>
    <t>R507693926A</t>
  </si>
  <si>
    <t>T602097074</t>
  </si>
  <si>
    <t>CEOCE2510O61444</t>
  </si>
  <si>
    <t>T602097102</t>
  </si>
  <si>
    <t>CEOCE2512P48138</t>
  </si>
  <si>
    <t>T602097421</t>
  </si>
  <si>
    <t>HCO0054VYR4</t>
  </si>
  <si>
    <t>T602097443</t>
  </si>
  <si>
    <t>R601768396A</t>
  </si>
  <si>
    <t>SAINTE EULALIE D'OLT</t>
  </si>
  <si>
    <t>T602097492</t>
  </si>
  <si>
    <t>CEOCE2601X83432=1</t>
  </si>
  <si>
    <t>ENTRAYGUE SUR TRUYERE</t>
  </si>
  <si>
    <t>T602097564</t>
  </si>
  <si>
    <t>CEOCE2601Q65636=1</t>
  </si>
  <si>
    <t>LE VIBAL</t>
  </si>
  <si>
    <t>T602097598</t>
  </si>
  <si>
    <t>CEOCE2512O84905=1</t>
  </si>
  <si>
    <t>MARCILLAC</t>
  </si>
  <si>
    <t>T602097705</t>
  </si>
  <si>
    <t>CEOCE2601X58619</t>
  </si>
  <si>
    <t>T602108126</t>
  </si>
  <si>
    <t>T602169222</t>
  </si>
  <si>
    <t>T602211704</t>
  </si>
  <si>
    <t>CEOCE2602D86857=1</t>
  </si>
  <si>
    <t>T602211825</t>
  </si>
  <si>
    <t>T602212303</t>
  </si>
  <si>
    <t>COG</t>
  </si>
  <si>
    <t>INSEE</t>
  </si>
  <si>
    <t>Ville</t>
  </si>
  <si>
    <t>Commentaire</t>
  </si>
  <si>
    <t>Dossier Envoyé</t>
  </si>
  <si>
    <t>IMI-VS-35238/JGJH-1</t>
  </si>
  <si>
    <t>Dossier Payé</t>
  </si>
  <si>
    <t>IMI-VS-35238/JQPB-1</t>
  </si>
  <si>
    <t>IMI-VS-35238/JS1G-1</t>
  </si>
  <si>
    <t>Dossier Bloqué</t>
  </si>
  <si>
    <t>IMI-VS-35238/JSDA-1</t>
  </si>
  <si>
    <t>Dossier Affecté</t>
  </si>
  <si>
    <t>IMI-VS-35238/JUKE-1</t>
  </si>
  <si>
    <t>Dosseir en Retour</t>
  </si>
  <si>
    <t>IMI-VS-35238/JW4I-1</t>
  </si>
  <si>
    <t>Etude Terminé</t>
  </si>
  <si>
    <t>IMI-VS-35238/JMYV-1</t>
  </si>
  <si>
    <t>IMI-VS-35238/JU6I-1</t>
  </si>
  <si>
    <t>IMI-VS-35238/JEWQ-1</t>
  </si>
  <si>
    <t>IMI-VS-35238/JF3Y-1</t>
  </si>
  <si>
    <t>IMI-VS-35238/JFE4-1</t>
  </si>
  <si>
    <t>IMI-VS-35238/JMR9-1</t>
  </si>
  <si>
    <t>IMI-VS-35238/JUEJ-1</t>
  </si>
  <si>
    <t>IMI-VS-35238/JUUS-1</t>
  </si>
  <si>
    <t>IMI-VS-35238/JW0C-2</t>
  </si>
  <si>
    <t>IMI-VS-35238/JX0J-1</t>
  </si>
  <si>
    <t>IMI-VS-35238/JX98-1</t>
  </si>
  <si>
    <t>IMI-VS-35238/JWUD-1</t>
  </si>
  <si>
    <t>IMI-VS-35238/JLH9-1</t>
  </si>
  <si>
    <t>IMI-VS-35238/JGWC-1</t>
  </si>
  <si>
    <t>Dossier retiré par Sogtrel</t>
  </si>
  <si>
    <t>IMI-VS-35238/JQUC-3</t>
  </si>
  <si>
    <t>IMI-VS-35238/JR18-1</t>
  </si>
  <si>
    <t>IMI-VS-35238/JTVL-1</t>
  </si>
  <si>
    <t>IMI-VS-35238/JU9S-1</t>
  </si>
  <si>
    <t>IMI-VS-35238/JVAW-1</t>
  </si>
  <si>
    <t>IMI-VS-35238/01SP-1</t>
  </si>
  <si>
    <t>IMI-VS-35238/JGPR-1</t>
  </si>
  <si>
    <t>IMI-VS-35238/00P2-1</t>
  </si>
  <si>
    <t>IMI-VS-35238/JKVR-1</t>
  </si>
  <si>
    <t>IMI-VS-35238/JTFQ-1</t>
  </si>
  <si>
    <t>IMI-VS-35238/00YY-1</t>
  </si>
  <si>
    <t>IMI-VS-35238/JIP8-1</t>
  </si>
  <si>
    <t>IMI-VS-35238/JVNP-1</t>
  </si>
  <si>
    <t>IMI-VS-35238/JXU5-1</t>
  </si>
  <si>
    <t>IMI-VS-35238/JGTS-1</t>
  </si>
  <si>
    <t>IMI-VS-35238/JGV0-1</t>
  </si>
  <si>
    <t>IMI-VE-35238/009E-1</t>
  </si>
  <si>
    <t>IMI-VS-35238/JQXL-1</t>
  </si>
  <si>
    <t>IMI-VS-35238/00FL-1</t>
  </si>
  <si>
    <t>IMI-VS-35238/JLPK-1</t>
  </si>
  <si>
    <t>IMI-VS-35238/JEYE-1</t>
  </si>
  <si>
    <t>IMI-VS-35238/JKCH-1</t>
  </si>
  <si>
    <t>IMI-VS-35238/JMGN-1</t>
  </si>
  <si>
    <t>IMI-VS-35238/JQZF-1</t>
  </si>
  <si>
    <t>IMI-VS-35238/JT0H-1</t>
  </si>
  <si>
    <t>IMI-VS-35238/JTBY-1</t>
  </si>
  <si>
    <t>IMI-VS-35238/JLPI-1</t>
  </si>
  <si>
    <t>IMI-VS-35238/00HF-1</t>
  </si>
  <si>
    <t>IMI-VS-35238/JEHT-1</t>
  </si>
  <si>
    <t>IMI-VS-35238/JS9Z-1</t>
  </si>
  <si>
    <t>IMI-VS-35238/JTF5-1</t>
  </si>
  <si>
    <t>IMI-VS-35238/JVYE-1</t>
  </si>
  <si>
    <t>IMI-VS-35238/JMW7-1</t>
  </si>
  <si>
    <t>IMI-VS-35238/JMV8-1</t>
  </si>
  <si>
    <t>IMI-VS-35238/JLBN-1</t>
  </si>
  <si>
    <t>IMI-VS-35238/JUAU-1</t>
  </si>
  <si>
    <t>IMI-VS-35238/000O-1</t>
  </si>
  <si>
    <t>IMI-VS-35238/JF36-1</t>
  </si>
  <si>
    <t>IMI-VS-35238/JGZV-1</t>
  </si>
  <si>
    <t>IMI-VS-35238/JQ48-1</t>
  </si>
  <si>
    <t>IMI-VS-35238/JSIV-1</t>
  </si>
  <si>
    <t>IMI-VS-35238/JUOV-1</t>
  </si>
  <si>
    <t>IMI-VS-35238/JV9U-1</t>
  </si>
  <si>
    <t>IMI-VS-35238/JWZX-1</t>
  </si>
  <si>
    <t>IMI-VS-35238/T1ZQ-1</t>
  </si>
  <si>
    <t>IMI-VS-35024/02AB-1</t>
  </si>
  <si>
    <t>IMI-VS-35055/019Q-1</t>
  </si>
  <si>
    <t>IMI-VS-35210/0056-1</t>
  </si>
  <si>
    <t>IMI-VE-35216/00A8-1</t>
  </si>
  <si>
    <t>IMI-VS-35278/02KJ-1</t>
  </si>
  <si>
    <t>IMI-VS-35281/01AB-1</t>
  </si>
  <si>
    <t>IMI-VS-35360/01FK-2</t>
  </si>
  <si>
    <t>IMI-VS-35353/00Y3-2</t>
  </si>
  <si>
    <t>IMI-VE-35360/02G3-2</t>
  </si>
  <si>
    <t>IMI-VE-35238/JF4O-1</t>
  </si>
  <si>
    <t>IMI-VE-35238/0372-1</t>
  </si>
  <si>
    <t>IMI-VS-35238/JR0C-1</t>
  </si>
  <si>
    <t>IMI-VS-35238/JPJA-1</t>
  </si>
  <si>
    <t>IMI-VS-35238/JMXL-1</t>
  </si>
  <si>
    <t>IMI-VS-35238/JTBR-1</t>
  </si>
  <si>
    <t>IMI-VS-35238/JF7A-1</t>
  </si>
  <si>
    <t>IMI-VS-35238/JWNP-2</t>
  </si>
  <si>
    <t>IMI-VS-35238/JF4Q-2</t>
  </si>
  <si>
    <t>IMI-VS-35238/JR45-2</t>
  </si>
  <si>
    <t>IMI-VS-35238/JRHV-4</t>
  </si>
  <si>
    <t>IMI-VS-56036/00GR-1</t>
  </si>
  <si>
    <t>RUE NICOLAS COATANLEM</t>
  </si>
  <si>
    <t>IMI-VE-56040/00BB-1</t>
  </si>
  <si>
    <t>SQUARE LOUIS LE COURIAUD</t>
  </si>
  <si>
    <t>IMI-VE-56083/052O-1</t>
  </si>
  <si>
    <t>RUE OUSMANE SOW</t>
  </si>
  <si>
    <t>IMI-VE-56098/04ZE-1</t>
  </si>
  <si>
    <t>RUE STENDHAL</t>
  </si>
  <si>
    <t>IMI-VE-56098/068M-1</t>
  </si>
  <si>
    <t>SAINT NIAU</t>
  </si>
  <si>
    <t>IMI-VS-56118/01J2-1</t>
  </si>
  <si>
    <t>ALLEE DES BRUANTS</t>
  </si>
  <si>
    <t>IMI-VS-56121/01MW-1</t>
  </si>
  <si>
    <t>RUE DE BELGIQUE</t>
  </si>
  <si>
    <t>IMI-VS-56121/032L-1</t>
  </si>
  <si>
    <t>RUE FELICITE DE LAMENNAIS</t>
  </si>
  <si>
    <t>IMI-VS-56121/01HY-1</t>
  </si>
  <si>
    <t>BOULEVARD EUGENE COSMAO DUMANOIR</t>
  </si>
  <si>
    <t>IMI-VS-56121/067E-1</t>
  </si>
  <si>
    <t>RUE GABRIEL FAURE</t>
  </si>
  <si>
    <t>IMI-VS-56121/03HH-1</t>
  </si>
  <si>
    <t>BOULEVARD DE NORMANDIE</t>
  </si>
  <si>
    <t>IMI-VS-56158/00C8-1</t>
  </si>
  <si>
    <t>IMI-VS-56162/03CX-1</t>
  </si>
  <si>
    <t>RUE DU MOULIN DU GAILLEC</t>
  </si>
  <si>
    <t>IMI-VS-56162/06YJ-1</t>
  </si>
  <si>
    <t>RUE DE LARMOR</t>
  </si>
  <si>
    <t>IMI-VS-56162/04AU-1</t>
  </si>
  <si>
    <t>AVENUE JEAN XXIII</t>
  </si>
  <si>
    <t>IMI-VS-56181/00G2-1</t>
  </si>
  <si>
    <t>GRANDE RUE</t>
  </si>
  <si>
    <t>IMI-VS-56243/02Q5-1</t>
  </si>
  <si>
    <t>RUE DES 3 FRERES</t>
  </si>
  <si>
    <t>IMI-VS-56243/02FA-1</t>
  </si>
  <si>
    <t>RUE DU POULFANC</t>
  </si>
  <si>
    <t>IMI-VE-56248/00JR-1</t>
  </si>
  <si>
    <t>RUE DE KERBIHAN</t>
  </si>
  <si>
    <t>IMI-VS-56255/00J2-1</t>
  </si>
  <si>
    <t>LIEU DIT RANGOGO</t>
  </si>
  <si>
    <t>IMI-VS-56260/0335-1</t>
  </si>
  <si>
    <t>ALLEE DES TOURTERELLES</t>
  </si>
  <si>
    <t>IMI-VS-56260/0468-1</t>
  </si>
  <si>
    <t>RUE DE LA FONTAINE BUDO</t>
  </si>
  <si>
    <t>IMI-VS-56260/03ZU-1</t>
  </si>
  <si>
    <t>RUE EUGENE BOUDIN</t>
  </si>
  <si>
    <t>IMI-VS-56260/012N-1</t>
  </si>
  <si>
    <t>RUE BLAISE PASCAL</t>
  </si>
  <si>
    <t>IMI-VS-56260/0522-1</t>
  </si>
  <si>
    <t>ALLEE DU HECHENO</t>
  </si>
  <si>
    <t>IMI-VS-29232/0BPC-1</t>
  </si>
  <si>
    <t>IMPASSE DE KERVILER</t>
  </si>
  <si>
    <t>IMI-VE-29232/057G-3</t>
  </si>
  <si>
    <t>ALLEE ABBE GREGOIRE</t>
  </si>
  <si>
    <t>IMI-VS-29232/06GH-1</t>
  </si>
  <si>
    <t>RUE DES GENETS</t>
  </si>
  <si>
    <t>IMI-VS-29232/0JAC-1</t>
  </si>
  <si>
    <t>RUE DU PERIGORD</t>
  </si>
  <si>
    <t>IMI-VS-29232/04H0-1</t>
  </si>
  <si>
    <t>CHEMIN DE LA PENTE</t>
  </si>
  <si>
    <t>IMI-VS-29232/0GER-1</t>
  </si>
  <si>
    <t>IMI-VS-29232/032P-1</t>
  </si>
  <si>
    <t>CITE DE KERGUELEN</t>
  </si>
  <si>
    <t>IMI-VS-29232/00EI-2</t>
  </si>
  <si>
    <t>ALEZ AN EOSTIGED</t>
  </si>
  <si>
    <t>IMI-VS-29232/0J5R-1</t>
  </si>
  <si>
    <t>ALLEE LOUIS FEUNTEUN</t>
  </si>
  <si>
    <t>IMI-VS-29232/0995-2</t>
  </si>
  <si>
    <t>RUE ETIENNE GOURMELEN</t>
  </si>
  <si>
    <t>IMI-VE-35238/JF7A-1</t>
  </si>
  <si>
    <t>35238</t>
  </si>
  <si>
    <t>13, R  . Monnaie, 35000, RENNES</t>
  </si>
  <si>
    <t>DEP-AN-29232/028Q-1</t>
  </si>
  <si>
    <t>DEP-AN-35144/00JE-1</t>
  </si>
  <si>
    <t>35144</t>
  </si>
  <si>
    <t>Langan</t>
  </si>
  <si>
    <t>14 Impasse Bernard Moitessier 35850 Langan</t>
  </si>
  <si>
    <t>DEP-AN-29232/0JB3-1</t>
  </si>
  <si>
    <t>4 Rue du Palais 29000 Quimper</t>
  </si>
  <si>
    <t>MAIL POUR RDV</t>
  </si>
  <si>
    <t>DEP-AN-29232/03U7-1</t>
  </si>
  <si>
    <t>9 Rue de l'Île d'Houât - Quimper</t>
  </si>
  <si>
    <t>DEP-AN-29170/01R8-1</t>
  </si>
  <si>
    <t>ATT retour SOGETREL</t>
  </si>
  <si>
    <t>DEP-AN-29232/0JB5-1</t>
  </si>
  <si>
    <t>DEP-SN-29134-00A2-2</t>
  </si>
  <si>
    <t>DEP-SN-29066/007H-1</t>
  </si>
  <si>
    <t>DEP-SN-29216/019Z-1</t>
  </si>
  <si>
    <t>DEP-SN-35210/00U6-1</t>
  </si>
  <si>
    <t>DEP-SN-35334/00WD-1</t>
  </si>
  <si>
    <t>DEP-SN-35353/004G-1</t>
  </si>
  <si>
    <t>Att Validation Devis</t>
  </si>
  <si>
    <t>DEP-SN-35051/04JF-1</t>
  </si>
  <si>
    <t>DEP-SN-35238/JN1X-1</t>
  </si>
  <si>
    <t>DEP-SN-35120/004P-1</t>
  </si>
  <si>
    <t>DEP-SN-35238/00G3-1</t>
  </si>
  <si>
    <t>DEP-SN-35275/002I-1</t>
  </si>
  <si>
    <t>DEP-AN-56260/0CVV-1</t>
  </si>
  <si>
    <t>DEP-AN-56137/01CA-1</t>
  </si>
  <si>
    <t>DEP-AN-56121/0BKO-1</t>
  </si>
  <si>
    <t>DEP-AN-56158/00NZ-1</t>
  </si>
  <si>
    <t>DEP-AN-56121/04UR-1</t>
  </si>
  <si>
    <t>DEP-AN-56101/03HN-1</t>
  </si>
  <si>
    <t>DEP-SN-56098-03F0-1</t>
  </si>
  <si>
    <t>DEP-SN-56179/010Y-1</t>
  </si>
  <si>
    <t>DEP-SN-56179/019H-1</t>
  </si>
  <si>
    <t>DEP-SN-56098/02PR-1</t>
  </si>
  <si>
    <t>DEP-SN-56167/018M-1</t>
  </si>
  <si>
    <t>DEP-SN-56158/0235-1</t>
  </si>
  <si>
    <t>DEP-SN-56260/0CX9-1</t>
  </si>
  <si>
    <r>
      <rPr>
        <sz val="11"/>
        <color rgb="FF000000"/>
        <rFont val="Calibri"/>
      </rPr>
      <t>DE</t>
    </r>
    <r>
      <rPr>
        <u/>
        <sz val="11"/>
        <color rgb="FF000000"/>
        <rFont val="Calibri"/>
      </rPr>
      <t>P-SN-56137/01BR-1</t>
    </r>
  </si>
  <si>
    <t xml:space="preserve">ATT retour Enedis </t>
  </si>
  <si>
    <t>DEP-SN-56098/0667-1</t>
  </si>
  <si>
    <t>DEP-SN-56063/00DO-1</t>
  </si>
  <si>
    <t>DEP-AN-56164/00X3-1</t>
  </si>
  <si>
    <t>DEP-SN-56121/02NR-1</t>
  </si>
  <si>
    <t>DEP-AN-56158/018L-1</t>
  </si>
  <si>
    <t>INFORMATIONS GENERAL</t>
  </si>
  <si>
    <t>CONCESSIONAIRE</t>
  </si>
  <si>
    <t>COMMUNE</t>
  </si>
  <si>
    <t>COORDONEE GPS</t>
  </si>
  <si>
    <t xml:space="preserve">N°REF DT </t>
  </si>
  <si>
    <t xml:space="preserve">ENEDIS </t>
  </si>
  <si>
    <t>GRDF</t>
  </si>
  <si>
    <t xml:space="preserve">EAU </t>
  </si>
  <si>
    <t>MAIRIE</t>
  </si>
  <si>
    <t>SYNDICAT ENERGIE</t>
  </si>
  <si>
    <t>DEPARTEMENT</t>
  </si>
  <si>
    <t>INFRA</t>
  </si>
  <si>
    <t>MEN400681</t>
  </si>
  <si>
    <t>Saint-Laurent-de-Veyrès</t>
  </si>
  <si>
    <t>Village</t>
  </si>
  <si>
    <t>44.77531717412041, 3.133627254156568</t>
  </si>
  <si>
    <t>2024121100559TEU</t>
  </si>
  <si>
    <t>N/C</t>
  </si>
  <si>
    <t>MEN400685</t>
  </si>
  <si>
    <t>CHATEAUNEUF DE RANDON</t>
  </si>
  <si>
    <t>3 ROUTE DU PONT RODIER</t>
  </si>
  <si>
    <t>44.63415889866625, 3.6752155378601734</t>
  </si>
  <si>
    <t>2024121000466T0D</t>
  </si>
  <si>
    <t>ROD401860</t>
  </si>
  <si>
    <t>22 CHEMIN DE LAVAL</t>
  </si>
  <si>
    <t>43.88032959324717, 2.60623579330839</t>
  </si>
  <si>
    <t>2024120500225TFZ</t>
  </si>
  <si>
    <t xml:space="preserve"> LA LOUBIERE</t>
  </si>
  <si>
    <t>44.40716 ; 2.63976</t>
  </si>
  <si>
    <t>2024121600193TDF</t>
  </si>
  <si>
    <t>OK (altitude)</t>
  </si>
  <si>
    <t>ROD402081</t>
  </si>
  <si>
    <t>43.880314057028876, 2.6062056722738514</t>
  </si>
  <si>
    <t>2024121600166TIA</t>
  </si>
  <si>
    <t>43.97273 ; 2.95984</t>
  </si>
  <si>
    <t>2024121600531TPV</t>
  </si>
  <si>
    <t>MEN400754</t>
  </si>
  <si>
    <t xml:space="preserve"> ROUTE DE CAUQUENAS</t>
  </si>
  <si>
    <t>44.32049 ; 3.30010</t>
  </si>
  <si>
    <t>2024121600807TIY</t>
  </si>
  <si>
    <t>ROD402113</t>
  </si>
  <si>
    <t xml:space="preserve"> ALRANCE</t>
  </si>
  <si>
    <t>2 CITE EDF</t>
  </si>
  <si>
    <t>44.12151 ; 2.68751</t>
  </si>
  <si>
    <t>2024121700826TQX</t>
  </si>
  <si>
    <t xml:space="preserve">ROD400178 </t>
  </si>
  <si>
    <t>LD LE JALOUS</t>
  </si>
  <si>
    <t>44.45969820887255, 2.8107440949066063</t>
  </si>
  <si>
    <t xml:space="preserve">2024121801016TIA </t>
  </si>
  <si>
    <t xml:space="preserve"> ROD401914</t>
  </si>
  <si>
    <t xml:space="preserve"> 2 RTE DU CHATEAU</t>
  </si>
  <si>
    <t>44.51633 ; 2.74983</t>
  </si>
  <si>
    <t>2024121900250TTP</t>
  </si>
  <si>
    <t>OK (THD)</t>
  </si>
  <si>
    <t>ROD401723</t>
  </si>
  <si>
    <t>MAS DE COURNET</t>
  </si>
  <si>
    <t>44,19259; 2,79324</t>
  </si>
  <si>
    <t>2024122000221T6G</t>
  </si>
  <si>
    <t>ROD402136</t>
  </si>
  <si>
    <t>LE ROUCOUS</t>
  </si>
  <si>
    <t>44,23546.2,91437</t>
  </si>
  <si>
    <t>2024122000270TZN</t>
  </si>
  <si>
    <t>ROD402051</t>
  </si>
  <si>
    <t>MAS DE MOULIS</t>
  </si>
  <si>
    <t>43.95992275551356, 3.27257346943218</t>
  </si>
  <si>
    <t>2024122001338TFH</t>
  </si>
  <si>
    <t xml:space="preserve">MEN400633 </t>
  </si>
  <si>
    <t>LA LUNE</t>
  </si>
  <si>
    <t>Saint-Martin-de-Boubaux</t>
  </si>
  <si>
    <t>44.17775166725317, 3.9615716686258167</t>
  </si>
  <si>
    <t>2024122200116T3M</t>
  </si>
  <si>
    <t>ROD401971</t>
  </si>
  <si>
    <t>CHIVALDENQUE</t>
  </si>
  <si>
    <t>44.27547353724333, 2.9663483791428717</t>
  </si>
  <si>
    <t>2024122400108T90</t>
  </si>
  <si>
    <t>ROD401947</t>
  </si>
  <si>
    <t>44.72606 ; 2.81824</t>
  </si>
  <si>
    <t>2024123000107TCV</t>
  </si>
  <si>
    <t>1/2 OK</t>
  </si>
  <si>
    <t>MEN400775</t>
  </si>
  <si>
    <t>LE COLLET DE DEZE</t>
  </si>
  <si>
    <t xml:space="preserve">5020 QUA LA BASTIDE </t>
  </si>
  <si>
    <t>44,246179;3,924556</t>
  </si>
  <si>
    <t>2025010300167TOO</t>
  </si>
  <si>
    <t>MEN400766</t>
  </si>
  <si>
    <t xml:space="preserve">  PEYRE EN AUBRAC</t>
  </si>
  <si>
    <t>980 AV DE LA MERIDIENNE</t>
  </si>
  <si>
    <t>44.740901421872316, 3.290475985469584</t>
  </si>
  <si>
    <t>2025010300231TOI</t>
  </si>
  <si>
    <t>ROD402177</t>
  </si>
  <si>
    <t>12450 FLAVIN</t>
  </si>
  <si>
    <t xml:space="preserve"> 26 AVENUE DU SEGALA</t>
  </si>
  <si>
    <t>44.28607 ; 2.60205</t>
  </si>
  <si>
    <t>2025010300267TFT</t>
  </si>
  <si>
    <t>ROD402198</t>
  </si>
  <si>
    <t xml:space="preserve">  SEVERAC D AVEYRON</t>
  </si>
  <si>
    <t>28 AV RESISTANTS</t>
  </si>
  <si>
    <t>44,318589 ; 3,073771</t>
  </si>
  <si>
    <t>2025011301241TXW</t>
  </si>
  <si>
    <t>ROD402199</t>
  </si>
  <si>
    <t>LA BALAGE</t>
  </si>
  <si>
    <t>44,18606 ; 2,33262</t>
  </si>
  <si>
    <t>2025010700154TQP</t>
  </si>
  <si>
    <t>ROD402208</t>
  </si>
  <si>
    <t xml:space="preserve">3801 RTE D ANNAT </t>
  </si>
  <si>
    <t>44,572511;2,686937</t>
  </si>
  <si>
    <t>2025010700294THP</t>
  </si>
  <si>
    <t>ROD500001</t>
  </si>
  <si>
    <t>14 IMP DU CAYROU</t>
  </si>
  <si>
    <t>44.44472 ; 2.72745</t>
  </si>
  <si>
    <t>2025010701494T1L</t>
  </si>
  <si>
    <t>MEN500002</t>
  </si>
  <si>
    <t xml:space="preserve"> ISPAGNAC</t>
  </si>
  <si>
    <t>CH DE LA LECHE</t>
  </si>
  <si>
    <t>44.37293406137982, 3.5326079731380604</t>
  </si>
  <si>
    <t>2025011001487TXO</t>
  </si>
  <si>
    <t>ROD402180</t>
  </si>
  <si>
    <t xml:space="preserve"> CHE DES PRADES</t>
  </si>
  <si>
    <t>44.153361508820936, 3.0988152025228377</t>
  </si>
  <si>
    <t>2025011400196TTM</t>
  </si>
  <si>
    <t>ROD401781</t>
  </si>
  <si>
    <t xml:space="preserve">                         Flavin</t>
  </si>
  <si>
    <t>1 RUE DE LA SOUQUETTE</t>
  </si>
  <si>
    <t>44.281944, 2.607778</t>
  </si>
  <si>
    <t>2025011501235TW0</t>
  </si>
  <si>
    <t>MEN500001</t>
  </si>
  <si>
    <t xml:space="preserve">17 CH DES ROUVIERES </t>
  </si>
  <si>
    <t>44.537251169193276, 3.5418958404348873</t>
  </si>
  <si>
    <t>2025011700402TNS</t>
  </si>
  <si>
    <t>ROD500061</t>
  </si>
  <si>
    <t>44.20027657822796, 2.3450987184957257</t>
  </si>
  <si>
    <t>2025013101281TRY</t>
  </si>
  <si>
    <t>ROD401579</t>
  </si>
  <si>
    <t>19 RTE VERNHES</t>
  </si>
  <si>
    <t>44.20074 ; 2.77632</t>
  </si>
  <si>
    <t>2025012101321TNI</t>
  </si>
  <si>
    <t>ok</t>
  </si>
  <si>
    <t xml:space="preserve">ROD400348 </t>
  </si>
  <si>
    <t xml:space="preserve">LD LA CAPELLE </t>
  </si>
  <si>
    <t>44.73830 ; 2.59832</t>
  </si>
  <si>
    <t>2025012101562TIZ</t>
  </si>
  <si>
    <t>ROD401786</t>
  </si>
  <si>
    <t>LE PRE VIBAL</t>
  </si>
  <si>
    <t>44.18815 ; 2.78964</t>
  </si>
  <si>
    <t>2025012200594TKE</t>
  </si>
  <si>
    <t>ROD401863</t>
  </si>
  <si>
    <t>VERSOLS ET LAPEYRE</t>
  </si>
  <si>
    <t>69 RUE DU CHAMP DE RAMONDE</t>
  </si>
  <si>
    <t>43.895945 2.933176</t>
  </si>
  <si>
    <t>2025012300691TZH</t>
  </si>
  <si>
    <t>ROD402209</t>
  </si>
  <si>
    <t xml:space="preserve"> LIOUJAS LA LOUBIERE</t>
  </si>
  <si>
    <t xml:space="preserve">4B IMP DU COMBAL </t>
  </si>
  <si>
    <t>44.40681224432121, 2.6397060339356972</t>
  </si>
  <si>
    <t>2025012700199T5O</t>
  </si>
  <si>
    <t>ROD401103</t>
  </si>
  <si>
    <t xml:space="preserve">ROUASSAS </t>
  </si>
  <si>
    <t>44,195222; 3,086316</t>
  </si>
  <si>
    <t>2025012700916TBQ</t>
  </si>
  <si>
    <t>ROD302439/ROD402055</t>
  </si>
  <si>
    <t xml:space="preserve"> Gabriac</t>
  </si>
  <si>
    <t>Fraysse</t>
  </si>
  <si>
    <t>44.4896170357722, 2.7920292945935046</t>
  </si>
  <si>
    <t xml:space="preserve">MEN400685 </t>
  </si>
  <si>
    <t>ROD401316</t>
  </si>
  <si>
    <t xml:space="preserve">REVAYROL </t>
  </si>
  <si>
    <t>44.01036459671738, 2.9774961739895924</t>
  </si>
  <si>
    <t>2025013000386TY7</t>
  </si>
  <si>
    <t>ROD400125</t>
  </si>
  <si>
    <t>133 RTE D ESPALION</t>
  </si>
  <si>
    <t>44.47099 ; 2.72976</t>
  </si>
  <si>
    <t>2025013100172TPK</t>
  </si>
  <si>
    <t>ROD402099</t>
  </si>
  <si>
    <t xml:space="preserve">LE BOUSQUET DE CEOR </t>
  </si>
  <si>
    <t>44.16160446591406, 2.5032503886982926</t>
  </si>
  <si>
    <t>2025020300130TLV</t>
  </si>
  <si>
    <t>MEN500045</t>
  </si>
  <si>
    <t>LD CASSAGNES</t>
  </si>
  <si>
    <t>44.201105253794296, 3.2733391215454906</t>
  </si>
  <si>
    <t>2025020300575TNZ</t>
  </si>
  <si>
    <t>ROD500052</t>
  </si>
  <si>
    <t xml:space="preserve">11 RUE DE FONTENAY </t>
  </si>
  <si>
    <t>44.11684860959319, 3.0850478230789156</t>
  </si>
  <si>
    <t>2025020400258TAV</t>
  </si>
  <si>
    <t>ROD401960</t>
  </si>
  <si>
    <t xml:space="preserve"> LASSOUTS</t>
  </si>
  <si>
    <t>87 ROUTE DE COUPIAC</t>
  </si>
  <si>
    <t xml:space="preserve"> 44.48822 ; 2.85486</t>
  </si>
  <si>
    <t>2025020500428TZZ</t>
  </si>
  <si>
    <t>MEN400731</t>
  </si>
  <si>
    <t>Saint-Pierre-des-Tripiers</t>
  </si>
  <si>
    <t>Le Truel</t>
  </si>
  <si>
    <t>44.20289987738929, 3.2663001409130312</t>
  </si>
  <si>
    <t>2025020701630TIK</t>
  </si>
  <si>
    <t>MEN400751</t>
  </si>
  <si>
    <t xml:space="preserve"> CANOURGUE</t>
  </si>
  <si>
    <t xml:space="preserve">LE BOULAY </t>
  </si>
  <si>
    <t xml:space="preserve"> 44.43559 ; 3.24237</t>
  </si>
  <si>
    <t>2025021101966TTK</t>
  </si>
  <si>
    <t>ROD500049</t>
  </si>
  <si>
    <t xml:space="preserve"> LEDERGUES</t>
  </si>
  <si>
    <t xml:space="preserve">808 RTE DE LA MASSEYRIE </t>
  </si>
  <si>
    <t>44.07070, 2.42297</t>
  </si>
  <si>
    <t>2025021101279T6L</t>
  </si>
  <si>
    <t>ROD401680</t>
  </si>
  <si>
    <t xml:space="preserve">PASSERAT </t>
  </si>
  <si>
    <t>44.397345509002335, 2.1432397338962446</t>
  </si>
  <si>
    <t>2025021300501TPT</t>
  </si>
  <si>
    <t>ROD401868</t>
  </si>
  <si>
    <t xml:space="preserve"> SAINT AMANS DES COTS</t>
  </si>
  <si>
    <t>LD TOULUCH</t>
  </si>
  <si>
    <t>44.66806799446049, 2.7050379507328586</t>
  </si>
  <si>
    <t>2025021300736TDB</t>
  </si>
  <si>
    <t>ROD401940</t>
  </si>
  <si>
    <t xml:space="preserve"> COUDERC BANC</t>
  </si>
  <si>
    <t>44.429622270936974, 2.7832271251816514</t>
  </si>
  <si>
    <t>2025021301025TLQ</t>
  </si>
  <si>
    <t>ROD400033</t>
  </si>
  <si>
    <t>27 NIGRESSERRE</t>
  </si>
  <si>
    <t>44.87941659607553, 2.69678102967247</t>
  </si>
  <si>
    <t>2025021301244TAW</t>
  </si>
  <si>
    <t>ROD402163</t>
  </si>
  <si>
    <t>1 LES INFRUTS</t>
  </si>
  <si>
    <t>43.90481185892479, 3.2639689803759815</t>
  </si>
  <si>
    <t>2025021400889TG4</t>
  </si>
  <si>
    <t>ROD500018</t>
  </si>
  <si>
    <t>44.00236 ; 2.66768</t>
  </si>
  <si>
    <t>2025021401327TYB</t>
  </si>
  <si>
    <t>ROD401725</t>
  </si>
  <si>
    <t xml:space="preserve"> CAMPUAC</t>
  </si>
  <si>
    <t xml:space="preserve">FERRIEZ </t>
  </si>
  <si>
    <t>44.54491706113055, 2.6089295080535826</t>
  </si>
  <si>
    <t xml:space="preserve"> 2025021401329T3K</t>
  </si>
  <si>
    <r>
      <rPr>
        <sz val="12"/>
        <color rgb="FF000000"/>
        <rFont val="Calibri"/>
      </rPr>
      <t> </t>
    </r>
    <r>
      <rPr>
        <b/>
        <sz val="12"/>
        <color rgb="FF000000"/>
        <rFont val="Calibri"/>
      </rPr>
      <t>LD LE CROUZET</t>
    </r>
  </si>
  <si>
    <t>44.38422 ; 3.62222</t>
  </si>
  <si>
    <t xml:space="preserve"> 2025021700213TXS</t>
  </si>
  <si>
    <t>ROD402173</t>
  </si>
  <si>
    <t>AVENUE LE SARROS</t>
  </si>
  <si>
    <t>43.82773407333799, 2.9449696699251</t>
  </si>
  <si>
    <t xml:space="preserve"> 2025021700343T5A</t>
  </si>
  <si>
    <t>44.1992874529561, 3.807847060038247</t>
  </si>
  <si>
    <t>2025021700846TRE</t>
  </si>
  <si>
    <t>ROD500226</t>
  </si>
  <si>
    <t xml:space="preserve">21 RUE PRINCIPALE </t>
  </si>
  <si>
    <t>44.70830 ; 2.63808</t>
  </si>
  <si>
    <t>2025021701184TVT</t>
  </si>
  <si>
    <t>ROD500117</t>
  </si>
  <si>
    <t xml:space="preserve"> MONTPEYROUX</t>
  </si>
  <si>
    <t xml:space="preserve">RTE DE SOUBEYROLLES </t>
  </si>
  <si>
    <t>44.65595, 2.758675</t>
  </si>
  <si>
    <t>2025021701565TDY</t>
  </si>
  <si>
    <t>ROD402156</t>
  </si>
  <si>
    <t>RTE BESSIERES</t>
  </si>
  <si>
    <t>44.80740323246903, 2.7900457129062963</t>
  </si>
  <si>
    <t>2025021701772TVL</t>
  </si>
  <si>
    <t>MEN500062</t>
  </si>
  <si>
    <t xml:space="preserve">	
2 R DES PENITENTS </t>
  </si>
  <si>
    <t>44.554223485372994, 3.2914665307126985</t>
  </si>
  <si>
    <t>2025021800715TWA</t>
  </si>
  <si>
    <t>MEN400746</t>
  </si>
  <si>
    <t xml:space="preserve"> ESCLANEDES</t>
  </si>
  <si>
    <t>44.49897303403482, 3.354680334316488</t>
  </si>
  <si>
    <t>2025021801688TPL</t>
  </si>
  <si>
    <t>ROD401902</t>
  </si>
  <si>
    <t xml:space="preserve"> COMBRET</t>
  </si>
  <si>
    <t xml:space="preserve"> LE LENIE</t>
  </si>
  <si>
    <t>43.7885624232473, 2.66077094597189</t>
  </si>
  <si>
    <t>2025021801771TL4</t>
  </si>
  <si>
    <t>ROD401835</t>
  </si>
  <si>
    <t>ST PAUL DES FONTS</t>
  </si>
  <si>
    <t>43.930947692276845, 3.0703941606371803</t>
  </si>
  <si>
    <t>2025022000408TU3</t>
  </si>
  <si>
    <t>MEN500073</t>
  </si>
  <si>
    <t xml:space="preserve"> ROUTE DE LOZERETTE</t>
  </si>
  <si>
    <t>44.383655, 3.622800</t>
  </si>
  <si>
    <t>2025021800278T5N</t>
  </si>
  <si>
    <t>ROD500199</t>
  </si>
  <si>
    <t xml:space="preserve">CHEMIN DU PLO </t>
  </si>
  <si>
    <t>44.3870303750701, 2.6342955928968608</t>
  </si>
  <si>
    <t xml:space="preserve"> 2025022100543TC0</t>
  </si>
  <si>
    <t xml:space="preserve"> ROD500227</t>
  </si>
  <si>
    <t xml:space="preserve">PL GEN DE GAULLE </t>
  </si>
  <si>
    <t>44.464943023038465, 2.975282775971485</t>
  </si>
  <si>
    <t xml:space="preserve"> 2025022100800TZP</t>
  </si>
  <si>
    <t>ROD500139</t>
  </si>
  <si>
    <t xml:space="preserve"> LAVAL ROQUECEZIERE</t>
  </si>
  <si>
    <t>ROUTE DES PERES,</t>
  </si>
  <si>
    <t>43.83995998713012, 2.6350243469331467</t>
  </si>
  <si>
    <t>R</t>
  </si>
  <si>
    <t>ROD402083</t>
  </si>
  <si>
    <t>LACROIX BARREZ</t>
  </si>
  <si>
    <t>AVENUE ROBERT LAURENS</t>
  </si>
  <si>
    <t>44.774849725962895, 2.6269953290989325</t>
  </si>
  <si>
    <t>2025022500811TQL</t>
  </si>
  <si>
    <t xml:space="preserve"> PONT DE MONVERT-SUD MT LOZERE</t>
  </si>
  <si>
    <t xml:space="preserve">SENT DE LA CALADE </t>
  </si>
  <si>
    <t>44.34406724564879, 3.800268878556202</t>
  </si>
  <si>
    <t>2025022600541T6I</t>
  </si>
  <si>
    <t>MEN500019</t>
  </si>
  <si>
    <t>LANARCE</t>
  </si>
  <si>
    <t>LA SAGNIERE</t>
  </si>
  <si>
    <t>44.71094877969228, 3.997848884304428</t>
  </si>
  <si>
    <t>2025022800798T7C</t>
  </si>
  <si>
    <t>MEN500044</t>
  </si>
  <si>
    <t xml:space="preserve"> NASBINALS</t>
  </si>
  <si>
    <t xml:space="preserve">CH DE MERDARIC </t>
  </si>
  <si>
    <t>44.657062601931806, 3.0519761032978905</t>
  </si>
  <si>
    <t xml:space="preserve"> 2025022801360TZC</t>
  </si>
  <si>
    <t>ROD500265</t>
  </si>
  <si>
    <t xml:space="preserve"> SAINTE RADEGONDE</t>
  </si>
  <si>
    <t xml:space="preserve">12 R PATUS COMMUN </t>
  </si>
  <si>
    <t>44.33770737730425, 2.625944067250777</t>
  </si>
  <si>
    <t>2025030300243TXK</t>
  </si>
  <si>
    <t>ROD500232</t>
  </si>
  <si>
    <t xml:space="preserve">RUE DU BOIS </t>
  </si>
  <si>
    <t>44.22749115812674, 2.398000735887416</t>
  </si>
  <si>
    <t>2025030300843TS5</t>
  </si>
  <si>
    <t>IMI-VA-40123/01PL-1</t>
  </si>
  <si>
    <t>route de tachette</t>
  </si>
  <si>
    <t xml:space="preserve"> 43.79601 ; -1.11469</t>
  </si>
  <si>
    <t>2025030301957TAA</t>
  </si>
  <si>
    <t>ROD500260</t>
  </si>
  <si>
    <t>MELAGUES</t>
  </si>
  <si>
    <t>Saint Pierre des Cats</t>
  </si>
  <si>
    <t>43.72500538862308, 2.9848785951492927</t>
  </si>
  <si>
    <t>2025030401676TDU</t>
  </si>
  <si>
    <t>43.72353826372651, 2.9855543242330307</t>
  </si>
  <si>
    <t>2025030401745T4W</t>
  </si>
  <si>
    <t>Raunier</t>
  </si>
  <si>
    <t>43.73117438925133, 3.0026834375546883</t>
  </si>
  <si>
    <t xml:space="preserve"> 2025030401800TVN</t>
  </si>
  <si>
    <t>MEN500043</t>
  </si>
  <si>
    <t>LD CIVERGOLS</t>
  </si>
  <si>
    <t>44.81030 ; 3.30126</t>
  </si>
  <si>
    <t>2025030401775TL2</t>
  </si>
  <si>
    <t>D52</t>
  </si>
  <si>
    <t>43.73792420852484, 3.018809500762322</t>
  </si>
  <si>
    <t>2025030401855T7A</t>
  </si>
  <si>
    <t>D53</t>
  </si>
  <si>
    <t>43.74773614801901, 3.014908104913595</t>
  </si>
  <si>
    <t>2025030402067TJB</t>
  </si>
  <si>
    <t>IMI-VA-40281-028A-1</t>
  </si>
  <si>
    <t>4 IMPASSE DU MONT D</t>
  </si>
  <si>
    <t>43.87083 ; -0.50958</t>
  </si>
  <si>
    <t>2025030501167TFI</t>
  </si>
  <si>
    <t xml:space="preserve"> SAINT SERNIN SUR RANCE</t>
  </si>
  <si>
    <t>22 CHE DE LAVAL</t>
  </si>
  <si>
    <t>43.880324713027015, 2.606190109497783</t>
  </si>
  <si>
    <t>2025030501870TIK</t>
  </si>
  <si>
    <t>Bégaar</t>
  </si>
  <si>
    <t xml:space="preserve">218 CHEMIN POUCHIOU </t>
  </si>
  <si>
    <t>43.82838506859258, -0.8640265936280924</t>
  </si>
  <si>
    <t>2025030601132TVZ</t>
  </si>
  <si>
    <t>ROD402052</t>
  </si>
  <si>
    <t>CH DE SOLAGES</t>
  </si>
  <si>
    <t>43.937780229798044, 2.7111514098565466</t>
  </si>
  <si>
    <t>2025030701707TH7</t>
  </si>
  <si>
    <t xml:space="preserve">IMI-VA-40192/09AT-1 </t>
  </si>
  <si>
    <t>Mont-de-Marsan</t>
  </si>
  <si>
    <t>RUE GABRIEL CABANNES</t>
  </si>
  <si>
    <t>43.88390 ; -0.49815</t>
  </si>
  <si>
    <t>2025030700981TMS</t>
  </si>
  <si>
    <t>IMI-VA-40123/01LF-1</t>
  </si>
  <si>
    <t>Herm</t>
  </si>
  <si>
    <t>chemin de Maisonnave</t>
  </si>
  <si>
    <t>43.80456 ; -1.12251</t>
  </si>
  <si>
    <t>2025031101545TF1</t>
  </si>
  <si>
    <t>MEN500082</t>
  </si>
  <si>
    <t xml:space="preserve"> TRABASSAC HAUT </t>
  </si>
  <si>
    <t>44.22880113880481, 3.7047792357238425</t>
  </si>
  <si>
    <t>2025031200318TUA</t>
  </si>
  <si>
    <t>IMI-VA-40123/01KO-1</t>
  </si>
  <si>
    <t>ROUTE DE CLUQUELARDIT</t>
  </si>
  <si>
    <t>43.80797 ; -1.11105</t>
  </si>
  <si>
    <t>2025031200952TU7</t>
  </si>
  <si>
    <t>MEN500027</t>
  </si>
  <si>
    <t xml:space="preserve">21 RUE DU COULAS à </t>
  </si>
  <si>
    <t>44.43575 ; 3.20072</t>
  </si>
  <si>
    <t>2025031102125T3C</t>
  </si>
  <si>
    <t>IMI-VA-40123/01KM-1</t>
  </si>
  <si>
    <t>43.80824 ; -1.11019</t>
  </si>
  <si>
    <t>2025031200996TIK</t>
  </si>
  <si>
    <t>IMI-VA-40037/005W-1</t>
  </si>
  <si>
    <t xml:space="preserve"> 43.85605 ; -0.51790</t>
  </si>
  <si>
    <t>2025031201456TY6</t>
  </si>
  <si>
    <t>44.27262 ; 2.67851</t>
  </si>
  <si>
    <t>2025031401644TZS</t>
  </si>
  <si>
    <t>ROD500410</t>
  </si>
  <si>
    <t xml:space="preserve"> IMP DU CHAMP GRAND</t>
  </si>
  <si>
    <t>44.0925143592649, 2.7102325227736763</t>
  </si>
  <si>
    <t>2025031600138TKQ</t>
  </si>
  <si>
    <t>ROD500348</t>
  </si>
  <si>
    <t xml:space="preserve"> SAINT HIPPOLYTE</t>
  </si>
  <si>
    <t>6033 PL DE LA SAINT LUNDI</t>
  </si>
  <si>
    <t>44.71706416916687, 2.5515288160619076</t>
  </si>
  <si>
    <t>2025031701104TLN</t>
  </si>
  <si>
    <t>ROD40270</t>
  </si>
  <si>
    <t xml:space="preserve"> QUINS</t>
  </si>
  <si>
    <t>9 CH DU CROUP</t>
  </si>
  <si>
    <t>44.21952724730215, 2.3770648776295333</t>
  </si>
  <si>
    <t>2025031702219T2K</t>
  </si>
  <si>
    <t>MEN400252</t>
  </si>
  <si>
    <t xml:space="preserve">LD CIVERGOLS </t>
  </si>
  <si>
    <t>44.815404954827514, 3.2976982429175843</t>
  </si>
  <si>
    <t>2025031801111T1I</t>
  </si>
  <si>
    <t>MEN500058</t>
  </si>
  <si>
    <t>VIALAS</t>
  </si>
  <si>
    <t xml:space="preserve">5078 LD LIBOURETTE </t>
  </si>
  <si>
    <t>44.3309555080191, 3.8895332177411146</t>
  </si>
  <si>
    <t>2025031801799TUO</t>
  </si>
  <si>
    <t xml:space="preserve"> IMI-VA-40123/01LD-1</t>
  </si>
  <si>
    <t>82 ch de maisonnave</t>
  </si>
  <si>
    <t>43.8053664832443, -1.1228832054724973</t>
  </si>
  <si>
    <t>2025031901074T3D</t>
  </si>
  <si>
    <t>MEN500048</t>
  </si>
  <si>
    <t>21 RUE DU COULAS</t>
  </si>
  <si>
    <t>44.43574424021764, 3.200718014034537</t>
  </si>
  <si>
    <t>2025032000245TBB</t>
  </si>
  <si>
    <t>ROD500378</t>
  </si>
  <si>
    <t xml:space="preserve">1200 RTE DE PEYRAT </t>
  </si>
  <si>
    <t>44.85694 ; 2.64371</t>
  </si>
  <si>
    <t>2025032000367TFR</t>
  </si>
  <si>
    <t>MEN500162</t>
  </si>
  <si>
    <t xml:space="preserve">LE VILLAGE </t>
  </si>
  <si>
    <t>44.61204 ; 3.42225</t>
  </si>
  <si>
    <t xml:space="preserve"> 2025032100646T0N</t>
  </si>
  <si>
    <t>MEN500128</t>
  </si>
  <si>
    <t>Cans et Cévennes</t>
  </si>
  <si>
    <t>LD MIJAVOLS</t>
  </si>
  <si>
    <t xml:space="preserve">44.31503 ; 3.69848 </t>
  </si>
  <si>
    <t>2025032001378TTU</t>
  </si>
  <si>
    <t>ROD500331</t>
  </si>
  <si>
    <t>SAINT JEAN D ALCAPIES</t>
  </si>
  <si>
    <t xml:space="preserve">ALCAPIES </t>
  </si>
  <si>
    <t>43.95116 ; 2.97391</t>
  </si>
  <si>
    <t>2025032701554TAQ</t>
  </si>
  <si>
    <t xml:space="preserve">ROD500159 </t>
  </si>
  <si>
    <t>ROUTE DE LA RETENUE</t>
  </si>
  <si>
    <t>44.21146 ; 2.70937</t>
  </si>
  <si>
    <t>2025032701959TAI</t>
  </si>
  <si>
    <t>ROD500407</t>
  </si>
  <si>
    <t xml:space="preserve">LD MONTCHAUSSON </t>
  </si>
  <si>
    <t>44.70453 ; 2.68028</t>
  </si>
  <si>
    <t>2025033101020TYX</t>
  </si>
  <si>
    <t>MEN500141</t>
  </si>
  <si>
    <t xml:space="preserve"> RTE DE JAVOLS</t>
  </si>
  <si>
    <t>44.67131 ; 3.30934</t>
  </si>
  <si>
    <t>2025033101038T0I</t>
  </si>
  <si>
    <t xml:space="preserve">ROD500337 </t>
  </si>
  <si>
    <t xml:space="preserve">CRANSAC </t>
  </si>
  <si>
    <t>CITE AUFFET</t>
  </si>
  <si>
    <t>44.52121 ; 2.28054</t>
  </si>
  <si>
    <t>2025040300880TKH</t>
  </si>
  <si>
    <t xml:space="preserve">ROD500523 </t>
  </si>
  <si>
    <t xml:space="preserve">1 IMPASSE DU CIMETIERE </t>
  </si>
  <si>
    <t>44.569470, 2.592580</t>
  </si>
  <si>
    <t>2025041100865TYL</t>
  </si>
  <si>
    <t>IMI-VA-64122/02WK</t>
  </si>
  <si>
    <t xml:space="preserve"> BIARRITZ </t>
  </si>
  <si>
    <t xml:space="preserve"> RUE LAVIGERIE</t>
  </si>
  <si>
    <t>43.48899 ; -1.55252</t>
  </si>
  <si>
    <t>2025041100920T3B</t>
  </si>
  <si>
    <t>ROD500552</t>
  </si>
  <si>
    <t xml:space="preserve">R DES ECOLES </t>
  </si>
  <si>
    <t>44.39794 ; 2.70461</t>
  </si>
  <si>
    <t>2025041101500THW</t>
  </si>
  <si>
    <t>MEN500194</t>
  </si>
  <si>
    <t xml:space="preserve"> CHANAC</t>
  </si>
  <si>
    <t xml:space="preserve">CH DU SOUGAYO </t>
  </si>
  <si>
    <t>44.47762 ; 3.33295</t>
  </si>
  <si>
    <t>2025041400360TNN</t>
  </si>
  <si>
    <t>La Salle-Prunet</t>
  </si>
  <si>
    <t>Florac Trois Rivières</t>
  </si>
  <si>
    <t>44.31560 ; 3.60718</t>
  </si>
  <si>
    <t>2025041400879TZX</t>
  </si>
  <si>
    <t>IMI-VA-40279/15SV-1</t>
  </si>
  <si>
    <t>Saint-Paul-lès-Dax</t>
  </si>
  <si>
    <t>Rte de Castets à Saint-Paul-lès-Dax</t>
  </si>
  <si>
    <t>43.77627555064047 ; -1.0696047812503116</t>
  </si>
  <si>
    <t>2025041401387TVE</t>
  </si>
  <si>
    <t>IMI-VA-40123/01O6-1</t>
  </si>
  <si>
    <t>Rte de Jacquelous</t>
  </si>
  <si>
    <t>43.8222633 ; -1.287806</t>
  </si>
  <si>
    <t>2025041500486T0D</t>
  </si>
  <si>
    <t>Mées</t>
  </si>
  <si>
    <t>Route d'ardy</t>
  </si>
  <si>
    <t>43.72127592425195 ; -1.124048580514464</t>
  </si>
  <si>
    <t>2025041501002T5E</t>
  </si>
  <si>
    <t xml:space="preserve">ROD500390 </t>
  </si>
  <si>
    <t xml:space="preserve"> Camjag</t>
  </si>
  <si>
    <t xml:space="preserve">Frayssinhes </t>
  </si>
  <si>
    <t>44.17949 ; 2.41330</t>
  </si>
  <si>
    <t>2025041501103TOJ</t>
  </si>
  <si>
    <t>MEN400430</t>
  </si>
  <si>
    <t>Sainte-Croix-Vallée-Française</t>
  </si>
  <si>
    <t>44.182278 ; 3.741028</t>
  </si>
  <si>
    <t>2025041501533TU3</t>
  </si>
  <si>
    <t>Termes</t>
  </si>
  <si>
    <t>Fenestres</t>
  </si>
  <si>
    <t>44.8401723661435 ; 3.190642132008004</t>
  </si>
  <si>
    <t>2025041501931TKP</t>
  </si>
  <si>
    <t xml:space="preserve">ROD500481 </t>
  </si>
  <si>
    <t xml:space="preserve"> Bozouls</t>
  </si>
  <si>
    <t xml:space="preserve">Arsène Ratier </t>
  </si>
  <si>
    <t> 44.47042 ; 2.72424</t>
  </si>
  <si>
    <t>2025041600353T3R</t>
  </si>
  <si>
    <t xml:space="preserve">ROD500525 </t>
  </si>
  <si>
    <t>Cornus</t>
  </si>
  <si>
    <t>RUE DE LA TRIVALLE</t>
  </si>
  <si>
    <t>43.90127976 ; 3.17790266</t>
  </si>
  <si>
    <t>2025041600651TPE</t>
  </si>
  <si>
    <t xml:space="preserve">MEN500186 </t>
  </si>
  <si>
    <t xml:space="preserve">RTE DE MONTMIRAT </t>
  </si>
  <si>
    <t>44.48396 ; 3.53892</t>
  </si>
  <si>
    <t>2025041600799TOA</t>
  </si>
  <si>
    <t>ROD500214</t>
  </si>
  <si>
    <t>169 Rte de Lespinassole</t>
  </si>
  <si>
    <t xml:space="preserve"> 44.16010 ; 2.27114</t>
  </si>
  <si>
    <t>2025041600904TXQ</t>
  </si>
  <si>
    <t>ROD401283</t>
  </si>
  <si>
    <t>Sorgues</t>
  </si>
  <si>
    <t>43.87741 ; 3.20510</t>
  </si>
  <si>
    <t>2025041601044THO</t>
  </si>
  <si>
    <t>MEN500208</t>
  </si>
  <si>
    <t xml:space="preserve"> Peyre en Aubrac</t>
  </si>
  <si>
    <t xml:space="preserve"> RTE DU LANGUEDOC </t>
  </si>
  <si>
    <t>44.70755 ; 3.28203</t>
  </si>
  <si>
    <t>2025041701287TXY</t>
  </si>
  <si>
    <t>MEN500187</t>
  </si>
  <si>
    <t>Saint-Sauveur-de-Peyre</t>
  </si>
  <si>
    <t>44.63274 ; 3.28784</t>
  </si>
  <si>
    <t>2025041701488TQY</t>
  </si>
  <si>
    <t>Bel-Air-Val-d'Ance</t>
  </si>
  <si>
    <t>27 Place des Chirac</t>
  </si>
  <si>
    <t>44.8529897 ; 3.6593933</t>
  </si>
  <si>
    <t>2025041800322TCH</t>
  </si>
  <si>
    <t xml:space="preserve">ROD500122 </t>
  </si>
  <si>
    <t>Laguiole</t>
  </si>
  <si>
    <t>Le Chalet de la Source</t>
  </si>
  <si>
    <t>44.67454 ; 2.91265</t>
  </si>
  <si>
    <t>2025041800553T6X</t>
  </si>
  <si>
    <t xml:space="preserve">RUE DU RAVIN </t>
  </si>
  <si>
    <t>44.16814 ; 3.11545</t>
  </si>
  <si>
    <t>2025042300290TUS</t>
  </si>
  <si>
    <t>ROD500206</t>
  </si>
  <si>
    <t>Réquista</t>
  </si>
  <si>
    <t>Bellevue</t>
  </si>
  <si>
    <t>44.036273 ; 2.577367</t>
  </si>
  <si>
    <t>2025042300447TC2</t>
  </si>
  <si>
    <t>MEN500021</t>
  </si>
  <si>
    <t>Canourgue</t>
  </si>
  <si>
    <t xml:space="preserve"> 48500 Rouges Parets</t>
  </si>
  <si>
    <t>44.39809,3.22489</t>
  </si>
  <si>
    <t>2025042400424TSF</t>
  </si>
  <si>
    <t>ROD500553</t>
  </si>
  <si>
    <t>Saint-Sever-du-Moustier</t>
  </si>
  <si>
    <t>12370 Cantemerle</t>
  </si>
  <si>
    <t>43.76602 ; 2.69332</t>
  </si>
  <si>
    <t>2025042401434TC8</t>
  </si>
  <si>
    <t>IMI-VA-40123/01O4-1</t>
  </si>
  <si>
    <t>1958 Rte du Marquis</t>
  </si>
  <si>
    <t>43.82211 ; -1.12439</t>
  </si>
  <si>
    <t>2025042500377TYV</t>
  </si>
  <si>
    <t>ROD500134</t>
  </si>
  <si>
    <t>Naucelle</t>
  </si>
  <si>
    <t>Lot. les Bourgnounets</t>
  </si>
  <si>
    <t>44.19446,2.34526</t>
  </si>
  <si>
    <t>2025042501366TXH</t>
  </si>
  <si>
    <t xml:space="preserve"> LE BOUYSSONIS</t>
  </si>
  <si>
    <t>44.17145 ; 2.52283</t>
  </si>
  <si>
    <t>2025042801739T5O</t>
  </si>
  <si>
    <t>MEN500209</t>
  </si>
  <si>
    <t>Arzenc-de-Randon</t>
  </si>
  <si>
    <t>La fage</t>
  </si>
  <si>
    <t>44.62748,3.65357</t>
  </si>
  <si>
    <t>2025043000337T7D</t>
  </si>
  <si>
    <t>MEN500196</t>
  </si>
  <si>
    <t>Les Bondons</t>
  </si>
  <si>
    <t>Les Badieux</t>
  </si>
  <si>
    <t>44.42546 ; 3.63378</t>
  </si>
  <si>
    <t>2025042901390TRI</t>
  </si>
  <si>
    <t>ROD401797</t>
  </si>
  <si>
    <t xml:space="preserve">SENERGUES </t>
  </si>
  <si>
    <t xml:space="preserve">105 CHE DE PRACAMPS </t>
  </si>
  <si>
    <t>44.60912 ; 2.47328</t>
  </si>
  <si>
    <t>2025042901504TMO</t>
  </si>
  <si>
    <t>ROD402002</t>
  </si>
  <si>
    <t>SALMIECH </t>
  </si>
  <si>
    <t>44.213593, 2.603860</t>
  </si>
  <si>
    <t>2025043000539TJJ</t>
  </si>
  <si>
    <t>IMI-VA-40178/0076-1</t>
  </si>
  <si>
    <t>425 impasse des genets</t>
  </si>
  <si>
    <t>43.87711,-0.42998</t>
  </si>
  <si>
    <t>2025043000698TKC</t>
  </si>
  <si>
    <t>IMI-VA-40123/01PG-2</t>
  </si>
  <si>
    <t>59 CHEMIN DE LA GRANGE</t>
  </si>
  <si>
    <t>43.79512,-1.11333</t>
  </si>
  <si>
    <t xml:space="preserve">2025043001388TM9 </t>
  </si>
  <si>
    <t>MEN500210</t>
  </si>
  <si>
    <t xml:space="preserve"> Saint-Gal</t>
  </si>
  <si>
    <t>Choisinets</t>
  </si>
  <si>
    <t>44.65714,3.42589</t>
  </si>
  <si>
    <t>2025050200201TJK</t>
  </si>
  <si>
    <t>43.812281961030706,-1.0722300487284024</t>
  </si>
  <si>
    <t>2025050200259TWO</t>
  </si>
  <si>
    <t xml:space="preserve">MARVEJOLS </t>
  </si>
  <si>
    <t xml:space="preserve"> 9 R JULES DAUDE </t>
  </si>
  <si>
    <t>44.553128 ; 3.291351</t>
  </si>
  <si>
    <t>2025050200338TGE</t>
  </si>
  <si>
    <t>44.15658,3.09100</t>
  </si>
  <si>
    <t>2025050200650TRX</t>
  </si>
  <si>
    <t xml:space="preserve">ROD500031 </t>
  </si>
  <si>
    <t>44.04447,2.48924</t>
  </si>
  <si>
    <t>2025050500299TXL</t>
  </si>
  <si>
    <t>44.31634 ; 2.55464</t>
  </si>
  <si>
    <t>2025050500507T2G</t>
  </si>
  <si>
    <t>IMI-VA-40114/006F-1</t>
  </si>
  <si>
    <t>Gourbera</t>
  </si>
  <si>
    <t>882 Rte de Herm</t>
  </si>
  <si>
    <t>43.80774,-1.05954</t>
  </si>
  <si>
    <t>2025050500873TCL</t>
  </si>
  <si>
    <t>IMI-VA-40114/018J-1</t>
  </si>
  <si>
    <t>3490 RTE DE CASTET</t>
  </si>
  <si>
    <t>43.782897, -1.071880</t>
  </si>
  <si>
    <t>2025050501137TCT</t>
  </si>
  <si>
    <t>IMI-VA-40123/01PI-1</t>
  </si>
  <si>
    <t>165 CHEMIN DE LA GRANGE</t>
  </si>
  <si>
    <t>43.795228, -1.113309</t>
  </si>
  <si>
    <t>2025050501391TRV</t>
  </si>
  <si>
    <t>43.750472, -1.143444</t>
  </si>
  <si>
    <t>2025050600306TK8</t>
  </si>
  <si>
    <t>IMI-VA-40279/15MJ-1</t>
  </si>
  <si>
    <t>4548 av des lacs</t>
  </si>
  <si>
    <t>43.74714,-1.13431</t>
  </si>
  <si>
    <t>2025050600480TDS</t>
  </si>
  <si>
    <t>ROD500561</t>
  </si>
  <si>
    <t>44.01689 ; 2.80330</t>
  </si>
  <si>
    <t>2025050600739TQF</t>
  </si>
  <si>
    <t>MEN500224</t>
  </si>
  <si>
    <t>44.79010,3.39934</t>
  </si>
  <si>
    <t>2025050600804T6K</t>
  </si>
  <si>
    <t>ROD500643</t>
  </si>
  <si>
    <t xml:space="preserve">	317 ROUTE DE NOYES</t>
  </si>
  <si>
    <t>44.26323,2.45508</t>
  </si>
  <si>
    <t>2025050600845T8V</t>
  </si>
  <si>
    <t>ROD500575</t>
  </si>
  <si>
    <t>1 CHEMIN AL GARRIC</t>
  </si>
  <si>
    <t xml:space="preserve"> 44.56821,2.35702</t>
  </si>
  <si>
    <t>2025050800229T3E</t>
  </si>
  <si>
    <t>MEN500185</t>
  </si>
  <si>
    <t>RTE DU VIALA</t>
  </si>
  <si>
    <t>44.36720,3.73636</t>
  </si>
  <si>
    <t>2025051200244TFN</t>
  </si>
  <si>
    <t>IMI-VA-40123/01P3-1</t>
  </si>
  <si>
    <t>884 AV HOSSELEYRE</t>
  </si>
  <si>
    <t>43.797300, -1.138050</t>
  </si>
  <si>
    <t>2025051200394T4K</t>
  </si>
  <si>
    <t xml:space="preserve"> 43.72451,-1.11013</t>
  </si>
  <si>
    <t>2025051200738TNB</t>
  </si>
  <si>
    <t>ROD500389</t>
  </si>
  <si>
    <t>3178 RTE DE LAX</t>
  </si>
  <si>
    <t>44.30867,2.49063</t>
  </si>
  <si>
    <t>2025051401202T3N</t>
  </si>
  <si>
    <t>43.48886,-1.55276</t>
  </si>
  <si>
    <t>2025051500418TMP</t>
  </si>
  <si>
    <t>ROD500584</t>
  </si>
  <si>
    <t>44.02570,3.35508</t>
  </si>
  <si>
    <t>2025051600903TMT</t>
  </si>
  <si>
    <t>ROD500680</t>
  </si>
  <si>
    <t xml:space="preserve">	1 IMP DU CAYROU</t>
  </si>
  <si>
    <t>44.444516, 2.727303</t>
  </si>
  <si>
    <t>2025051901821TTU</t>
  </si>
  <si>
    <t>44.33239 ; 2.99587</t>
  </si>
  <si>
    <t>2025052001591T6K</t>
  </si>
  <si>
    <t>MEN500238</t>
  </si>
  <si>
    <t>Crueize</t>
  </si>
  <si>
    <t>44.635810, 3.257100</t>
  </si>
  <si>
    <t>2025052100398T7Y</t>
  </si>
  <si>
    <t>ROD500614</t>
  </si>
  <si>
    <t>2171 RTE DU LAGAST</t>
  </si>
  <si>
    <t>44.14542 ; 2.58362</t>
  </si>
  <si>
    <t>2025052100730T2D</t>
  </si>
  <si>
    <t>44.378208251902656, 3.550517457452516</t>
  </si>
  <si>
    <t>2025052101565TX5</t>
  </si>
  <si>
    <t>MEN500144</t>
  </si>
  <si>
    <t>ANTRENAS</t>
  </si>
  <si>
    <t>LD FABREGES</t>
  </si>
  <si>
    <t>44.57557, 3.238525</t>
  </si>
  <si>
    <t>2025052200443TLI</t>
  </si>
  <si>
    <t>44.52971 ; 3.26398</t>
  </si>
  <si>
    <t>2025052201478T23</t>
  </si>
  <si>
    <t>ROD500703</t>
  </si>
  <si>
    <t>2 LIEU DIT LES GENEVRIERS</t>
  </si>
  <si>
    <t>44.10586 ; 2.68365</t>
  </si>
  <si>
    <t>2025052201722TLP</t>
  </si>
  <si>
    <t>ROD500707</t>
  </si>
  <si>
    <t>PEUX ET COUFFOULEUX</t>
  </si>
  <si>
    <t>468 CH DE LA BORIE DE SAINT MEEN</t>
  </si>
  <si>
    <t>43.75884 ; 2.86881</t>
  </si>
  <si>
    <t>2025052301299TSV</t>
  </si>
  <si>
    <t>ROD500668</t>
  </si>
  <si>
    <t>11 LOT SAPINIER</t>
  </si>
  <si>
    <t>44.83212 ; 2.6643</t>
  </si>
  <si>
    <t>2025052301451TY3</t>
  </si>
  <si>
    <t>ROD500672</t>
  </si>
  <si>
    <t xml:space="preserve"> LA SELVE</t>
  </si>
  <si>
    <t>230 RTE DE LA LANDETTE</t>
  </si>
  <si>
    <t>44.087435, 2.550493</t>
  </si>
  <si>
    <t>2025052601126TLH</t>
  </si>
  <si>
    <t>ROD500549</t>
  </si>
  <si>
    <t>LE CAMP DEL RIOU</t>
  </si>
  <si>
    <t>44.19379 ; 2.34890</t>
  </si>
  <si>
    <t>2025052601143TMB</t>
  </si>
  <si>
    <t>MEN500252</t>
  </si>
  <si>
    <t>LD CORREJAC</t>
  </si>
  <si>
    <t>44.465454, 3.214002</t>
  </si>
  <si>
    <t>2025052701301TVW</t>
  </si>
  <si>
    <t>MEN500254</t>
  </si>
  <si>
    <t>RTE DU VAL DE COLAGNE</t>
  </si>
  <si>
    <t>44.51854 ; 3.26326</t>
  </si>
  <si>
    <t>2025052701829TKX</t>
  </si>
  <si>
    <t>MEN500287</t>
  </si>
  <si>
    <t xml:space="preserve"> R JEAN CHASTEL</t>
  </si>
  <si>
    <t>44.793126, 3.281561</t>
  </si>
  <si>
    <t>2025053000167TSA</t>
  </si>
  <si>
    <t>MEN500260</t>
  </si>
  <si>
    <t>AUMONT AUBRAC</t>
  </si>
  <si>
    <t>10 CH D AUBIGEYRES</t>
  </si>
  <si>
    <t>44.67127560, 3.30941691068</t>
  </si>
  <si>
    <t>2025053000308TNH</t>
  </si>
  <si>
    <t>44.011130, 2.963290</t>
  </si>
  <si>
    <t>2025053000495T33</t>
  </si>
  <si>
    <t>ROD500714</t>
  </si>
  <si>
    <t>28 AV RESISTANTS SEVERAC LE CHATEAU</t>
  </si>
  <si>
    <t>44.31853 ; 3.07337</t>
  </si>
  <si>
    <t>2025060200331TFV</t>
  </si>
  <si>
    <t>MEN500263</t>
  </si>
  <si>
    <t>5166 LD LE CROS</t>
  </si>
  <si>
    <t xml:space="preserve"> 44.37729 ; 3.63177</t>
  </si>
  <si>
    <t>2025060200409TCH</t>
  </si>
  <si>
    <t>ROD401804</t>
  </si>
  <si>
    <t>409 CH DES VIGNES</t>
  </si>
  <si>
    <t>44.531801, 2.100252</t>
  </si>
  <si>
    <t>2025060401561TZT</t>
  </si>
  <si>
    <t>43.83352 ; 2.95835</t>
  </si>
  <si>
    <t>2025060400692TDM</t>
  </si>
  <si>
    <t xml:space="preserve">ROD500621 </t>
  </si>
  <si>
    <t>44.08720200655849, 2.703143506922504</t>
  </si>
  <si>
    <t>2025060400820TBQ</t>
  </si>
  <si>
    <t>ROD500781</t>
  </si>
  <si>
    <t>1 IMPASSE DU CIMETIERE</t>
  </si>
  <si>
    <t>44.56925 ; 2.59287</t>
  </si>
  <si>
    <t>2025060401025TPI</t>
  </si>
  <si>
    <t>IMI-VA-40037/001R-1</t>
  </si>
  <si>
    <t>43.825650, -0.531947</t>
  </si>
  <si>
    <t>2025060900129TXS</t>
  </si>
  <si>
    <t>MEN500304</t>
  </si>
  <si>
    <t>ALTIER</t>
  </si>
  <si>
    <t>Chemin des Estious</t>
  </si>
  <si>
    <t>44.45883 ; 3.85725</t>
  </si>
  <si>
    <t>2025061001797TZQ</t>
  </si>
  <si>
    <t>MDM301371</t>
  </si>
  <si>
    <t>10 RTE LOUSTALAS</t>
  </si>
  <si>
    <t>43.917710, -0.607370</t>
  </si>
  <si>
    <t>2025061000570TH6</t>
  </si>
  <si>
    <t>44.75535 ; 2.61203</t>
  </si>
  <si>
    <t>2025061001754TNF</t>
  </si>
  <si>
    <t>44.212140, 2.814700</t>
  </si>
  <si>
    <t>2025061200926TWL</t>
  </si>
  <si>
    <t>Lieu dit Gourgons</t>
  </si>
  <si>
    <t>44.60104 ; 3.66756</t>
  </si>
  <si>
    <t>2025061200657TT6</t>
  </si>
  <si>
    <t>MEN500016</t>
  </si>
  <si>
    <t>SAINT HILAIRE DE LAVIT</t>
  </si>
  <si>
    <t xml:space="preserve">VALBONNE </t>
  </si>
  <si>
    <t>44.255160, 3.879280</t>
  </si>
  <si>
    <t>2025061200879TDD</t>
  </si>
  <si>
    <t>44.929310, 3.308720</t>
  </si>
  <si>
    <t>2025061200745T1H</t>
  </si>
  <si>
    <t>IMI-VA-40280/00CB-1</t>
  </si>
  <si>
    <t>ROUTE DE TOINE</t>
  </si>
  <si>
    <t>43.89868 ; -0.61511</t>
  </si>
  <si>
    <t>2025061301057TXD</t>
  </si>
  <si>
    <t xml:space="preserve"> N/C</t>
  </si>
  <si>
    <t xml:space="preserve">ROD500827 </t>
  </si>
  <si>
    <t xml:space="preserve">BRIOLS </t>
  </si>
  <si>
    <t>43.85943 ; 2.84443</t>
  </si>
  <si>
    <t>2025061301103TSN</t>
  </si>
  <si>
    <t xml:space="preserve">ROD500787 </t>
  </si>
  <si>
    <t xml:space="preserve">COUBISOU </t>
  </si>
  <si>
    <t xml:space="preserve"> ROUTE DE LACAZE </t>
  </si>
  <si>
    <t>44.56227 ; 2.70958</t>
  </si>
  <si>
    <t>2025061301318TKZ</t>
  </si>
  <si>
    <t>43.81740 ; 2.75568</t>
  </si>
  <si>
    <t>2025061301390TOS</t>
  </si>
  <si>
    <t>IMI-VA-64024/035M-1</t>
  </si>
  <si>
    <t>43.504160, -1.504660</t>
  </si>
  <si>
    <t>2025061600573TP9</t>
  </si>
  <si>
    <t>43.425370, -1.604280</t>
  </si>
  <si>
    <t>2025061600680TD3</t>
  </si>
  <si>
    <t>Camjac</t>
  </si>
  <si>
    <t>708 Rte de la Boule</t>
  </si>
  <si>
    <t>44.183620, 2.368170</t>
  </si>
  <si>
    <t>2025061600762TUP</t>
  </si>
  <si>
    <t>IMI-VA-64125-01NO-1</t>
  </si>
  <si>
    <t>AVENUE CHABADENIA</t>
  </si>
  <si>
    <t>43.441580, -1.586520</t>
  </si>
  <si>
    <t>2025061700528TOK</t>
  </si>
  <si>
    <t>IMI-VA-40279-15O1-1</t>
  </si>
  <si>
    <t>782 ALL DU CHATEAU</t>
  </si>
  <si>
    <t>43.73998 ; -1.09663</t>
  </si>
  <si>
    <t>2025061700597TL4</t>
  </si>
  <si>
    <t>IMI-VA-40283-11QI</t>
  </si>
  <si>
    <t>160 ROUTE DE GORDES</t>
  </si>
  <si>
    <t>43.754512,-0.995911</t>
  </si>
  <si>
    <t>2025061700683T4Q</t>
  </si>
  <si>
    <t>MEN500332</t>
  </si>
  <si>
    <t>LD CAUQUENAS</t>
  </si>
  <si>
    <t>2025061700795TY0</t>
  </si>
  <si>
    <t>MEN500320</t>
  </si>
  <si>
    <t>36 AV DU GEVAUDAN</t>
  </si>
  <si>
    <t>44.722130, 3.848130</t>
  </si>
  <si>
    <t>2025061700889TKT</t>
  </si>
  <si>
    <t>44.23168 ; 2.04927</t>
  </si>
  <si>
    <t>2025061700941T0R</t>
  </si>
  <si>
    <t>43.51654 ; -1.52531</t>
  </si>
  <si>
    <t>2025061700968TGI</t>
  </si>
  <si>
    <t>MDM201114(DT2)</t>
  </si>
  <si>
    <t>43.927344, -0.652923</t>
  </si>
  <si>
    <t>2025061701622TWP</t>
  </si>
  <si>
    <t>MEN500331</t>
  </si>
  <si>
    <t>9 RTE DE NAUSSAC</t>
  </si>
  <si>
    <t>44.72363 ; 3.84298</t>
  </si>
  <si>
    <t>2025061701698T6Q</t>
  </si>
  <si>
    <t>ROD500840</t>
  </si>
  <si>
    <t>IMP DU CLAUX</t>
  </si>
  <si>
    <t>44.24894 ; 2.45287</t>
  </si>
  <si>
    <t>2025061701799T7W</t>
  </si>
  <si>
    <t xml:space="preserve">ROD500878 </t>
  </si>
  <si>
    <t>LE NAYRAC </t>
  </si>
  <si>
    <t>44.60962 ; 2.66611</t>
  </si>
  <si>
    <t>2025061800542TMZ</t>
  </si>
  <si>
    <t>IMI-VA-40279/15Q0-1</t>
  </si>
  <si>
    <t>613 ROUTE DE HERM</t>
  </si>
  <si>
    <t>43.76693 ; -1.0717</t>
  </si>
  <si>
    <t>2025061801224TDZ</t>
  </si>
  <si>
    <t>44.39868 ; 3.75044</t>
  </si>
  <si>
    <t>2025061900436T85</t>
  </si>
  <si>
    <t xml:space="preserve">ROD500889 </t>
  </si>
  <si>
    <t>2025061801494TVN</t>
  </si>
  <si>
    <t>43.680808 -0.647345</t>
  </si>
  <si>
    <t>2025061801537TIO</t>
  </si>
  <si>
    <t>44.469335,-1.074981</t>
  </si>
  <si>
    <t>2025061900553TW8</t>
  </si>
  <si>
    <t>43.74754 ; -1.05825</t>
  </si>
  <si>
    <t>2025061900603TKZ</t>
  </si>
  <si>
    <t xml:space="preserve">IMI-VA-40301/014A-1 </t>
  </si>
  <si>
    <t>1229 LA PLAINE DU VIGNAU</t>
  </si>
  <si>
    <t>43.652220, -1.142700</t>
  </si>
  <si>
    <t>2025061901129TBV</t>
  </si>
  <si>
    <t>IMI-VA-40114/018J-2</t>
  </si>
  <si>
    <t>3490 ROUTE DE CASTETS</t>
  </si>
  <si>
    <t>43.78295 ;- 1.07237</t>
  </si>
  <si>
    <t>2025061901253TC5</t>
  </si>
  <si>
    <t>LIEU DIT LE PUECH</t>
  </si>
  <si>
    <t xml:space="preserve"> 44.213622, 3.668234</t>
  </si>
  <si>
    <t>2025061901317TZG</t>
  </si>
  <si>
    <t>44.63051 ; 4.08974</t>
  </si>
  <si>
    <t>2025061901409TSW</t>
  </si>
  <si>
    <t>44.72396 ; 3.85704</t>
  </si>
  <si>
    <t>2025062300879TUM</t>
  </si>
  <si>
    <t>ROD500885 </t>
  </si>
  <si>
    <t>44.51357 ; 2.90518</t>
  </si>
  <si>
    <t>2025062300912TNP</t>
  </si>
  <si>
    <t>IMI-VA-64024/0881-1</t>
  </si>
  <si>
    <t>103 RUE 4 CANTONS</t>
  </si>
  <si>
    <t>43.48824 ; -1.52771</t>
  </si>
  <si>
    <t>2025062300926TGT</t>
  </si>
  <si>
    <t>44.51540 ; 2.80967</t>
  </si>
  <si>
    <t>2025062300946T30</t>
  </si>
  <si>
    <t>IMI-VA-40283/11YK-1</t>
  </si>
  <si>
    <t>696 CHEMIN DE LA HOUN DOU CORN</t>
  </si>
  <si>
    <t>43.75448 ; -1.01676</t>
  </si>
  <si>
    <t>2025062301141TSH</t>
  </si>
  <si>
    <t>44.01409432094544, 3.3044631404153</t>
  </si>
  <si>
    <t>2025062600750T8S</t>
  </si>
  <si>
    <t>QPR500782</t>
  </si>
  <si>
    <t>18B RUE LESTREVET POULOU</t>
  </si>
  <si>
    <t>47.895430, -4.295060</t>
  </si>
  <si>
    <t>2025070100442TBX</t>
  </si>
  <si>
    <t>44.22456 ; -1.10189</t>
  </si>
  <si>
    <t>2025062600813TIN</t>
  </si>
  <si>
    <t>QPR500797</t>
  </si>
  <si>
    <t>CAST</t>
  </si>
  <si>
    <t xml:space="preserve">	6B RTE DE MENGLEUS</t>
  </si>
  <si>
    <t>48.13243 ; -4.08460</t>
  </si>
  <si>
    <t>2025070100631TN6</t>
  </si>
  <si>
    <t>44.78800 ; 3.14168</t>
  </si>
  <si>
    <t>2025070100731TN7</t>
  </si>
  <si>
    <t>44.00809 ; 3.15510</t>
  </si>
  <si>
    <t>2025070100786TWG</t>
  </si>
  <si>
    <t xml:space="preserve">MEN500104 </t>
  </si>
  <si>
    <t>Avenue des Gorges du Tarn</t>
  </si>
  <si>
    <t>44.42668 ; 3.22273</t>
  </si>
  <si>
    <t>2025070100987T2V</t>
  </si>
  <si>
    <t>IMI-VA-40179/02TF-1</t>
  </si>
  <si>
    <t>1145 RTE DE DAX</t>
  </si>
  <si>
    <t>43.71128820551875,-1.0971677225650214</t>
  </si>
  <si>
    <t>2025070200834TJ2</t>
  </si>
  <si>
    <t>QPR500726</t>
  </si>
  <si>
    <t>39 RUE AR MEINEIER</t>
  </si>
  <si>
    <t>47.80952 ; -4.28600</t>
  </si>
  <si>
    <t>2025070200878TEP</t>
  </si>
  <si>
    <t>QPR500650</t>
  </si>
  <si>
    <t xml:space="preserve">	2B RUE COROT</t>
  </si>
  <si>
    <t>48.019180, -4.547970</t>
  </si>
  <si>
    <t>2025070400793TKN</t>
  </si>
  <si>
    <t>IMI-VA-40320/004X-1</t>
  </si>
  <si>
    <t>1330 ROUTE DE LA BASE</t>
  </si>
  <si>
    <t>43.922540, -0.546490</t>
  </si>
  <si>
    <t>2025070400554T97</t>
  </si>
  <si>
    <t>ROD500924</t>
  </si>
  <si>
    <t>MAYRES</t>
  </si>
  <si>
    <t>44.008058, 3.155045</t>
  </si>
  <si>
    <t>2025070401070TTY</t>
  </si>
  <si>
    <t>ROD500923</t>
  </si>
  <si>
    <t xml:space="preserve"> BOUSSAC</t>
  </si>
  <si>
    <t>44.27146 ; 2.94270</t>
  </si>
  <si>
    <t>2025070400829THK</t>
  </si>
  <si>
    <t>IMI-VA-40123/01MN-1</t>
  </si>
  <si>
    <t>3583 ROUTE DE CLUQUELARDIT</t>
  </si>
  <si>
    <t>43.81297 ; -1.09165</t>
  </si>
  <si>
    <t>2025070700987TDS</t>
  </si>
  <si>
    <t>IMI-VL-64102/00BT-1</t>
  </si>
  <si>
    <t>6 rue de baltet</t>
  </si>
  <si>
    <t>43.48697 ; -1.48362</t>
  </si>
  <si>
    <t>2025070700998TR6</t>
  </si>
  <si>
    <t>43.48068 ; -1.51747</t>
  </si>
  <si>
    <t>2025070701450TGL</t>
  </si>
  <si>
    <t>QPR500865</t>
  </si>
  <si>
    <t xml:space="preserve">	2B IMP DU MOGUER</t>
  </si>
  <si>
    <t>47.86824 ; -4.11641</t>
  </si>
  <si>
    <t>2025070701677TRO</t>
  </si>
  <si>
    <t>TREFFIAGAT</t>
  </si>
  <si>
    <t>47.803800, -4.263230</t>
  </si>
  <si>
    <t>2025070701728TSA</t>
  </si>
  <si>
    <t xml:space="preserve">CONQUES EN ROUERGUE	</t>
  </si>
  <si>
    <t>44.60497 ; 2.40809</t>
  </si>
  <si>
    <t>2025070800798TOK</t>
  </si>
  <si>
    <t>MEN500361</t>
  </si>
  <si>
    <t>RTE DU MALZIEU</t>
  </si>
  <si>
    <t>44.80850 ; 3.28751</t>
  </si>
  <si>
    <t>2025071100386T5Y</t>
  </si>
  <si>
    <t>ROD501013</t>
  </si>
  <si>
    <t>44.47005 ; 2.72836</t>
  </si>
  <si>
    <t>2025071100534TOA</t>
  </si>
  <si>
    <t>QPR500594</t>
  </si>
  <si>
    <t>BEUZEC CAP SIZUN</t>
  </si>
  <si>
    <t>PL DE LA FORGE</t>
  </si>
  <si>
    <t>48.07670 ; -4.51157</t>
  </si>
  <si>
    <t>2025071100723TV4</t>
  </si>
  <si>
    <t>ROD401441</t>
  </si>
  <si>
    <t xml:space="preserve">LESCURE </t>
  </si>
  <si>
    <t>44.222360, 2.943250</t>
  </si>
  <si>
    <t>2025071100795TLO</t>
  </si>
  <si>
    <t>47.79735 ; -4.22266</t>
  </si>
  <si>
    <t>2025071100841TVK</t>
  </si>
  <si>
    <t>PLOGASTEL ST GERMAIN</t>
  </si>
  <si>
    <t>47.98765 ; -4.27353</t>
  </si>
  <si>
    <t>2025071100880TBG</t>
  </si>
  <si>
    <t>BULEON</t>
  </si>
  <si>
    <t>47.92098 ; -2.67736</t>
  </si>
  <si>
    <t>2025071100957TDY</t>
  </si>
  <si>
    <t>43.94523 ; 2.52380</t>
  </si>
  <si>
    <t>2025071101333TCE</t>
  </si>
  <si>
    <t>ROD500784</t>
  </si>
  <si>
    <t>RUE DE LA RAUNENQUE</t>
  </si>
  <si>
    <t>44.37151 ; 2.97249</t>
  </si>
  <si>
    <t>2025071601547TEA</t>
  </si>
  <si>
    <t>CRO500018</t>
  </si>
  <si>
    <t>TELGRUC SUR MER</t>
  </si>
  <si>
    <t>23 RUE FEUNTEN VEN</t>
  </si>
  <si>
    <t>48.23342 ; -4.35850</t>
  </si>
  <si>
    <t>2025071601426THT</t>
  </si>
  <si>
    <t>IMI-VA-40294/023F-1</t>
  </si>
  <si>
    <t>645 ROUTE DU CAMPAS</t>
  </si>
  <si>
    <t>43.663525493729644, -1.0134651052447081</t>
  </si>
  <si>
    <t>2025071801080TXM</t>
  </si>
  <si>
    <t>48.01770 ; -4.50783</t>
  </si>
  <si>
    <t>2025071801258TU3</t>
  </si>
  <si>
    <t>IMI-VA-40123/01O2-1</t>
  </si>
  <si>
    <t>2120 ROUTE DU MARQUIS</t>
  </si>
  <si>
    <t>43.82199 ; -1.12345</t>
  </si>
  <si>
    <t>2025072100488TUQ</t>
  </si>
  <si>
    <t>IMI-VA-40244/021R-1</t>
  </si>
  <si>
    <t>606 ROUTE LANDE DE MOUILLERAT</t>
  </si>
  <si>
    <t>43.68834 ; -1.15084</t>
  </si>
  <si>
    <t>2025072100588TKF</t>
  </si>
  <si>
    <t>MEN500388</t>
  </si>
  <si>
    <t>353 RTE DE LA MAIRIE</t>
  </si>
  <si>
    <t>44.73068 ; 3.59088</t>
  </si>
  <si>
    <t>2025072100659TXL</t>
  </si>
  <si>
    <t>VAN501266</t>
  </si>
  <si>
    <t>52 R DES BRUYERES</t>
  </si>
  <si>
    <t>47.48208 ; -3.13166</t>
  </si>
  <si>
    <t>2025072300753TIO</t>
  </si>
  <si>
    <t xml:space="preserve">IMI-VA-40088/0B6T-1 </t>
  </si>
  <si>
    <t>11 RUE DE BIARRITZ</t>
  </si>
  <si>
    <t>43.70380 ; -1.04524</t>
  </si>
  <si>
    <t>2025072300636TED</t>
  </si>
  <si>
    <t>ROD501087</t>
  </si>
  <si>
    <t>ST MAURICE</t>
  </si>
  <si>
    <t>44.10388 ; 2.63890</t>
  </si>
  <si>
    <t>2025072300777TD8</t>
  </si>
  <si>
    <t>PLUGUFFAN</t>
  </si>
  <si>
    <t>47.98244 ; -4.22985</t>
  </si>
  <si>
    <t>2025072400399TA0</t>
  </si>
  <si>
    <t xml:space="preserve">ROD401146 </t>
  </si>
  <si>
    <t xml:space="preserve"> RODEZ</t>
  </si>
  <si>
    <t>9 RUE DU GENERAL VIALA</t>
  </si>
  <si>
    <t>44.347764, 2.572322</t>
  </si>
  <si>
    <t>2025072501232THF</t>
  </si>
  <si>
    <t xml:space="preserve">BAY300774 </t>
  </si>
  <si>
    <t>URRUGNE</t>
  </si>
  <si>
    <t>191 ALLEE LORETAN</t>
  </si>
  <si>
    <t>43.37299 ; -1.67830</t>
  </si>
  <si>
    <t>2025072501022TXU</t>
  </si>
  <si>
    <t>VAN500973</t>
  </si>
  <si>
    <t>TREMOHAR</t>
  </si>
  <si>
    <t>47.63143 ; -2.56186</t>
  </si>
  <si>
    <t>2025072501244T0Z</t>
  </si>
  <si>
    <t>MDM400434</t>
  </si>
  <si>
    <t>ROUTE DE PAU</t>
  </si>
  <si>
    <t>44.02645 ; -0.32708</t>
  </si>
  <si>
    <t>2025072600049TSC</t>
  </si>
  <si>
    <t>48.140574, -3.573010</t>
  </si>
  <si>
    <t>2025080100488TPV</t>
  </si>
  <si>
    <t>ROD501110</t>
  </si>
  <si>
    <t>1321 RTE DE VABRE</t>
  </si>
  <si>
    <t>44.19600 ; 2.59976</t>
  </si>
  <si>
    <t>2025072800718TDO</t>
  </si>
  <si>
    <t>ROD501086</t>
  </si>
  <si>
    <t>10 IMPASSE CAMBELIO</t>
  </si>
  <si>
    <t>44.18750 ;3.12818</t>
  </si>
  <si>
    <t>2025072800734T68</t>
  </si>
  <si>
    <t>ROD500918</t>
  </si>
  <si>
    <t>572 R BEAU SOLEIL</t>
  </si>
  <si>
    <t>44.096028, 3.060110</t>
  </si>
  <si>
    <t>2025072801299TMI</t>
  </si>
  <si>
    <t>43.850080, 2.685110</t>
  </si>
  <si>
    <t>2025072801396TM1</t>
  </si>
  <si>
    <t>QPR501049</t>
  </si>
  <si>
    <t>20 R DE LA CROIX DONNART</t>
  </si>
  <si>
    <t>48.01769 ; -4.50782</t>
  </si>
  <si>
    <t>2025080400787T7Y</t>
  </si>
  <si>
    <t>44.47058 ; 2.72452</t>
  </si>
  <si>
    <t>2025080100682TQW</t>
  </si>
  <si>
    <t xml:space="preserve">QPR402118 </t>
  </si>
  <si>
    <t>47.84255 ; -4.28491</t>
  </si>
  <si>
    <t>2025080700405TIA</t>
  </si>
  <si>
    <t>44.05902 ; 2.65593</t>
  </si>
  <si>
    <t>2025080401074TPN</t>
  </si>
  <si>
    <t>ROD500089</t>
  </si>
  <si>
    <t>23 RUE DE LA SOURCE</t>
  </si>
  <si>
    <t xml:space="preserve"> 44.47732 ; 2.46471</t>
  </si>
  <si>
    <t>2025080600296TMF</t>
  </si>
  <si>
    <t>MEN500401</t>
  </si>
  <si>
    <t>12 LD LA FAGE</t>
  </si>
  <si>
    <t>44.62768 ; 3.65398</t>
  </si>
  <si>
    <t>2025080401031TXI</t>
  </si>
  <si>
    <t>44.36049 ; 2.52920</t>
  </si>
  <si>
    <t>2025080401145TCZ</t>
  </si>
  <si>
    <t>47.76303 ; -3.39620</t>
  </si>
  <si>
    <t>2025080500287TMA</t>
  </si>
  <si>
    <t>IMI-VA-40037/004G-1</t>
  </si>
  <si>
    <t>43.831667, -0.500278</t>
  </si>
  <si>
    <t>2025080500530TPO</t>
  </si>
  <si>
    <t>44.204050, 3.918540</t>
  </si>
  <si>
    <t>2025080600942TUR</t>
  </si>
  <si>
    <t>43.982407, -0.357788</t>
  </si>
  <si>
    <t>2025080600953TZR</t>
  </si>
  <si>
    <t>43.86908 ; -0.37746</t>
  </si>
  <si>
    <t>2025080700535TW2</t>
  </si>
  <si>
    <t>MEN500421</t>
  </si>
  <si>
    <t xml:space="preserve">LD LA CITERNE </t>
  </si>
  <si>
    <t>44.203291, 3.429228</t>
  </si>
  <si>
    <t>2025080700591T7Z</t>
  </si>
  <si>
    <t>BAY400536</t>
  </si>
  <si>
    <t>ONDRES</t>
  </si>
  <si>
    <t>470 CHE CANTINE</t>
  </si>
  <si>
    <t>43.55743 ; -1.45195</t>
  </si>
  <si>
    <t>2025080700597TDI</t>
  </si>
  <si>
    <t>IMI-VA-64102/049N-2</t>
  </si>
  <si>
    <t>188 AV DE NAVARRE</t>
  </si>
  <si>
    <t>43.51303 ; -1.43717</t>
  </si>
  <si>
    <t>2025080500448TDT</t>
  </si>
  <si>
    <t>43.67499 ; -0.37328</t>
  </si>
  <si>
    <t>2025080700963TQP</t>
  </si>
  <si>
    <t xml:space="preserve">ROD501160 </t>
  </si>
  <si>
    <t>44.56701 ; 2.59226</t>
  </si>
  <si>
    <t>2025080701136TOV</t>
  </si>
  <si>
    <t>44.18412 ; 2.79517</t>
  </si>
  <si>
    <t>2025080701167TJR</t>
  </si>
  <si>
    <t xml:space="preserve">ROD501175 </t>
  </si>
  <si>
    <t>44.09371 ;2.69749</t>
  </si>
  <si>
    <t>2025080800843TMV</t>
  </si>
  <si>
    <t>ROD501183</t>
  </si>
  <si>
    <t>44.22722 ; 2.51093</t>
  </si>
  <si>
    <t>2025081100222TAG</t>
  </si>
  <si>
    <t>47.84897 ; -3.83940</t>
  </si>
  <si>
    <t>2025081100607TAY</t>
  </si>
  <si>
    <t>GUILVINEC</t>
  </si>
  <si>
    <t>47.803020, -4.279260</t>
  </si>
  <si>
    <t>2025081200231TW9</t>
  </si>
  <si>
    <t>VAL D IZE</t>
  </si>
  <si>
    <t>+48.206899,-1.239434</t>
  </si>
  <si>
    <t>2025081200312T5Z</t>
  </si>
  <si>
    <t>44.64334 ; 3.39248</t>
  </si>
  <si>
    <t>2025081400310TSB</t>
  </si>
  <si>
    <t>LANGONNET</t>
  </si>
  <si>
    <t>48.10354 ; -3.51594</t>
  </si>
  <si>
    <t>2025081400256T5B</t>
  </si>
  <si>
    <t>ROD501197</t>
  </si>
  <si>
    <t>LA GRAILLERIE</t>
  </si>
  <si>
    <t>44.19212 ; 3.07259</t>
  </si>
  <si>
    <t>2025081400351TYR</t>
  </si>
  <si>
    <t>ROD501180</t>
  </si>
  <si>
    <t>43.89115 ; 2.58794</t>
  </si>
  <si>
    <t>2025081800316T5X</t>
  </si>
  <si>
    <t>43.85430 ; -0.41330</t>
  </si>
  <si>
    <t>2025081900508TUX</t>
  </si>
  <si>
    <t>LANVEOC</t>
  </si>
  <si>
    <t>48.28420 ; -4.46017</t>
  </si>
  <si>
    <t>2025082000220TQ3</t>
  </si>
  <si>
    <t>RRE501498</t>
  </si>
  <si>
    <t>BAINS SUR OUST</t>
  </si>
  <si>
    <t>1 LA LANDE DES 4 VENTS</t>
  </si>
  <si>
    <t>47.69933 ; -2.08890</t>
  </si>
  <si>
    <t>2025082100379T0T</t>
  </si>
  <si>
    <t>44.92561 ; 3.33079</t>
  </si>
  <si>
    <t>2025082100491TOO</t>
  </si>
  <si>
    <t>PAU300472</t>
  </si>
  <si>
    <t>R LASBARTHES</t>
  </si>
  <si>
    <t>43.14541 ; -0.50766</t>
  </si>
  <si>
    <t>2025082100514TRM</t>
  </si>
  <si>
    <t>RRE501416</t>
  </si>
  <si>
    <t xml:space="preserve">33B RUE DU PETIT BOIS </t>
  </si>
  <si>
    <t>48.12781 ; -1.59457</t>
  </si>
  <si>
    <t>2025082100643THP</t>
  </si>
  <si>
    <t>PAU400335</t>
  </si>
  <si>
    <t>RUE DU PIED DE LA COTE</t>
  </si>
  <si>
    <t>43.41663 ; -0.02139</t>
  </si>
  <si>
    <t>2025082200644TTI</t>
  </si>
  <si>
    <t>BAY300408</t>
  </si>
  <si>
    <t>ASCAIN</t>
  </si>
  <si>
    <t>CHE CARRIERES</t>
  </si>
  <si>
    <t>43.34589 ; -1.61405</t>
  </si>
  <si>
    <t>2025082200659TE5</t>
  </si>
  <si>
    <t>44.02013 ; 3.33500</t>
  </si>
  <si>
    <t>2025082200752T25</t>
  </si>
  <si>
    <t>MDM400210</t>
  </si>
  <si>
    <t>CHEMIN DE PEROU</t>
  </si>
  <si>
    <t>43.574694, -0.326611</t>
  </si>
  <si>
    <t>2025082500480TSH</t>
  </si>
  <si>
    <t>43.342496, -0.292858</t>
  </si>
  <si>
    <t>2025082500523TKM</t>
  </si>
  <si>
    <t>MDM400807</t>
  </si>
  <si>
    <t>LOT DE PEGUIRAOUT</t>
  </si>
  <si>
    <t>43.692750, -0.682417</t>
  </si>
  <si>
    <t>2025082500573T8V</t>
  </si>
  <si>
    <t>INGUINIEL</t>
  </si>
  <si>
    <t>47.952361, -3.252714</t>
  </si>
  <si>
    <t>2025082500898TUI</t>
  </si>
  <si>
    <t>BAY300739</t>
  </si>
  <si>
    <t>SOURAIDE</t>
  </si>
  <si>
    <t>CHE APUMAI</t>
  </si>
  <si>
    <t>43.35057 ; -1.47834</t>
  </si>
  <si>
    <t>2025082500805TN2</t>
  </si>
  <si>
    <t>43.80540 ; -1.11944</t>
  </si>
  <si>
    <t>2025082600407T2N</t>
  </si>
  <si>
    <t>48.02093 ; -3.36455</t>
  </si>
  <si>
    <t>2025082800765TNY</t>
  </si>
  <si>
    <t>PAIMPONT</t>
  </si>
  <si>
    <t>47.99702 ; -2.21537</t>
  </si>
  <si>
    <t>2025082800818TEI</t>
  </si>
  <si>
    <t xml:space="preserve">PAU400195 </t>
  </si>
  <si>
    <t>43.35375 ; -0.42133</t>
  </si>
  <si>
    <t>2025082800701TVD</t>
  </si>
  <si>
    <t>43.968556, -0.324111</t>
  </si>
  <si>
    <t>2025082800848TOY</t>
  </si>
  <si>
    <t>48.28873 ; -4.54676</t>
  </si>
  <si>
    <t>48.16284 ; -4.12989</t>
  </si>
  <si>
    <t>2025082900431TPU</t>
  </si>
  <si>
    <t>BAY400289</t>
  </si>
  <si>
    <t>SAINT ANDRE DE SEIGNANX</t>
  </si>
  <si>
    <t>RTE DE SAINT MARTIN DE HINX</t>
  </si>
  <si>
    <t>43.55802 ; -1.34662</t>
  </si>
  <si>
    <t>2025082900730THO</t>
  </si>
  <si>
    <t>MDM500305</t>
  </si>
  <si>
    <t>CHE LASTOUYES</t>
  </si>
  <si>
    <t>43.56933 ; -0.92170</t>
  </si>
  <si>
    <t>2025082901143TUI</t>
  </si>
  <si>
    <t>47.66548 ; -2.08059</t>
  </si>
  <si>
    <t>2025090100369T8A</t>
  </si>
  <si>
    <t>+43.521720,-0.594952</t>
  </si>
  <si>
    <t>2025090100412TQT</t>
  </si>
  <si>
    <t xml:space="preserve">IMI-VA-64024/01YT-1 </t>
  </si>
  <si>
    <t>3 AV de la butte aux cailles</t>
  </si>
  <si>
    <t>43.49744 ; -1.51204</t>
  </si>
  <si>
    <t>2025082801434TRR</t>
  </si>
  <si>
    <t>44.27779 ; 2.54730</t>
  </si>
  <si>
    <t>2025090100473TQI</t>
  </si>
  <si>
    <t>44.05488 ; 2.59317</t>
  </si>
  <si>
    <t>2025090100547TRO</t>
  </si>
  <si>
    <t>MDM500490</t>
  </si>
  <si>
    <t xml:space="preserve"> CAMPET ET LAMOLERE</t>
  </si>
  <si>
    <t xml:space="preserve">10 RTE LOUSTALAS </t>
  </si>
  <si>
    <t>43.91771 ; -0.60737</t>
  </si>
  <si>
    <t>2025090101044TEN</t>
  </si>
  <si>
    <t xml:space="preserve">MEN400690 </t>
  </si>
  <si>
    <t>44.77135 ;3.12788</t>
  </si>
  <si>
    <t>2025090101280TMP</t>
  </si>
  <si>
    <t>ROD501265</t>
  </si>
  <si>
    <t>44.53495 ; 2.75149</t>
  </si>
  <si>
    <t>2025090300806TK6</t>
  </si>
  <si>
    <t>43.92538 ; -0.61377</t>
  </si>
  <si>
    <t>2025090300834TIV</t>
  </si>
  <si>
    <t>ROD501274</t>
  </si>
  <si>
    <t>2 ROUTE DU SALES</t>
  </si>
  <si>
    <t>44.13169 ; 2.68723</t>
  </si>
  <si>
    <t>2025090500838TYV</t>
  </si>
  <si>
    <t>IMI-VA-40320/008P-1</t>
  </si>
  <si>
    <t>4667 Route de CERE</t>
  </si>
  <si>
    <t>43.96821 ; -0.53127</t>
  </si>
  <si>
    <t>2025090501453TLK</t>
  </si>
  <si>
    <t>VAN501156</t>
  </si>
  <si>
    <t>1 IMP DES AJONCS</t>
  </si>
  <si>
    <t>47.57893 ; -2.63196</t>
  </si>
  <si>
    <t>2025090801833TBX</t>
  </si>
  <si>
    <t>44.53460 ; 2.88163</t>
  </si>
  <si>
    <t>2025090900534TTM</t>
  </si>
  <si>
    <t>ROD501246</t>
  </si>
  <si>
    <t>CRAYSSAC</t>
  </si>
  <si>
    <t>44.06998 ; 2.96076</t>
  </si>
  <si>
    <t>2025091001586T0S</t>
  </si>
  <si>
    <t>PLOZEVET</t>
  </si>
  <si>
    <t>47.96732 ; -4.41434</t>
  </si>
  <si>
    <t>2025091001522TVR</t>
  </si>
  <si>
    <t>CRO500134</t>
  </si>
  <si>
    <t>12 BD SLIGO</t>
  </si>
  <si>
    <t>48.242944, -4.477833</t>
  </si>
  <si>
    <t>2025091100574TKB</t>
  </si>
  <si>
    <t>IMI-VA-40139/0071-1</t>
  </si>
  <si>
    <t>2434 ROUTE DE PUJO</t>
  </si>
  <si>
    <t xml:space="preserve"> 43.86965 ; -0.38154</t>
  </si>
  <si>
    <t>2025091101655TIO</t>
  </si>
  <si>
    <t>43.664333, -1.118972</t>
  </si>
  <si>
    <t>2025091100669THH</t>
  </si>
  <si>
    <t>LE COURS</t>
  </si>
  <si>
    <t>47.73912: -2.51266</t>
  </si>
  <si>
    <t>2025091200745TLK</t>
  </si>
  <si>
    <t>QUERRIEN</t>
  </si>
  <si>
    <t>47.93784; -3.52524</t>
  </si>
  <si>
    <t>2025091200839TTP</t>
  </si>
  <si>
    <t xml:space="preserve">IMI-VA-40234/0083-1 </t>
  </si>
  <si>
    <t>Pouydesseaux</t>
  </si>
  <si>
    <t>Rte de Corbleu</t>
  </si>
  <si>
    <t>43.99501 ; -0.35567</t>
  </si>
  <si>
    <t>2025091201511TM3</t>
  </si>
  <si>
    <t>Av. du Maréchal Foch</t>
  </si>
  <si>
    <t xml:space="preserve"> 43.89374 ; -0.49622</t>
  </si>
  <si>
    <t>2025091201568TRH</t>
  </si>
  <si>
    <t>Biarritz</t>
  </si>
  <si>
    <t>Rue Paul Fourquet</t>
  </si>
  <si>
    <t>43.48114 ; -1.54525</t>
  </si>
  <si>
    <t>2025091502162TS1</t>
  </si>
  <si>
    <t xml:space="preserve"> IMI-VA-40055/00C8-2</t>
  </si>
  <si>
    <t>Bretagne-de-Marsan</t>
  </si>
  <si>
    <t>304 Chem. de Leyriaou</t>
  </si>
  <si>
    <t>43.83130 ; -0.47144</t>
  </si>
  <si>
    <t>2025091501726TH4</t>
  </si>
  <si>
    <t>2025091501710TSH</t>
  </si>
  <si>
    <t>MDM202158</t>
  </si>
  <si>
    <t>ALLEE DE L EGLISE</t>
  </si>
  <si>
    <t>43.876444, -0.284250</t>
  </si>
  <si>
    <t>2025091501898TRI</t>
  </si>
  <si>
    <t>MDM301144</t>
  </si>
  <si>
    <t>43.83610 ; -0.50027</t>
  </si>
  <si>
    <t>2025091502213TCC</t>
  </si>
  <si>
    <t xml:space="preserve">MDM300753 </t>
  </si>
  <si>
    <t>44.03032 ; -0.32659</t>
  </si>
  <si>
    <t>2025091502232TXY</t>
  </si>
  <si>
    <t>48.10482 ; -1.70426</t>
  </si>
  <si>
    <t>2025091600820TPY</t>
  </si>
  <si>
    <t>44.23026 ; 3.59200</t>
  </si>
  <si>
    <t>2025091601523TC1</t>
  </si>
  <si>
    <t>44.35589 ; 3.21598</t>
  </si>
  <si>
    <t>2025091700461TDF</t>
  </si>
  <si>
    <t>MEN500423</t>
  </si>
  <si>
    <t>2540 RTE DES VIGNES ST GEORGES</t>
  </si>
  <si>
    <t>44.28201 ; 3.20851</t>
  </si>
  <si>
    <t>2025091700528T3O</t>
  </si>
  <si>
    <t>44.43593 ; 3.19506</t>
  </si>
  <si>
    <t>2025091700578TYZ</t>
  </si>
  <si>
    <t>44.41636 ; 3.94367</t>
  </si>
  <si>
    <t>2025091700677TQP</t>
  </si>
  <si>
    <t>2025091700761TTY</t>
  </si>
  <si>
    <t>44.65726 ; 3.05197</t>
  </si>
  <si>
    <t>2025091900771TBN</t>
  </si>
  <si>
    <t>44.792972, 3.281500</t>
  </si>
  <si>
    <t>2025091701455T1N</t>
  </si>
  <si>
    <t>44.55420 ; 3.29149</t>
  </si>
  <si>
    <t>2025091701539TKI</t>
  </si>
  <si>
    <t>44.612028, 3.422250</t>
  </si>
  <si>
    <t>2025091701594T89</t>
  </si>
  <si>
    <t>MEN500153</t>
  </si>
  <si>
    <t>9 CH DU SOUGAYO</t>
  </si>
  <si>
    <t xml:space="preserve"> 44.47762 ; 3.33295</t>
  </si>
  <si>
    <t>2025091701639TT7</t>
  </si>
  <si>
    <t>44.884833, 3.107250</t>
  </si>
  <si>
    <t>2025091800843TXX</t>
  </si>
  <si>
    <t>44.70775 ; 3.28267</t>
  </si>
  <si>
    <t>2025091800920TQR</t>
  </si>
  <si>
    <t>43.51989 ; -0.53190</t>
  </si>
  <si>
    <t>2025091900803T7I</t>
  </si>
  <si>
    <t>CRO500037</t>
  </si>
  <si>
    <t>CHATEAULIN</t>
  </si>
  <si>
    <t>1 RUE DU LAEZRON</t>
  </si>
  <si>
    <t>+48.204704,-4.096505</t>
  </si>
  <si>
    <t>2025091900831TLX</t>
  </si>
  <si>
    <t>44.561611, 2.712583</t>
  </si>
  <si>
    <t>2025091900900TCR</t>
  </si>
  <si>
    <t>44.11826 ; 3.06506</t>
  </si>
  <si>
    <t>2025091901175TTP</t>
  </si>
  <si>
    <t>ROD501224</t>
  </si>
  <si>
    <t>44.67303 ; 2.76030</t>
  </si>
  <si>
    <t>2025091901236T12</t>
  </si>
  <si>
    <t>44.31522 ; 2.23013</t>
  </si>
  <si>
    <t>2025091901273TKE</t>
  </si>
  <si>
    <t>43.95901 ; 2.86633</t>
  </si>
  <si>
    <t>2025091901307TEN</t>
  </si>
  <si>
    <t>44.09821 ; 3.07674</t>
  </si>
  <si>
    <t>2025091901436TE7</t>
  </si>
  <si>
    <t>44.46842 ; 2.96587</t>
  </si>
  <si>
    <t>2025091901472TYH</t>
  </si>
  <si>
    <t>ROD401871</t>
  </si>
  <si>
    <t xml:space="preserve">2509 RTE DU TERRAL </t>
  </si>
  <si>
    <t>44.2709057 ; 2.6410245</t>
  </si>
  <si>
    <t>2025092200533TUR</t>
  </si>
  <si>
    <t>43.85284 ; 2.81945</t>
  </si>
  <si>
    <t>2025092200602TAM</t>
  </si>
  <si>
    <t>44.18282 ; 2.56793</t>
  </si>
  <si>
    <t>2025092200759TKX</t>
  </si>
  <si>
    <t>ROD501103</t>
  </si>
  <si>
    <t>7 AV DE LA FONTBLANCHE</t>
  </si>
  <si>
    <t>44.03531 ; 2.53174</t>
  </si>
  <si>
    <t>2025092200868TJL</t>
  </si>
  <si>
    <t>LANDEVENNEC</t>
  </si>
  <si>
    <t>48.29220 ; -4.30434</t>
  </si>
  <si>
    <t>2025092200930THK</t>
  </si>
  <si>
    <t>MEN400648</t>
  </si>
  <si>
    <t xml:space="preserve">4 MOULIN DE LA GOUTELLE </t>
  </si>
  <si>
    <t>44.54855 ; 3.29503</t>
  </si>
  <si>
    <t>2025092200961TZD</t>
  </si>
  <si>
    <t>44.53496 ; 2.75107</t>
  </si>
  <si>
    <t>2025092200988TXQ</t>
  </si>
  <si>
    <t>44.60158 ; 2.51326</t>
  </si>
  <si>
    <t>2025092201006TR1</t>
  </si>
  <si>
    <t>ROD401448</t>
  </si>
  <si>
    <t>Touluch</t>
  </si>
  <si>
    <t>44.66964 ; 2.70992</t>
  </si>
  <si>
    <t>2025092201815TWD</t>
  </si>
  <si>
    <t>ROD402098</t>
  </si>
  <si>
    <t>RUE DU FOIRAIL</t>
  </si>
  <si>
    <t>44.38355 ; 2.81990</t>
  </si>
  <si>
    <t>2025092201868T0K</t>
  </si>
  <si>
    <t>44.528528, 2.480278</t>
  </si>
  <si>
    <t>2025092500841TVT</t>
  </si>
  <si>
    <t>2025092500880TWJ</t>
  </si>
  <si>
    <t>ROD500469</t>
  </si>
  <si>
    <t>CHEMIN DU CHAMP DES LOUPS</t>
  </si>
  <si>
    <t>44.38920 ; 2.69352</t>
  </si>
  <si>
    <t>2025092500889TQK</t>
  </si>
  <si>
    <t>44.14644 ; 2.47941</t>
  </si>
  <si>
    <t>2025092500905TLX</t>
  </si>
  <si>
    <t>ROD401415</t>
  </si>
  <si>
    <t xml:space="preserve">TRAPPES </t>
  </si>
  <si>
    <t>44.50330 ; 2.29158</t>
  </si>
  <si>
    <t>2025092500923TSM</t>
  </si>
  <si>
    <t>ROD500990</t>
  </si>
  <si>
    <t>RTE DE SEVERAC</t>
  </si>
  <si>
    <t>44.41655 ; 3.08762</t>
  </si>
  <si>
    <t>2025092900978TZS</t>
  </si>
  <si>
    <t>ROD501302</t>
  </si>
  <si>
    <t>645 CHEMIN DU CHAMP DES LOUPS</t>
  </si>
  <si>
    <t>44.39211 ; 2.68701</t>
  </si>
  <si>
    <t>2025092501513THV</t>
  </si>
  <si>
    <t>44.33610 ; 3.03134</t>
  </si>
  <si>
    <t xml:space="preserve"> 2025092600241TLT</t>
  </si>
  <si>
    <t>ROD400681</t>
  </si>
  <si>
    <t>Pont-de-Salars</t>
  </si>
  <si>
    <t>Zone commerciale, La Lande</t>
  </si>
  <si>
    <t>44.28782, 2.71662</t>
  </si>
  <si>
    <t>2025092600656TYZ</t>
  </si>
  <si>
    <t>Espalion</t>
  </si>
  <si>
    <t xml:space="preserve">La Remise  </t>
  </si>
  <si>
    <t>44.51248 ,  2.73488</t>
  </si>
  <si>
    <t xml:space="preserve"> 2025092600815TKY</t>
  </si>
  <si>
    <t>ROD400503</t>
  </si>
  <si>
    <t>Rodez</t>
  </si>
  <si>
    <t>Bd Laromiguière</t>
  </si>
  <si>
    <t>44.34849, 2.57305</t>
  </si>
  <si>
    <t>2025092600871TQA</t>
  </si>
  <si>
    <t>Kervrech Coz</t>
  </si>
  <si>
    <t>47.98977, -3.44645</t>
  </si>
  <si>
    <t>2025092601420TUT</t>
  </si>
  <si>
    <t>Pont Méen</t>
  </si>
  <si>
    <t>48.08564, -3.17072</t>
  </si>
  <si>
    <t>2025092601490TND</t>
  </si>
  <si>
    <t xml:space="preserve"> Guern</t>
  </si>
  <si>
    <t>Kerauray</t>
  </si>
  <si>
    <t>48.045280, -3.093542</t>
  </si>
  <si>
    <t>2025092901645TGM</t>
  </si>
  <si>
    <t>Chem. de Kilourin</t>
  </si>
  <si>
    <t>47.930104 , -4.069125</t>
  </si>
  <si>
    <t>2025092901797TD6</t>
  </si>
  <si>
    <t xml:space="preserve"> VERRIERES
</t>
  </si>
  <si>
    <t>CONCLUS</t>
  </si>
  <si>
    <t>44.19721 ; 3.03741</t>
  </si>
  <si>
    <t xml:space="preserve"> 2025100300675TGS</t>
  </si>
  <si>
    <t xml:space="preserve"> ROUTE DU MAYSOUET</t>
  </si>
  <si>
    <t xml:space="preserve"> 43.87215 ; -0.59256</t>
  </si>
  <si>
    <t>2025100300875TMO</t>
  </si>
  <si>
    <t>LOR501142</t>
  </si>
  <si>
    <t xml:space="preserve"> 7 BOTLEVENANT</t>
  </si>
  <si>
    <t xml:space="preserve"> 47.83455 ; -3.11276</t>
  </si>
  <si>
    <t>2025100700450TTL</t>
  </si>
  <si>
    <t>QPR501290</t>
  </si>
  <si>
    <t xml:space="preserve"> Plomeur</t>
  </si>
  <si>
    <t>Rue ar Hoajou</t>
  </si>
  <si>
    <t xml:space="preserve"> 47.81426 ; -4.28761</t>
  </si>
  <si>
    <t>2025100900998TDC</t>
  </si>
  <si>
    <t>QPR501235</t>
  </si>
  <si>
    <t>47.91117 ; -4.11474</t>
  </si>
  <si>
    <t>2025092901780TFS</t>
  </si>
  <si>
    <t>QPR500822</t>
  </si>
  <si>
    <t>MEILARS</t>
  </si>
  <si>
    <t>295 IMP DE MENEZ BRAS</t>
  </si>
  <si>
    <t>48.05865 ; -4.42797</t>
  </si>
  <si>
    <t>2025092901801T5O</t>
  </si>
  <si>
    <t>QPR500964</t>
  </si>
  <si>
    <t>765 ROUTE DE COAT PIN</t>
  </si>
  <si>
    <t>47.844267 :- 3.85724</t>
  </si>
  <si>
    <t>2025092901824TQN</t>
  </si>
  <si>
    <t>47.85989 : -3.84800</t>
  </si>
  <si>
    <t>2025092901839T30</t>
  </si>
  <si>
    <t>47.81483 ; -3.47692</t>
  </si>
  <si>
    <t>2025092901852TEG</t>
  </si>
  <si>
    <t>47.63063 ; -1.99894</t>
  </si>
  <si>
    <t>2025093000463TE9</t>
  </si>
  <si>
    <t>VAN501069</t>
  </si>
  <si>
    <t>47.577167, -2.630389</t>
  </si>
  <si>
    <t>2025093000838TNS</t>
  </si>
  <si>
    <t>47.903000, -4.226250</t>
  </si>
  <si>
    <t>2025093000863TRZ</t>
  </si>
  <si>
    <t>47.68407 ; -2.99732</t>
  </si>
  <si>
    <t>2025093000881TOX</t>
  </si>
  <si>
    <t>CRO500021</t>
  </si>
  <si>
    <t>4 VEN DE REIMS</t>
  </si>
  <si>
    <t>48.24726 ; -4.490159042</t>
  </si>
  <si>
    <t>2025093001329T8G</t>
  </si>
  <si>
    <t>47.656111, -2.092667</t>
  </si>
  <si>
    <t>2025093000919TRZ</t>
  </si>
  <si>
    <t>VAN500875</t>
  </si>
  <si>
    <t>47.83715 ; -2.22164</t>
  </si>
  <si>
    <t>2025100100815TRG</t>
  </si>
  <si>
    <t>47.90730290529513, -4.180993972187079</t>
  </si>
  <si>
    <t>2025100100830TEG</t>
  </si>
  <si>
    <t>44.55973 ; 2.18844</t>
  </si>
  <si>
    <t>2025100101302T5L</t>
  </si>
  <si>
    <t>48.082139, -3.045694</t>
  </si>
  <si>
    <t>2025100101434THT</t>
  </si>
  <si>
    <t>MDM500489</t>
  </si>
  <si>
    <t xml:space="preserve"> Mazerolles</t>
  </si>
  <si>
    <t>Rte de Villeneuve</t>
  </si>
  <si>
    <t>43.88785, -0.428271</t>
  </si>
  <si>
    <t>2025093000869TGM</t>
  </si>
  <si>
    <t xml:space="preserve">MEN500465 </t>
  </si>
  <si>
    <t>LD BECUS</t>
  </si>
  <si>
    <t>44.787306, 3.139778</t>
  </si>
  <si>
    <t>2025100101372T1A</t>
  </si>
  <si>
    <t>44.24833 ; 2.26345</t>
  </si>
  <si>
    <t>2025100101509TWO</t>
  </si>
  <si>
    <t>43.88652 ; -0.58767</t>
  </si>
  <si>
    <t>2025100200846TV0</t>
  </si>
  <si>
    <t>47.83348 -3.07680</t>
  </si>
  <si>
    <t>2025100200907TWV</t>
  </si>
  <si>
    <t>MDM500509</t>
  </si>
  <si>
    <t>AV GASTON LESCOUZERES</t>
  </si>
  <si>
    <t>+44.040063,-0.322828</t>
  </si>
  <si>
    <t>2025100200964TOP</t>
  </si>
  <si>
    <t>43.92367 ; -0.38011</t>
  </si>
  <si>
    <t>2025100201482TNM</t>
  </si>
  <si>
    <t>MDM400279</t>
  </si>
  <si>
    <t xml:space="preserve"> IMP SENDU</t>
  </si>
  <si>
    <t>43.67721 ; -0.59140</t>
  </si>
  <si>
    <t>2025100201648TH0</t>
  </si>
  <si>
    <t>+43.995030,-0.242608</t>
  </si>
  <si>
    <t>2025100201664TPO</t>
  </si>
  <si>
    <t>43.64036 ; -0.37660</t>
  </si>
  <si>
    <t>2025100300561TLQ</t>
  </si>
  <si>
    <t>44.46450 ; 2.97451</t>
  </si>
  <si>
    <t>2025100600871THW</t>
  </si>
  <si>
    <t>44.69073; 3.73524</t>
  </si>
  <si>
    <t>2025100600891TFB</t>
  </si>
  <si>
    <t>ROD501312</t>
  </si>
  <si>
    <t>44.18489 ; 3.29968</t>
  </si>
  <si>
    <t>2025100801248T3L</t>
  </si>
  <si>
    <t>MEN500475</t>
  </si>
  <si>
    <t>RUE DE LA CONDAMINE</t>
  </si>
  <si>
    <t>44.46464 : 3.34430</t>
  </si>
  <si>
    <t>2025100800416TDV</t>
  </si>
  <si>
    <t>Bostens</t>
  </si>
  <si>
    <t>Rte de Pouydesseaux</t>
  </si>
  <si>
    <t>43.97043, -0.34979</t>
  </si>
  <si>
    <t>2025100601867T31</t>
  </si>
  <si>
    <t>44.37456 ; 2.89230</t>
  </si>
  <si>
    <t>2025100700772TIU</t>
  </si>
  <si>
    <t>43.98526 ; -0.35864</t>
  </si>
  <si>
    <t>2025100801335TME</t>
  </si>
  <si>
    <t>43.96913, -0.18829</t>
  </si>
  <si>
    <t xml:space="preserve"> 2025100900539TKD</t>
  </si>
  <si>
    <t>IMI-VA-64140/023B-1</t>
  </si>
  <si>
    <t>85 AVENUE LOUIS DE FOIX</t>
  </si>
  <si>
    <t>43.528389, -1.497444</t>
  </si>
  <si>
    <t>2025100901624T7S</t>
  </si>
  <si>
    <t xml:space="preserve"> ST CARADEC TREGOMEL </t>
  </si>
  <si>
    <t>RUE DES ANEMONES</t>
  </si>
  <si>
    <t>48.03635 ; -3.35174</t>
  </si>
  <si>
    <t>2025100801577TUA</t>
  </si>
  <si>
    <t xml:space="preserve">ALE500580 </t>
  </si>
  <si>
    <t xml:space="preserve"> 44.12536 ; 4.12090</t>
  </si>
  <si>
    <t>2025100901059T5G</t>
  </si>
  <si>
    <t>44.50147 ; 3.40750</t>
  </si>
  <si>
    <t>2025100901851TNN</t>
  </si>
  <si>
    <t xml:space="preserve">CHEMIN DE LESBATS, </t>
  </si>
  <si>
    <t xml:space="preserve"> 44.08167 ; -1.17950</t>
  </si>
  <si>
    <t>2025101000771TXK</t>
  </si>
  <si>
    <t xml:space="preserve"> Rue de Trenogoat</t>
  </si>
  <si>
    <t>47.78294, -3.64009</t>
  </si>
  <si>
    <t>2025101400924TAX</t>
  </si>
  <si>
    <t>43.50529 ;- 1.52371</t>
  </si>
  <si>
    <t>2025101500562TWQ</t>
  </si>
  <si>
    <t>ROD501507</t>
  </si>
  <si>
    <t>CH DE CALMONT</t>
  </si>
  <si>
    <t>44.51667 ; 2.75798</t>
  </si>
  <si>
    <t>2025101500498THJ</t>
  </si>
  <si>
    <t xml:space="preserve"> IMI-VA-40123/01OB-1</t>
  </si>
  <si>
    <t>1067 route de maruche</t>
  </si>
  <si>
    <t>43.82336 ; -1.12945</t>
  </si>
  <si>
    <t>2025101500643TNI</t>
  </si>
  <si>
    <t>ROD501535</t>
  </si>
  <si>
    <t>44.18994 ; 2.61111</t>
  </si>
  <si>
    <t>2025101500704TTL</t>
  </si>
  <si>
    <t>43.87831; -0.47816</t>
  </si>
  <si>
    <t>2025101500750TIO</t>
  </si>
  <si>
    <t>43.52359 ; -1.44478</t>
  </si>
  <si>
    <t>2025101500801TJE</t>
  </si>
  <si>
    <t>+43.844674,-0.920971</t>
  </si>
  <si>
    <t>2025101500834TJS</t>
  </si>
  <si>
    <t>44.69317 ; 3.82337</t>
  </si>
  <si>
    <t>2025101501409TNC</t>
  </si>
  <si>
    <t>44.12321 ; 2.44025</t>
  </si>
  <si>
    <t>2025101501585TSR</t>
  </si>
  <si>
    <t>47.80802 ; -4.28814</t>
  </si>
  <si>
    <t>2025101501663TTE</t>
  </si>
  <si>
    <t>FOUESNANT</t>
  </si>
  <si>
    <t>47.86989 ; -4.01579</t>
  </si>
  <si>
    <t>2025101501723TEU</t>
  </si>
  <si>
    <t>47.70829 ; -3.24402</t>
  </si>
  <si>
    <t>2025102400872TH4</t>
  </si>
  <si>
    <t>47.79551 ; -4.28243</t>
  </si>
  <si>
    <t>2025110400806THW</t>
  </si>
  <si>
    <t>43.96820 ; -0.18375</t>
  </si>
  <si>
    <t>2025102700555TTA</t>
  </si>
  <si>
    <t>43.54813 ; -0.59294</t>
  </si>
  <si>
    <t>2025110500464TD3</t>
  </si>
  <si>
    <t>43.63154 ; -0.80832</t>
  </si>
  <si>
    <t>2025110500781TNW</t>
  </si>
  <si>
    <t>48.01033 ; -4.52133</t>
  </si>
  <si>
    <t>2025110400482TQU</t>
  </si>
  <si>
    <t>48,012882 ; -4,520112</t>
  </si>
  <si>
    <t>2025110401258TW6</t>
  </si>
  <si>
    <t>43.78081 ; -1.07104</t>
  </si>
  <si>
    <t>2025102900399T77</t>
  </si>
  <si>
    <t>48.103616 ; -4.409459</t>
  </si>
  <si>
    <t>2025110401474TDZ</t>
  </si>
  <si>
    <t>47.871816 ; -4.137705</t>
  </si>
  <si>
    <t>2025111201222T8B</t>
  </si>
  <si>
    <t>IMI-VA-40114/018I-2 </t>
  </si>
  <si>
    <t>43.783517 ; -1.072136</t>
  </si>
  <si>
    <t>2025110601343TXF</t>
  </si>
  <si>
    <t>43.493557,-1.490028</t>
  </si>
  <si>
    <t>2025110700364TWS</t>
  </si>
  <si>
    <t>43.64760 ; -1.11225</t>
  </si>
  <si>
    <t>2025110700249TVG</t>
  </si>
  <si>
    <t>LOR500348</t>
  </si>
  <si>
    <t>47.783239 ;-3.416322</t>
  </si>
  <si>
    <t>2025110501120TL5</t>
  </si>
  <si>
    <t>48.19568 ;-2.15700</t>
  </si>
  <si>
    <t>2025110501335TAM</t>
  </si>
  <si>
    <t>44.01252 ; 2.88748</t>
  </si>
  <si>
    <t>2025102201338TCU</t>
  </si>
  <si>
    <t>44.60006 ; 3.99044</t>
  </si>
  <si>
    <t>2025102201375THF</t>
  </si>
  <si>
    <t>44.05902: 2.65593</t>
  </si>
  <si>
    <t>2025102201396TSK</t>
  </si>
  <si>
    <t>44.08083 ; 2.70646</t>
  </si>
  <si>
    <t>2025102201456TZN</t>
  </si>
  <si>
    <t>43.901248;3.177868</t>
  </si>
  <si>
    <t>2025102701015TPK</t>
  </si>
  <si>
    <t>ROD501562</t>
  </si>
  <si>
    <t xml:space="preserve"> CAST CREMAT </t>
  </si>
  <si>
    <t>43.94738 : 2.97467</t>
  </si>
  <si>
    <t>2025102701151T4W</t>
  </si>
  <si>
    <t>ROD501587</t>
  </si>
  <si>
    <t>Route d'Occitanie</t>
  </si>
  <si>
    <t>44.23135 ; 2.04018</t>
  </si>
  <si>
    <t>2025102701245TJB</t>
  </si>
  <si>
    <t>ROD501605</t>
  </si>
  <si>
    <t>Avenue de Rodez</t>
  </si>
  <si>
    <t>44.20009 ; 2.34492</t>
  </si>
  <si>
    <t>2025102701366TTC</t>
  </si>
  <si>
    <t>ROD501593</t>
  </si>
  <si>
    <t>AYSSENES</t>
  </si>
  <si>
    <t>Rentières</t>
  </si>
  <si>
    <t>44.09736 ; 2.75755</t>
  </si>
  <si>
    <t>2025103101078TJP</t>
  </si>
  <si>
    <t xml:space="preserve">ROD500526 </t>
  </si>
  <si>
    <t>44.08394 ; 2.54920</t>
  </si>
  <si>
    <t>2025102700640T7I</t>
  </si>
  <si>
    <t xml:space="preserve">ROD501111  </t>
  </si>
  <si>
    <t>44.671857, 2.515137</t>
  </si>
  <si>
    <t>2025102700719TRK</t>
  </si>
  <si>
    <t xml:space="preserve">MONTS DE RANDON </t>
  </si>
  <si>
    <t>44.63381 ; 3.47874</t>
  </si>
  <si>
    <t>2025111200393TGX</t>
  </si>
  <si>
    <t>48.06162 ;  -4.37473</t>
  </si>
  <si>
    <t>2025110600707T4A</t>
  </si>
  <si>
    <t>VAN501432</t>
  </si>
  <si>
    <t>RUE BONNE FONTAINE</t>
  </si>
  <si>
    <t>47.477940 ; -3.114150</t>
  </si>
  <si>
    <t>2025110700582T8U</t>
  </si>
  <si>
    <t>47.90697 ; -1.69803</t>
  </si>
  <si>
    <t>2025110600796TUU</t>
  </si>
  <si>
    <t>ROD501579</t>
  </si>
  <si>
    <t>RTE COMBETALADE</t>
  </si>
  <si>
    <t>44.46875 ; 2.98592</t>
  </si>
  <si>
    <t>2025110601088T3U</t>
  </si>
  <si>
    <t>48.19568 ;  -2.15700</t>
  </si>
  <si>
    <t xml:space="preserve">ROD401782 </t>
  </si>
  <si>
    <t>PELINGRAS</t>
  </si>
  <si>
    <t xml:space="preserve"> 44.24411 ; 2.15393</t>
  </si>
  <si>
    <t>2025110301390TEO</t>
  </si>
  <si>
    <t>MDM500287</t>
  </si>
  <si>
    <t>CHE TRAPPE</t>
  </si>
  <si>
    <t xml:space="preserve"> 44.39709 ; -1.18490</t>
  </si>
  <si>
    <t>2025110500274TBJ</t>
  </si>
  <si>
    <t>LOR500237</t>
  </si>
  <si>
    <t>47.910240 ; -3.290595</t>
  </si>
  <si>
    <t>2025111000536TBN</t>
  </si>
  <si>
    <t>VAN500908</t>
  </si>
  <si>
    <t>47.845155 ; -2.714252</t>
  </si>
  <si>
    <t>2025111000747TN7</t>
  </si>
  <si>
    <t>44.77142 ; 2.88107</t>
  </si>
  <si>
    <t>2025111200274TLE</t>
  </si>
  <si>
    <t>QPR501845</t>
  </si>
  <si>
    <t>7 RUE DE PARK AR C HOAT</t>
  </si>
  <si>
    <t>48.05691  ; -3.83063</t>
  </si>
  <si>
    <t>2025111700218TPG</t>
  </si>
  <si>
    <t>ROD402014</t>
  </si>
  <si>
    <t>BROUSSE LE CHATEAU </t>
  </si>
  <si>
    <t>LE MOULINET</t>
  </si>
  <si>
    <t>43.99686  ; 2.63516</t>
  </si>
  <si>
    <t>2025111400190TTL</t>
  </si>
  <si>
    <t xml:space="preserve"> 43.80540 ; -1.12030</t>
  </si>
  <si>
    <t>2025111700446TG6</t>
  </si>
  <si>
    <t>QPR501481</t>
  </si>
  <si>
    <t>TREOGAT</t>
  </si>
  <si>
    <t xml:space="preserve">	LD LAHADIC</t>
  </si>
  <si>
    <t>47.906475 ; -4.345668</t>
  </si>
  <si>
    <t>2025111700904T1U</t>
  </si>
  <si>
    <t xml:space="preserve">IMI-VA-40279_15MF-1
</t>
  </si>
  <si>
    <t>43.7507199-1 1436357</t>
  </si>
  <si>
    <t>2025111800795TUK</t>
  </si>
  <si>
    <t>43.72451 ; -1.11013</t>
  </si>
  <si>
    <t>2025111701373THR</t>
  </si>
  <si>
    <t>IMI-VA-4012501VF-1</t>
  </si>
  <si>
    <t>43.65629 ; -1.07856</t>
  </si>
  <si>
    <t>2025111701634TDS</t>
  </si>
  <si>
    <t xml:space="preserve">IMI-VA-64483-02AV-1
</t>
  </si>
  <si>
    <t>43.389481, -1.660912</t>
  </si>
  <si>
    <t>2025111801217TIK</t>
  </si>
  <si>
    <t>48.06828 ; -3.66203</t>
  </si>
  <si>
    <t>2025112700505TEY</t>
  </si>
  <si>
    <t xml:space="preserve">IMI-VA-40123/01PE-1
</t>
  </si>
  <si>
    <t>43.8132018,-1.0972788</t>
  </si>
  <si>
    <t>2025111901074TZL</t>
  </si>
  <si>
    <t xml:space="preserve">IMI-VE-40123/01PN-1
</t>
  </si>
  <si>
    <t>43.7972468,-1.1161189</t>
  </si>
  <si>
    <t>2025111901230TND</t>
  </si>
  <si>
    <t xml:space="preserve">IMI-VA-40202/01WO-1
</t>
  </si>
  <si>
    <t>43.6928432,-1.0043594</t>
  </si>
  <si>
    <t>2025111901337TBY</t>
  </si>
  <si>
    <t>CLEGUEREC</t>
  </si>
  <si>
    <t>48.1259373,-3.0292677</t>
  </si>
  <si>
    <t>2025112000166TZJ</t>
  </si>
  <si>
    <t>44.0745685,2.9169652</t>
  </si>
  <si>
    <t>2025112000403TBY</t>
  </si>
  <si>
    <t xml:space="preserve"> 44.50135 ; 2.91959</t>
  </si>
  <si>
    <t>2025112000729TXE</t>
  </si>
  <si>
    <r>
      <rPr>
        <sz val="11"/>
        <color rgb="FF000000"/>
        <rFont val="Aptos Narrow"/>
        <scheme val="minor"/>
      </rPr>
      <t xml:space="preserve">VAN500982( </t>
    </r>
    <r>
      <rPr>
        <sz val="11"/>
        <color rgb="FFFF0000"/>
        <rFont val="Aptos Narrow"/>
        <scheme val="minor"/>
      </rPr>
      <t>à vérifier</t>
    </r>
    <r>
      <rPr>
        <sz val="11"/>
        <color rgb="FF000000"/>
        <rFont val="Aptos Narrow"/>
        <scheme val="minor"/>
      </rPr>
      <t xml:space="preserve">) </t>
    </r>
  </si>
  <si>
    <t>PLOUHARNEL</t>
  </si>
  <si>
    <t xml:space="preserve">48.01040 ; -1.43350
</t>
  </si>
  <si>
    <t>2025112400776TXL</t>
  </si>
  <si>
    <t>48.05853 ; -4.26332</t>
  </si>
  <si>
    <t>2025112401024TQ2</t>
  </si>
  <si>
    <t>44.53200 ; 2.63005</t>
  </si>
  <si>
    <t>2025112401177TN3</t>
  </si>
  <si>
    <t>ROD501736</t>
  </si>
  <si>
    <t>180 CH DE LA GRIMALDIE</t>
  </si>
  <si>
    <t>44.082995 ; 2.4041018</t>
  </si>
  <si>
    <t>2025112401301TYM</t>
  </si>
  <si>
    <t>44.1678061 ; 3.1158244</t>
  </si>
  <si>
    <t>2025112401402TPD</t>
  </si>
  <si>
    <t xml:space="preserve"> 44.88947 ; 2.75646</t>
  </si>
  <si>
    <t>2025112500413TQZ</t>
  </si>
  <si>
    <t>PLOERDUT</t>
  </si>
  <si>
    <t>48.0979696,-3.3625543</t>
  </si>
  <si>
    <t>2025112500906TVR</t>
  </si>
  <si>
    <t>MEN500554</t>
  </si>
  <si>
    <t>44.6005953,3.6567313</t>
  </si>
  <si>
    <t>2025112501020T9P</t>
  </si>
  <si>
    <t>44.4366453,3.1898798</t>
  </si>
  <si>
    <t>2025112501195TXN</t>
  </si>
  <si>
    <t>44.61302 ; 2.66264</t>
  </si>
  <si>
    <t>2025112600110T1M</t>
  </si>
  <si>
    <t>MEN500407</t>
  </si>
  <si>
    <t>Issarlès</t>
  </si>
  <si>
    <t xml:space="preserve">415 Rte de la Roume
</t>
  </si>
  <si>
    <t>44.86356 ; 4.04637</t>
  </si>
  <si>
    <t>2025112500257TXD</t>
  </si>
  <si>
    <t>ARC500715</t>
  </si>
  <si>
    <t>39 RUE DES PINS</t>
  </si>
  <si>
    <t>44.6272481,-1.0270499</t>
  </si>
  <si>
    <t>2025112600275T6S</t>
  </si>
  <si>
    <t xml:space="preserve">ARC500708
</t>
  </si>
  <si>
    <t>44.6383506,-1.1083079</t>
  </si>
  <si>
    <t>2025112600653TST</t>
  </si>
  <si>
    <t xml:space="preserve">MDM400873(DT2) </t>
  </si>
  <si>
    <t>2025112700944TXA</t>
  </si>
  <si>
    <t>MDM201114 (DT2)</t>
  </si>
  <si>
    <t>2025112701252T8U</t>
  </si>
  <si>
    <t>44.5558187,-0.8743709</t>
  </si>
  <si>
    <t>2025112800438TZU</t>
  </si>
  <si>
    <t>44.0333219,-0.3295429</t>
  </si>
  <si>
    <t>2025112800738TUV</t>
  </si>
  <si>
    <t>PAU400195 (DT2)</t>
  </si>
  <si>
    <t>2025120100482TR5</t>
  </si>
  <si>
    <t>MDM301155(DT2)</t>
  </si>
  <si>
    <t>2025120100782T0R</t>
  </si>
  <si>
    <t xml:space="preserve">47.89383 ; -4.29946
</t>
  </si>
  <si>
    <t>2025120100830TEE</t>
  </si>
  <si>
    <t>48.23191 ; -4.36399</t>
  </si>
  <si>
    <t>2025112801094TDD</t>
  </si>
  <si>
    <t>47.8289461 ; -3.3693529</t>
  </si>
  <si>
    <t>2025120101109T0A</t>
  </si>
  <si>
    <t>43.9264233 ; -0.6158533</t>
  </si>
  <si>
    <t>2025120101354TV7</t>
  </si>
  <si>
    <t>IMI-VA-64260/03O8-1</t>
  </si>
  <si>
    <t xml:space="preserve">7 RUE HAUTE </t>
  </si>
  <si>
    <t>43.3590746,-1.7752839</t>
  </si>
  <si>
    <t>2025120101564TO0</t>
  </si>
  <si>
    <t>43.8863434 ; -0.5118388</t>
  </si>
  <si>
    <t>2025120101695TQJ</t>
  </si>
  <si>
    <t>43.5121894 ; -1.5287884</t>
  </si>
  <si>
    <t>2025120200191T02</t>
  </si>
  <si>
    <t>PONT AVEN</t>
  </si>
  <si>
    <t>47.8486674 ; -3.7721615</t>
  </si>
  <si>
    <t>2025120200376TUL</t>
  </si>
  <si>
    <t>47.8372366 ; -3.6915719</t>
  </si>
  <si>
    <t>2025120200541TMG</t>
  </si>
  <si>
    <t>44.0654704 ; 2.7218253</t>
  </si>
  <si>
    <t>2025120200757TSQ</t>
  </si>
  <si>
    <t>43.7627558 ; 2.767023</t>
  </si>
  <si>
    <t>2025120201249TSA</t>
  </si>
  <si>
    <t xml:space="preserve">N/C </t>
  </si>
  <si>
    <t>44.5459513 ; 2.8888023</t>
  </si>
  <si>
    <t>2025120300230TVN</t>
  </si>
  <si>
    <t>44.5321226,3.5530556</t>
  </si>
  <si>
    <t>2025120300736TTH</t>
  </si>
  <si>
    <t>44.6277962 ; 3.2321533</t>
  </si>
  <si>
    <t>2025120400200TZT</t>
  </si>
  <si>
    <t xml:space="preserve">ROD401529 </t>
  </si>
  <si>
    <t>535 RTE DES PUECHS</t>
  </si>
  <si>
    <t>44.6147248 ; 2.522847</t>
  </si>
  <si>
    <t>2025120300445TAX</t>
  </si>
  <si>
    <t>IMI-VA-40123/01KM-1 (DT2)</t>
  </si>
  <si>
    <t>1217 ROUTE DE CASTETS</t>
  </si>
  <si>
    <t>43.7762155 ; -1.0722572</t>
  </si>
  <si>
    <t>2025120400658TPA</t>
  </si>
  <si>
    <t>IMI-VA-40123/01O3-1 (DT2)</t>
  </si>
  <si>
    <t>2100 route du marquis</t>
  </si>
  <si>
    <t xml:space="preserve">43.8219548 ; -1.1260959 </t>
  </si>
  <si>
    <t>2025120400762TCX</t>
  </si>
  <si>
    <t xml:space="preserve">IMI-VA-40123-01KO-1 (DT2)
</t>
  </si>
  <si>
    <t>535 route de cluquelardit</t>
  </si>
  <si>
    <t>43.8073972,-1.11255</t>
  </si>
  <si>
    <t>2025120400877T8N</t>
  </si>
  <si>
    <t xml:space="preserve">IMI-VA-40123-01LD-1 (DT2)
</t>
  </si>
  <si>
    <t xml:space="preserve"> route de cluquelardit</t>
  </si>
  <si>
    <t>43.80515 ; -1.12266</t>
  </si>
  <si>
    <t>2025120401198TB4</t>
  </si>
  <si>
    <t xml:space="preserve">IMI-VA-40234 007H-1 (DT2)
</t>
  </si>
  <si>
    <t>43.9822637 ; -0.3602699</t>
  </si>
  <si>
    <t>2025120401324TJS</t>
  </si>
  <si>
    <t xml:space="preserve">ARC500798
</t>
  </si>
  <si>
    <t xml:space="preserve">44.6527861 ; -1.1977537 </t>
  </si>
  <si>
    <t>2025120500463TJM</t>
  </si>
  <si>
    <t>MEN500455</t>
  </si>
  <si>
    <t>SAINT ETIENNE DE LUGDARES</t>
  </si>
  <si>
    <t>RTE DE LA BARAQUE</t>
  </si>
  <si>
    <t>44.6641248,3.9547197</t>
  </si>
  <si>
    <t>2025120500654TOD</t>
  </si>
  <si>
    <t xml:space="preserve">MEN500339(DT2) </t>
  </si>
  <si>
    <t>2025120500811TNZ</t>
  </si>
  <si>
    <t>MEN500149( DT2)</t>
  </si>
  <si>
    <t xml:space="preserve"> 44.31410 ; 3.60786</t>
  </si>
  <si>
    <t>2025120500999TGQ</t>
  </si>
  <si>
    <t>MEN500440(DT2)</t>
  </si>
  <si>
    <t>2025120800374TMS</t>
  </si>
  <si>
    <t xml:space="preserve">IMI-VA-64260/019I-1
</t>
  </si>
  <si>
    <t>43.35462 ; -1.76798</t>
  </si>
  <si>
    <t>2025121000689TT1</t>
  </si>
  <si>
    <t>43.85925 ; 2.6134701</t>
  </si>
  <si>
    <t>2025121000741T70</t>
  </si>
  <si>
    <t>47.983603,-4.1891999</t>
  </si>
  <si>
    <t>2025121000848TGJ</t>
  </si>
  <si>
    <t>47.8003176,-3.8314129</t>
  </si>
  <si>
    <t>2025121100174TUT</t>
  </si>
  <si>
    <t>QPR500282</t>
  </si>
  <si>
    <t>1 RUE EMILE ZOLA</t>
  </si>
  <si>
    <t>47.9871624,-4.1008597</t>
  </si>
  <si>
    <t>2025121100405TPH</t>
  </si>
  <si>
    <t>PLONEVEZ PORZAY</t>
  </si>
  <si>
    <t>48.1283032,-4.2241461</t>
  </si>
  <si>
    <t>2025121100609TTX</t>
  </si>
  <si>
    <t>3 AVENUE DES RUSSES</t>
  </si>
  <si>
    <t>43.4473553,-1.5850116</t>
  </si>
  <si>
    <t>2025121600715T28</t>
  </si>
  <si>
    <r>
      <rPr>
        <u/>
        <sz val="11"/>
        <color rgb="FF467886"/>
        <rFont val="Aptos Narrow"/>
        <scheme val="minor"/>
      </rPr>
      <t xml:space="preserve"> </t>
    </r>
    <r>
      <rPr>
        <u/>
        <sz val="11"/>
        <color rgb="FFFF0000"/>
        <rFont val="Aptos Narrow"/>
        <scheme val="minor"/>
      </rPr>
      <t xml:space="preserve">* </t>
    </r>
    <r>
      <rPr>
        <u/>
        <sz val="11"/>
        <color rgb="FF467886"/>
        <rFont val="Aptos Narrow"/>
        <scheme val="minor"/>
      </rPr>
      <t>ARC500732</t>
    </r>
  </si>
  <si>
    <t>ALLEE DE LA BIOTTE</t>
  </si>
  <si>
    <t>44.6304864,-1.0891475</t>
  </si>
  <si>
    <t>2025121600765T3Q</t>
  </si>
  <si>
    <t>44.5620218,-0.8503539</t>
  </si>
  <si>
    <t>2025121201013T2O</t>
  </si>
  <si>
    <t>44.6115363 ; -1.1994385</t>
  </si>
  <si>
    <t>2025121300029TUL</t>
  </si>
  <si>
    <t>44.6408676,-1.0632518</t>
  </si>
  <si>
    <t>2025121300031T3L</t>
  </si>
  <si>
    <t>BAYE</t>
  </si>
  <si>
    <t>47.8597294,-3.603653</t>
  </si>
  <si>
    <t>2025121601037TUQ</t>
  </si>
  <si>
    <t>LOR501476</t>
  </si>
  <si>
    <t xml:space="preserve">7 RUE JEAN MARIE LE BRIS </t>
  </si>
  <si>
    <t>47.9165246,-3.3590589</t>
  </si>
  <si>
    <t>2025121600055TXA</t>
  </si>
  <si>
    <t>48.7692481,-3.5188357</t>
  </si>
  <si>
    <t>2025121600085TGW</t>
  </si>
  <si>
    <t>48.165197,-4.1285659</t>
  </si>
  <si>
    <t>2025121600844TH7</t>
  </si>
  <si>
    <t>MEN500656</t>
  </si>
  <si>
    <t>CH DE LAURADOU</t>
  </si>
  <si>
    <t>44.471374, 3.347528</t>
  </si>
  <si>
    <t>2025121600997TSA</t>
  </si>
  <si>
    <t>MEN500650</t>
  </si>
  <si>
    <t>LD LA BRAGERESSE</t>
  </si>
  <si>
    <t>44.58997 ; 3.46644</t>
  </si>
  <si>
    <t>2025121601097T9F</t>
  </si>
  <si>
    <t>LOR501468</t>
  </si>
  <si>
    <t>LE FAOUET</t>
  </si>
  <si>
    <t>7 RUE DE PONT PRIANT</t>
  </si>
  <si>
    <t>48.0390663,-3.5019355</t>
  </si>
  <si>
    <t>2025121601153TZK</t>
  </si>
  <si>
    <t>44.23204 ; 2.57284</t>
  </si>
  <si>
    <t>2025121800166T6F</t>
  </si>
  <si>
    <t xml:space="preserve"> ​MEN500659​</t>
  </si>
  <si>
    <t xml:space="preserve">44.5143795,3.7300946 </t>
  </si>
  <si>
    <t>2025121800265T8V</t>
  </si>
  <si>
    <t>IMI-VA-64024-07IQ-1</t>
  </si>
  <si>
    <t>43.503026,-1.5117859</t>
  </si>
  <si>
    <t>2025121800348TRI</t>
  </si>
  <si>
    <t>43.359534, -1.770782</t>
  </si>
  <si>
    <t>2025121501580THF</t>
  </si>
  <si>
    <t>44.173569,3.8371571</t>
  </si>
  <si>
    <t>2025121800559T1S</t>
  </si>
  <si>
    <t xml:space="preserve"> 44.45345 ; 2.77945</t>
  </si>
  <si>
    <t>2025122200392TXJ</t>
  </si>
  <si>
    <t>44.7108731,3.2404708</t>
  </si>
  <si>
    <t>2025121800716TTU</t>
  </si>
  <si>
    <t xml:space="preserve">ARC500862 </t>
  </si>
  <si>
    <t>ALLEE DES PINS DE LA RUADE</t>
  </si>
  <si>
    <t>44.6244487,-1.0917725</t>
  </si>
  <si>
    <t>2025122200627TOS</t>
  </si>
  <si>
    <r>
      <rPr>
        <sz val="11"/>
        <color rgb="FF000000"/>
        <rFont val="Aptos Narrow"/>
        <scheme val="minor"/>
      </rPr>
      <t>ARC500858</t>
    </r>
    <r>
      <rPr>
        <sz val="11"/>
        <color rgb="FFFF0000"/>
        <rFont val="Aptos Narrow"/>
        <scheme val="minor"/>
      </rPr>
      <t xml:space="preserve"> ( à vérifier) </t>
    </r>
  </si>
  <si>
    <t>44.6394808,-1.1124798</t>
  </si>
  <si>
    <t>2025122300654TDU</t>
  </si>
  <si>
    <t>28B RUE PIERRE DEYCARD</t>
  </si>
  <si>
    <t>44.5303598, -0.8905869</t>
  </si>
  <si>
    <t>2025122300537TYI</t>
  </si>
  <si>
    <t>ROD501366 (DT2)</t>
  </si>
  <si>
    <t>2025122300703THD</t>
  </si>
  <si>
    <t xml:space="preserve">IMI-VA-40320/006M-1
</t>
  </si>
  <si>
    <t>43.93513, -0.5235160</t>
  </si>
  <si>
    <t>2025122900099TO3</t>
  </si>
  <si>
    <t>48.2151531,-4.0674223</t>
  </si>
  <si>
    <t>2025122400125TPI</t>
  </si>
  <si>
    <t>IMI-VA-64024-02RM-1</t>
  </si>
  <si>
    <t>43.47146 ; -1.49412</t>
  </si>
  <si>
    <t>2025122400213TPE</t>
  </si>
  <si>
    <t>48.2419824,-4.4935408</t>
  </si>
  <si>
    <t>2025122400276TMQ</t>
  </si>
  <si>
    <t xml:space="preserve">IMI-VA-40050-0017-1
</t>
  </si>
  <si>
    <t>43.9664841 ; -0.3635049</t>
  </si>
  <si>
    <t>2025122900147TOT</t>
  </si>
  <si>
    <t>44.3120572 ; 2.2956538</t>
  </si>
  <si>
    <t>2025122900196T14</t>
  </si>
  <si>
    <t>44.4274208,2.9985001</t>
  </si>
  <si>
    <t>2025122300776TIT</t>
  </si>
  <si>
    <t>QUIMPERLE</t>
  </si>
  <si>
    <t xml:space="preserve">47.8719869,-3.5258872 </t>
  </si>
  <si>
    <t>2025122900291T0X</t>
  </si>
  <si>
    <t>IMI-VA-64122-03DM-1</t>
  </si>
  <si>
    <t>OMAINE DE MIGRON</t>
  </si>
  <si>
    <t xml:space="preserve">43.472418,-1.5517374 </t>
  </si>
  <si>
    <t>2025122900382TBY</t>
  </si>
  <si>
    <t xml:space="preserve">43.4399885,-1.5923038 </t>
  </si>
  <si>
    <t>2025123000119TPN</t>
  </si>
  <si>
    <t>43.4970931,-1.4705084</t>
  </si>
  <si>
    <t>2025123000031TIV</t>
  </si>
  <si>
    <r>
      <rPr>
        <u/>
        <sz val="11"/>
        <color rgb="FF467886"/>
        <rFont val="Aptos Narrow"/>
        <scheme val="minor"/>
      </rPr>
      <t>IMI-VA-40234-009R-1</t>
    </r>
    <r>
      <rPr>
        <u/>
        <sz val="11"/>
        <color rgb="FFFF0000"/>
        <rFont val="Aptos Narrow"/>
        <scheme val="minor"/>
      </rPr>
      <t>(DT2)</t>
    </r>
  </si>
  <si>
    <t xml:space="preserve">43.9680335,-0.3521725 </t>
  </si>
  <si>
    <t>2025123000198TPT</t>
  </si>
  <si>
    <t>47.993259, -4.435216</t>
  </si>
  <si>
    <t>2025123000218TX6</t>
  </si>
  <si>
    <t xml:space="preserve">47.916521,-3.3590589 </t>
  </si>
  <si>
    <t>2025123000280TW1</t>
  </si>
  <si>
    <t xml:space="preserve">44.23378 ; 3.03943 </t>
  </si>
  <si>
    <t>2025123100199T5I</t>
  </si>
  <si>
    <t xml:space="preserve">44.44543 ; 3.10994 </t>
  </si>
  <si>
    <t>2025123100232TVD</t>
  </si>
  <si>
    <t>ARC500931 Solution 2</t>
  </si>
  <si>
    <t xml:space="preserve">44.6292217,-1.1526655 </t>
  </si>
  <si>
    <t>2025123100237TEG</t>
  </si>
  <si>
    <t>44.6325617,-1.036072</t>
  </si>
  <si>
    <t>2025123100242TDQ</t>
  </si>
  <si>
    <t>44.63870 ; -1.11528</t>
  </si>
  <si>
    <t>2025123100325TJX</t>
  </si>
  <si>
    <t>47.961208,-4.0889429</t>
  </si>
  <si>
    <t>2025123100330TM7</t>
  </si>
  <si>
    <t>44.40073 ; 2.63320</t>
  </si>
  <si>
    <t>2025123100338TDX</t>
  </si>
  <si>
    <t>44.6358123,3.0586692</t>
  </si>
  <si>
    <t>2026010200037T6C</t>
  </si>
  <si>
    <t>OOK</t>
  </si>
  <si>
    <t xml:space="preserve">43.8889607,2.7767772 </t>
  </si>
  <si>
    <t>2026010200238TTZ</t>
  </si>
  <si>
    <t>44.558292 ; 2.487281</t>
  </si>
  <si>
    <t>2026010200264TLH</t>
  </si>
  <si>
    <t>47.8720446,-4.0181429</t>
  </si>
  <si>
    <t>2026010200271TNM</t>
  </si>
  <si>
    <t>44.554778, -0.872139</t>
  </si>
  <si>
    <t>2026010200279T4Z</t>
  </si>
  <si>
    <t xml:space="preserve">44.5986997,2.3939903 </t>
  </si>
  <si>
    <t>2026010200319TUB</t>
  </si>
  <si>
    <t>44.6229973,-1.1415762</t>
  </si>
  <si>
    <t>2026010600524TVO</t>
  </si>
  <si>
    <t>IMI-VA-40279-15O1-1
 (DT2)</t>
  </si>
  <si>
    <t>2026010600623T5O</t>
  </si>
  <si>
    <t>44.737508,2.5946681</t>
  </si>
  <si>
    <t>2026010600838TQN</t>
  </si>
  <si>
    <t>​MEN500673 ( solution3)</t>
  </si>
  <si>
    <t>44.572435,3.3302691</t>
  </si>
  <si>
    <t>2026010700205TRQ</t>
  </si>
  <si>
    <t xml:space="preserve">MEN500658					</t>
  </si>
  <si>
    <t>44.77337 ; 3.21630</t>
  </si>
  <si>
    <t>2026010700387TCV</t>
  </si>
  <si>
    <t>43.975886 , 2.5783971</t>
  </si>
  <si>
    <t>RQ: pas d'exploitant</t>
  </si>
  <si>
    <t xml:space="preserve">44.3660833,2.6599529 </t>
  </si>
  <si>
    <t>2026010701004TRQ</t>
  </si>
  <si>
    <t>44.197081,2.5284441</t>
  </si>
  <si>
    <t>2026010701060TWY</t>
  </si>
  <si>
    <t>44.18779 ; 2.34900</t>
  </si>
  <si>
    <t>2026011200048TGQ</t>
  </si>
  <si>
    <t>44.2038738,3.4281928</t>
  </si>
  <si>
    <t>2026011200070TEM</t>
  </si>
  <si>
    <t>44.1729574,2.3643288</t>
  </si>
  <si>
    <t>2026011200108TDT</t>
  </si>
  <si>
    <t>47.8290446,-3.0833514</t>
  </si>
  <si>
    <t>2026011300423TWZ</t>
  </si>
  <si>
    <t>47.72614,-3.4129749</t>
  </si>
  <si>
    <t>2026011300487TJL</t>
  </si>
  <si>
    <t>48.2273096,-4.5123042</t>
  </si>
  <si>
    <t>2026011301702TXF</t>
  </si>
  <si>
    <t>52 RTE DE CHASSAGNES</t>
  </si>
  <si>
    <t>44.644031 ; 3.390956</t>
  </si>
  <si>
    <t>2026011400283TP9</t>
  </si>
  <si>
    <t xml:space="preserve">47.8219987,-3.2584081 </t>
  </si>
  <si>
    <t>2026011400210TN5</t>
  </si>
  <si>
    <t>44.4830521,-0.884572</t>
  </si>
  <si>
    <t>2026011400177TZP</t>
  </si>
  <si>
    <t>44.34780 ; 2.82840</t>
  </si>
  <si>
    <t>2026011400633TKC</t>
  </si>
  <si>
    <t>IMI-VA-40274-00KE-1</t>
  </si>
  <si>
    <t>MARTIN D ONEY</t>
  </si>
  <si>
    <t xml:space="preserve"> 329 RUE DE BAREYA</t>
  </si>
  <si>
    <t>43.92154 ; -0.65456</t>
  </si>
  <si>
    <t>2026011500139T7W</t>
  </si>
  <si>
    <t>IMI-VA-40088-17PG-2</t>
  </si>
  <si>
    <t>43.68992 ; -1.08884</t>
  </si>
  <si>
    <t>2026011600115TLP</t>
  </si>
  <si>
    <t>43.6889708,-0.9995543</t>
  </si>
  <si>
    <t>2026011600305TTB</t>
  </si>
  <si>
    <t xml:space="preserve">IMI-VA-40279/15SU-1
</t>
  </si>
  <si>
    <t>SAINT PAUL LES DAX</t>
  </si>
  <si>
    <t>812 route de Castets</t>
  </si>
  <si>
    <t>43.773217, -1.067733</t>
  </si>
  <si>
    <t>2026011600073TG1</t>
  </si>
  <si>
    <t>44.043673, 2.907648</t>
  </si>
  <si>
    <t>2026011600268T1C</t>
  </si>
  <si>
    <t>47.99497 ; -1.52916</t>
  </si>
  <si>
    <t>2026011900253T4H</t>
  </si>
  <si>
    <t>44.4819082,3.3587106</t>
  </si>
  <si>
    <t>2026011901509TDZ</t>
  </si>
  <si>
    <t>43.856905 , -0.420828</t>
  </si>
  <si>
    <t>2026012200632TQG</t>
  </si>
  <si>
    <t>44.6011715,-1.0991898</t>
  </si>
  <si>
    <t>2026012800209TSN</t>
  </si>
  <si>
    <t xml:space="preserve">DT fait </t>
  </si>
  <si>
    <t>44.63216 ; -1.03379</t>
  </si>
  <si>
    <t>2026012800321TYP</t>
  </si>
  <si>
    <t xml:space="preserve"> 3 IMP COZ DOUAR</t>
  </si>
  <si>
    <t>48.24273 -4.49858</t>
  </si>
  <si>
    <t>2026012300992TNW</t>
  </si>
  <si>
    <t>44.340934,2.6234661</t>
  </si>
  <si>
    <t>2026012800361TSV</t>
  </si>
  <si>
    <t>44.6369012,-1.0848405</t>
  </si>
  <si>
    <t>2026012800455TYA</t>
  </si>
  <si>
    <t>43.6983249,-1.0401719</t>
  </si>
  <si>
    <t>2026012800577T2Z</t>
  </si>
  <si>
    <t>44.5435133,-1.1534529</t>
  </si>
  <si>
    <t>2026012901159TEX</t>
  </si>
  <si>
    <t>44.29166 ; 2.60901</t>
  </si>
  <si>
    <t>2026012800895TNJ</t>
  </si>
  <si>
    <t>44.652174,3.6485111</t>
  </si>
  <si>
    <t>2026012801453TEI</t>
  </si>
  <si>
    <t>44.2439539,2.4077513</t>
  </si>
  <si>
    <t>2026012801512T7O</t>
  </si>
  <si>
    <t>44.51652 ; 2.76404</t>
  </si>
  <si>
    <t>2026012801542TMB</t>
  </si>
  <si>
    <t>44.2966114,2.2313262</t>
  </si>
  <si>
    <t>2026012801583TPM</t>
  </si>
  <si>
    <t>44.2092857   ; 2.1823154</t>
  </si>
  <si>
    <t>2026012900342THL</t>
  </si>
  <si>
    <t xml:space="preserve">44.190206 ; 2.345639 </t>
  </si>
  <si>
    <t>2026012900435TXX</t>
  </si>
  <si>
    <t>44.6459096 , 2.5618961</t>
  </si>
  <si>
    <t>2026012900543T7F</t>
  </si>
  <si>
    <t xml:space="preserve">MEN600005 </t>
  </si>
  <si>
    <t>44.304844,3.1609321</t>
  </si>
  <si>
    <t>2026012800655TSV</t>
  </si>
  <si>
    <t>44.283979,2.5406731</t>
  </si>
  <si>
    <t>2026012801098TFE</t>
  </si>
  <si>
    <t>44.19116 ; 2.03659</t>
  </si>
  <si>
    <t>2026012900968TVA</t>
  </si>
  <si>
    <t>47.8868616,-4.1609014</t>
  </si>
  <si>
    <t>2026020201429TYA</t>
  </si>
  <si>
    <t xml:space="preserve">ROD600119 </t>
  </si>
  <si>
    <t>44.6941429,2.6565391</t>
  </si>
  <si>
    <t>2026020201536TRW</t>
  </si>
  <si>
    <t xml:space="preserve">ROD502143							</t>
  </si>
  <si>
    <t xml:space="preserve">44.124298,2.458612 </t>
  </si>
  <si>
    <t>2026013000813TRF</t>
  </si>
  <si>
    <t xml:space="preserve"> 	6 R SCOURDOIS</t>
  </si>
  <si>
    <t>43.9614989,2.8731204</t>
  </si>
  <si>
    <t>2026013000942TUT</t>
  </si>
  <si>
    <t xml:space="preserve">ROD600123 </t>
  </si>
  <si>
    <t>44.48121,2.4459441</t>
  </si>
  <si>
    <t>2026013001058T9L</t>
  </si>
  <si>
    <t>44.6389031 , -1.1116797</t>
  </si>
  <si>
    <t>2026020200477TZC</t>
  </si>
  <si>
    <t>IMI-VA-40320-004A-1</t>
  </si>
  <si>
    <t>43.919954 , -0.5452989</t>
  </si>
  <si>
    <t>2026020200508TZI</t>
  </si>
  <si>
    <t xml:space="preserve">IMI-VA-64483-00GZ-1
</t>
  </si>
  <si>
    <t>43.368032,-1.6379648</t>
  </si>
  <si>
    <t>2026020201082T0H</t>
  </si>
  <si>
    <t xml:space="preserve">44.489576, 2.605967
</t>
  </si>
  <si>
    <t>2026020300287TNY</t>
  </si>
  <si>
    <t xml:space="preserve"> IMI-VA-40279-055B-1</t>
  </si>
  <si>
    <t>43.722488,-1.0675129</t>
  </si>
  <si>
    <t>2026020300398TZR</t>
  </si>
  <si>
    <t>44.6277924,3.2321533</t>
  </si>
  <si>
    <t>2026020300456TCE</t>
  </si>
  <si>
    <t>44.5216437,3.4930625</t>
  </si>
  <si>
    <t>2026020300525TEY</t>
  </si>
  <si>
    <t xml:space="preserve">ARC500947
</t>
  </si>
  <si>
    <t>44.6105067,-1.1268834</t>
  </si>
  <si>
    <t>2026020300999T2F</t>
  </si>
  <si>
    <t>43.869717,-0.3857739</t>
  </si>
  <si>
    <t>2026020301669T7A</t>
  </si>
  <si>
    <t xml:space="preserve">IMI-VA-40234-00E9-1
</t>
  </si>
  <si>
    <t>43.9859098,-0.36136</t>
  </si>
  <si>
    <t>2026020301723TDG</t>
  </si>
  <si>
    <t>44.631479 , -1.0336168</t>
  </si>
  <si>
    <t>2026020400371TXP</t>
  </si>
  <si>
    <t>47.782378, -3.007250</t>
  </si>
  <si>
    <t>2026020400443THP</t>
  </si>
  <si>
    <t>47.807803, -4.227995</t>
  </si>
  <si>
    <t>2026020401678TDP</t>
  </si>
  <si>
    <t>47.822818, -4.359029</t>
  </si>
  <si>
    <t>2026020401706TKT</t>
  </si>
  <si>
    <t>43.7678798 ,- 1.082775</t>
  </si>
  <si>
    <t>2026020600870TII</t>
  </si>
  <si>
    <t>ROD500124 ( DT2)</t>
  </si>
  <si>
    <t>2026020600948TMO</t>
  </si>
  <si>
    <t xml:space="preserve">IMI-VA-40114-017F-1 </t>
  </si>
  <si>
    <t>43.79408 ; -1.06754</t>
  </si>
  <si>
    <t>2026021000439TSR</t>
  </si>
  <si>
    <r>
      <rPr>
        <sz val="11"/>
        <color rgb="FF000000"/>
        <rFont val="Aptos Narrow"/>
        <scheme val="minor"/>
      </rPr>
      <t xml:space="preserve">ROD600086 ( </t>
    </r>
    <r>
      <rPr>
        <sz val="11"/>
        <color rgb="FFFF0000"/>
        <rFont val="Aptos Narrow"/>
        <scheme val="minor"/>
      </rPr>
      <t>dossier a reprendre</t>
    </r>
    <r>
      <rPr>
        <sz val="11"/>
        <color rgb="FF000000"/>
        <rFont val="Aptos Narrow"/>
        <scheme val="minor"/>
      </rPr>
      <t xml:space="preserve"> ) </t>
    </r>
  </si>
  <si>
    <t>48.061476,-3.8385767</t>
  </si>
  <si>
    <t>2026020601004TJC</t>
  </si>
  <si>
    <t>47.54340  -2.81380</t>
  </si>
  <si>
    <t>2026020601161TWJ</t>
  </si>
  <si>
    <t>44.4312182,3.2093809</t>
  </si>
  <si>
    <t>2026020601207TS7</t>
  </si>
  <si>
    <t xml:space="preserve">ARC600063											</t>
  </si>
  <si>
    <t>44.6167113,-1.0670614</t>
  </si>
  <si>
    <t>2026021000306TBI</t>
  </si>
  <si>
    <t>44.60184 ; -0.76348</t>
  </si>
  <si>
    <t>2026021200138TQX</t>
  </si>
  <si>
    <t>44.080439, 2.721574</t>
  </si>
  <si>
    <t>2026021300741T86</t>
  </si>
  <si>
    <t>47.709363, -2.144311</t>
  </si>
  <si>
    <t>2026021400013TED</t>
  </si>
  <si>
    <t xml:space="preserve">IMI-VA-64483-02I9-1
</t>
  </si>
  <si>
    <t>43.3964717,-1.6625397</t>
  </si>
  <si>
    <t>2026021400017TN4</t>
  </si>
  <si>
    <t>48.011299, -1.636863</t>
  </si>
  <si>
    <t>2026021601570TKC</t>
  </si>
  <si>
    <t xml:space="preserve">IMI-VA-40123-01P6-1
</t>
  </si>
  <si>
    <t>43.796475, -1.136379</t>
  </si>
  <si>
    <t>2026021700280TPO</t>
  </si>
  <si>
    <t>47.8419255,-3.6962737</t>
  </si>
  <si>
    <t>2026021701475TNT</t>
  </si>
  <si>
    <t>47.90465 ; -4.21416</t>
  </si>
  <si>
    <t>2026021701524TV9</t>
  </si>
  <si>
    <r>
      <rPr>
        <u/>
        <sz val="11"/>
        <color rgb="FF467886"/>
        <rFont val="Aptos Narrow"/>
        <scheme val="minor"/>
      </rPr>
      <t>MEN300841  (</t>
    </r>
    <r>
      <rPr>
        <u/>
        <sz val="11"/>
        <color rgb="FFFF0000"/>
        <rFont val="Aptos Narrow"/>
        <scheme val="minor"/>
      </rPr>
      <t>DT2</t>
    </r>
    <r>
      <rPr>
        <u/>
        <sz val="11"/>
        <color rgb="FF467886"/>
        <rFont val="Aptos Narrow"/>
        <scheme val="minor"/>
      </rPr>
      <t>)</t>
    </r>
  </si>
  <si>
    <t>2026021800106TRZ</t>
  </si>
  <si>
    <t>44.26897 ; 3.85979</t>
  </si>
  <si>
    <t>2026021800144TEX</t>
  </si>
  <si>
    <t>48.072273,-1.1890299</t>
  </si>
  <si>
    <t>2026021900219TR6</t>
  </si>
  <si>
    <t>​ROD600204</t>
  </si>
  <si>
    <t>44.063084, 2.683563</t>
  </si>
  <si>
    <t>2026021900175T5N</t>
  </si>
  <si>
    <t>47.5889773,-3.0836379</t>
  </si>
  <si>
    <t>2026022000668THW</t>
  </si>
  <si>
    <t>47.8224174,-4.3623781</t>
  </si>
  <si>
    <t>2026022000724TEE</t>
  </si>
  <si>
    <t>47.6979992,-2.9040962</t>
  </si>
  <si>
    <t>2026022000747TP1</t>
  </si>
  <si>
    <t>47.511392,-2.679335</t>
  </si>
  <si>
    <t>2026022000768TDD</t>
  </si>
  <si>
    <t>47.7743194,-3.0115214</t>
  </si>
  <si>
    <t>2026022000780TYW</t>
  </si>
  <si>
    <t>47.55983 ; -2.46185</t>
  </si>
  <si>
    <t>2026022000795TU1</t>
  </si>
  <si>
    <t>43.94552 ; 2.60403</t>
  </si>
  <si>
    <t>2026021900758TKR</t>
  </si>
  <si>
    <t>44.214564, 3.083473</t>
  </si>
  <si>
    <t>2026022000810TNQ</t>
  </si>
  <si>
    <t>47.8511441,-3.393678</t>
  </si>
  <si>
    <t>2026022001046TXY</t>
  </si>
  <si>
    <t>43.8273338,2.8744997</t>
  </si>
  <si>
    <t>2026022100036T0O</t>
  </si>
  <si>
    <t>44.527304 , 2.536444</t>
  </si>
  <si>
    <t>2026022300185TBT</t>
  </si>
  <si>
    <t>43.911093, 3.178307</t>
  </si>
  <si>
    <t>2026022300292TSL</t>
  </si>
  <si>
    <t>47.715275, -3.337560</t>
  </si>
  <si>
    <t>2026022300533T8P</t>
  </si>
  <si>
    <t>48.010732,-1.6406395</t>
  </si>
  <si>
    <t>2026022300629TDY</t>
  </si>
  <si>
    <t>44.229048, 3.704953</t>
  </si>
  <si>
    <t>2026022300803TKO</t>
  </si>
  <si>
    <t>44.774057, 3.216014</t>
  </si>
  <si>
    <t>2026022300855TTH</t>
  </si>
  <si>
    <t>44.433083, 3.931207</t>
  </si>
  <si>
    <t>2026022301024TGA</t>
  </si>
  <si>
    <t>IMI-VA-40320-004W-1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</si>
</sst>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C]d\-mmm;@"/>
    <numFmt numFmtId="165" formatCode="[$-F800]dddd\,\ mmmm\ dd\,\ yyyy"/>
  </numFmts>
  <fonts count="70">
    <font>
      <sz val="11"/>
      <color theme="1"/>
      <name val="Aptos Narrow"/>
      <family val="2"/>
      <scheme val="minor"/>
    </font>
    <font>
      <u/>
      <sz val="11"/>
      <color theme="10"/>
      <name val="Aptos Narrow"/>
      <family val="2"/>
      <scheme val="minor"/>
    </font>
    <font>
      <b/>
      <sz val="10"/>
      <color rgb="FF000000"/>
      <name val="Arial"/>
      <family val="2"/>
    </font>
    <font>
      <sz val="10"/>
      <color rgb="FF000000"/>
      <name val="Arial"/>
      <family val="2"/>
    </font>
    <font>
      <b/>
      <sz val="11"/>
      <color theme="1"/>
      <name val="Aptos Narrow"/>
      <family val="2"/>
      <scheme val="minor"/>
    </font>
    <font>
      <sz val="11"/>
      <color rgb="FF000000"/>
      <name val="Aptos Narrow"/>
      <family val="2"/>
      <scheme val="minor"/>
    </font>
    <font>
      <b/>
      <sz val="11"/>
      <color rgb="FF000000"/>
      <name val="Aptos Narrow"/>
      <family val="2"/>
      <scheme val="minor"/>
    </font>
    <font>
      <b/>
      <i/>
      <sz val="36"/>
      <color theme="1"/>
      <name val="Agency FB"/>
      <family val="2"/>
    </font>
    <font>
      <sz val="11"/>
      <color rgb="FF000000"/>
      <name val="Aptos Narrow"/>
      <family val="2"/>
    </font>
    <font>
      <sz val="10"/>
      <color theme="1"/>
      <name val="Arial"/>
      <family val="2"/>
    </font>
    <font>
      <sz val="8"/>
      <name val="Aptos Narrow"/>
      <family val="2"/>
      <scheme val="minor"/>
    </font>
    <font>
      <sz val="11"/>
      <color rgb="FF000000"/>
      <name val="Aptos Narrow"/>
    </font>
    <font>
      <sz val="10"/>
      <color rgb="FF000000"/>
      <name val="Arial"/>
    </font>
    <font>
      <sz val="10"/>
      <color theme="1"/>
      <name val="Arial"/>
    </font>
    <font>
      <b/>
      <sz val="10"/>
      <color rgb="FF000000"/>
      <name val="Arial"/>
    </font>
    <font>
      <sz val="9"/>
      <color rgb="FF000000"/>
      <name val="Arial"/>
    </font>
    <font>
      <sz val="9"/>
      <color theme="1"/>
      <name val="Arial"/>
    </font>
    <font>
      <b/>
      <sz val="11"/>
      <color theme="0"/>
      <name val="Aptos Narrow"/>
      <family val="2"/>
      <scheme val="minor"/>
    </font>
    <font>
      <b/>
      <sz val="16"/>
      <color theme="0"/>
      <name val="Aptos Narrow"/>
      <family val="2"/>
      <scheme val="minor"/>
    </font>
    <font>
      <b/>
      <sz val="16"/>
      <color rgb="FF000000"/>
      <name val="Aptos Narrow"/>
      <family val="2"/>
      <scheme val="minor"/>
    </font>
    <font>
      <sz val="11"/>
      <color rgb="FF000000"/>
      <name val="Calibri"/>
    </font>
    <font>
      <sz val="11"/>
      <color rgb="FF000000"/>
      <name val="Calibri"/>
      <charset val="1"/>
    </font>
    <font>
      <sz val="12"/>
      <color rgb="FF000000"/>
      <name val="Aptos"/>
      <charset val="1"/>
    </font>
    <font>
      <b/>
      <sz val="10"/>
      <color theme="1"/>
      <name val="Arial"/>
    </font>
    <font>
      <b/>
      <sz val="11"/>
      <color rgb="FF000000"/>
      <name val="Calibri"/>
    </font>
    <font>
      <sz val="11"/>
      <color rgb="FF000000"/>
      <name val="Aptos Narrow"/>
      <family val="2"/>
      <charset val="1"/>
    </font>
    <font>
      <sz val="11"/>
      <color rgb="FF000000"/>
      <name val="Segoe UI"/>
      <charset val="1"/>
    </font>
    <font>
      <sz val="10"/>
      <color rgb="FF000000"/>
      <name val="Arial"/>
      <charset val="1"/>
    </font>
    <font>
      <sz val="11"/>
      <color theme="1"/>
      <name val="Calibri"/>
      <charset val="1"/>
    </font>
    <font>
      <b/>
      <sz val="12"/>
      <color rgb="FFFF0000"/>
      <name val="Aptos Narrow"/>
      <family val="2"/>
      <scheme val="minor"/>
    </font>
    <font>
      <sz val="11"/>
      <color rgb="FFFF0000"/>
      <name val="Aptos Narrow"/>
      <family val="2"/>
      <scheme val="minor"/>
    </font>
    <font>
      <sz val="11"/>
      <color rgb="FFFF0000"/>
      <name val="Aptos Narrow"/>
      <scheme val="minor"/>
    </font>
    <font>
      <sz val="11"/>
      <color rgb="FF000000"/>
      <name val="Aptos Narrow"/>
      <charset val="1"/>
    </font>
    <font>
      <sz val="11"/>
      <color rgb="FF000000"/>
      <name val="Aptos Narrow"/>
      <scheme val="minor"/>
    </font>
    <font>
      <sz val="14"/>
      <color rgb="FF000000"/>
      <name val="Aptos Narrow"/>
      <scheme val="minor"/>
    </font>
    <font>
      <sz val="12"/>
      <color rgb="FF000000"/>
      <name val="Calibri"/>
    </font>
    <font>
      <b/>
      <sz val="12"/>
      <color rgb="FF000000"/>
      <name val="Calibri"/>
    </font>
    <font>
      <sz val="11"/>
      <color rgb="FFFF0000"/>
      <name val="Aptos Narrow"/>
      <charset val="1"/>
    </font>
    <font>
      <sz val="11"/>
      <color rgb="FFFF0000"/>
      <name val="Aptos Narrow"/>
    </font>
    <font>
      <b/>
      <sz val="10"/>
      <color theme="0"/>
      <name val="Arial"/>
    </font>
    <font>
      <b/>
      <sz val="11"/>
      <color rgb="FFFF0000"/>
      <name val="Arial"/>
    </font>
    <font>
      <b/>
      <sz val="10"/>
      <color rgb="FFFF0000"/>
      <name val="Arial"/>
    </font>
    <font>
      <b/>
      <sz val="11"/>
      <color rgb="FFFF0000"/>
      <name val="Aptos Narrow"/>
      <family val="2"/>
      <scheme val="minor"/>
    </font>
    <font>
      <b/>
      <sz val="11"/>
      <color theme="0"/>
      <name val="Aptos Narrow"/>
    </font>
    <font>
      <sz val="11"/>
      <color rgb="FF1F1F1F"/>
      <name val="Google Sans"/>
      <charset val="1"/>
    </font>
    <font>
      <b/>
      <sz val="11"/>
      <color rgb="FF000000"/>
      <name val="Aptos Narrow"/>
      <scheme val="minor"/>
    </font>
    <font>
      <sz val="9"/>
      <color theme="0"/>
      <name val="Aptos Narrow"/>
      <family val="2"/>
      <scheme val="minor"/>
    </font>
    <font>
      <b/>
      <sz val="9"/>
      <color theme="0"/>
      <name val="Arial"/>
      <family val="2"/>
    </font>
    <font>
      <b/>
      <sz val="9"/>
      <color theme="0"/>
      <name val="Aptos Narrow"/>
      <family val="2"/>
      <scheme val="minor"/>
    </font>
    <font>
      <b/>
      <sz val="9"/>
      <color theme="5"/>
      <name val="Aptos Narrow"/>
      <family val="2"/>
      <scheme val="minor"/>
    </font>
    <font>
      <b/>
      <sz val="9"/>
      <color theme="4" tint="0.59999389629810485"/>
      <name val="Aptos Narrow"/>
      <family val="2"/>
      <scheme val="minor"/>
    </font>
    <font>
      <sz val="9"/>
      <color theme="1"/>
      <name val="Aptos Narrow"/>
      <family val="2"/>
      <scheme val="minor"/>
    </font>
    <font>
      <b/>
      <sz val="9"/>
      <color rgb="FFC00000"/>
      <name val="Aptos Narrow"/>
      <family val="2"/>
      <scheme val="minor"/>
    </font>
    <font>
      <sz val="9"/>
      <color rgb="FF000000"/>
      <name val="Aptos Narrow"/>
      <family val="2"/>
      <scheme val="minor"/>
    </font>
    <font>
      <sz val="11"/>
      <color rgb="FF000000"/>
      <name val="Calibri"/>
      <family val="2"/>
      <charset val="1"/>
    </font>
    <font>
      <sz val="11"/>
      <color rgb="FF242424"/>
      <name val="Aptos Narrow"/>
      <charset val="1"/>
    </font>
    <font>
      <u/>
      <sz val="11"/>
      <color rgb="FF000000"/>
      <name val="Calibri"/>
    </font>
    <font>
      <u/>
      <sz val="12"/>
      <color theme="10"/>
      <name val="Aptos Narrow"/>
      <family val="2"/>
      <scheme val="minor"/>
    </font>
    <font>
      <sz val="12"/>
      <color rgb="FF000000"/>
      <name val="Aptos Narrow"/>
      <family val="2"/>
      <scheme val="minor"/>
    </font>
    <font>
      <sz val="10"/>
      <color rgb="FFFF0000"/>
      <name val="Arial"/>
    </font>
    <font>
      <u/>
      <sz val="11"/>
      <color rgb="FF467886"/>
      <name val="Aptos Narrow"/>
      <scheme val="minor"/>
    </font>
    <font>
      <u/>
      <sz val="11"/>
      <color rgb="FFFF0000"/>
      <name val="Aptos Narrow"/>
      <scheme val="minor"/>
    </font>
    <font>
      <sz val="10"/>
      <color rgb="FFF2630A"/>
      <name val="Arial"/>
    </font>
    <font>
      <sz val="10"/>
      <color rgb="FF0D0D0D"/>
      <name val="Arial"/>
    </font>
    <font>
      <sz val="12"/>
      <color rgb="FF000000"/>
      <name val="Roboto"/>
      <charset val="1"/>
    </font>
    <font>
      <sz val="11"/>
      <color theme="1"/>
      <name val="Aptos Narrow"/>
      <scheme val="minor"/>
    </font>
    <font>
      <sz val="12"/>
      <color rgb="FF000000"/>
      <name val="Arial"/>
    </font>
    <font>
      <sz val="11"/>
      <color rgb="FF000000"/>
      <name val="Arial"/>
    </font>
    <font>
      <b/>
      <sz val="11"/>
      <color rgb="FF000000"/>
      <name val="Arial"/>
    </font>
    <font>
      <sz val="12"/>
      <color rgb="FFFFFFFF"/>
      <name val="Segoe UI"/>
      <charset val="1"/>
    </font>
  </fonts>
  <fills count="3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00"/>
        <bgColor indexed="64"/>
      </patternFill>
    </fill>
    <fill>
      <patternFill patternType="solid">
        <fgColor rgb="FFFFFFFF"/>
        <bgColor rgb="FF000000"/>
      </patternFill>
    </fill>
    <fill>
      <patternFill patternType="solid">
        <fgColor rgb="FF6E6EFF"/>
        <bgColor rgb="FF6E6EFF"/>
      </patternFill>
    </fill>
    <fill>
      <patternFill patternType="solid">
        <fgColor rgb="FFC0E4F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rgb="FFFF0000"/>
        <bgColor indexed="64"/>
      </patternFill>
    </fill>
    <fill>
      <patternFill patternType="solid">
        <fgColor theme="3" tint="0.499984740745262"/>
        <bgColor indexed="64"/>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5"/>
        <bgColor indexed="64"/>
      </patternFill>
    </fill>
    <fill>
      <patternFill patternType="solid">
        <fgColor theme="6" tint="-0.249977111117893"/>
        <bgColor indexed="64"/>
      </patternFill>
    </fill>
    <fill>
      <patternFill patternType="solid">
        <fgColor theme="6" tint="-0.249977111117893"/>
        <bgColor rgb="FF000000"/>
      </patternFill>
    </fill>
    <fill>
      <patternFill patternType="solid">
        <fgColor theme="2"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499984740745262"/>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FFFFFF"/>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4"/>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6" tint="0.79998168889431442"/>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theme="4" tint="-0.249977111117893"/>
      </top>
      <bottom style="medium">
        <color theme="4" tint="-0.249977111117893"/>
      </bottom>
      <diagonal/>
    </border>
    <border>
      <left/>
      <right/>
      <top style="thin">
        <color rgb="FF9BC2E6"/>
      </top>
      <bottom style="thin">
        <color rgb="FF9BC2E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bottom/>
      <diagonal/>
    </border>
    <border>
      <left style="medium">
        <color indexed="64"/>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right style="thin">
        <color indexed="64"/>
      </right>
      <top style="medium">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style="medium">
        <color rgb="FF000000"/>
      </right>
      <top/>
      <bottom/>
      <diagonal/>
    </border>
    <border>
      <left style="thin">
        <color indexed="64"/>
      </left>
      <right/>
      <top style="medium">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3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4" fillId="7" borderId="2" xfId="0" applyFont="1" applyFill="1" applyBorder="1" applyAlignment="1">
      <alignment horizontal="left"/>
    </xf>
    <xf numFmtId="14" fontId="3" fillId="0" borderId="1" xfId="0" applyNumberFormat="1" applyFont="1" applyBorder="1" applyAlignment="1">
      <alignment horizontal="center" vertical="center"/>
    </xf>
    <xf numFmtId="0" fontId="5" fillId="0" borderId="0" xfId="0" applyFont="1" applyAlignment="1">
      <alignment horizontal="center" vertical="center"/>
    </xf>
    <xf numFmtId="16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1" fillId="0" borderId="1" xfId="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6" fillId="0" borderId="1" xfId="0" applyNumberFormat="1" applyFont="1" applyBorder="1" applyAlignment="1">
      <alignment horizontal="center" vertical="center"/>
    </xf>
    <xf numFmtId="0" fontId="4" fillId="7" borderId="0" xfId="0" applyFont="1" applyFill="1" applyAlignment="1">
      <alignment wrapText="1"/>
    </xf>
    <xf numFmtId="0" fontId="4" fillId="7" borderId="0" xfId="0" applyFont="1" applyFill="1"/>
    <xf numFmtId="0" fontId="0" fillId="12" borderId="0" xfId="0" applyFill="1"/>
    <xf numFmtId="0" fontId="0" fillId="0" borderId="4" xfId="0"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0" fillId="11"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14" fontId="8" fillId="9" borderId="1" xfId="0" applyNumberFormat="1" applyFont="1" applyFill="1" applyBorder="1" applyAlignment="1">
      <alignment horizontal="center" vertical="center"/>
    </xf>
    <xf numFmtId="14" fontId="8" fillId="0" borderId="1" xfId="0" applyNumberFormat="1" applyFont="1" applyBorder="1" applyAlignment="1">
      <alignment horizontal="center" vertical="center"/>
    </xf>
    <xf numFmtId="14" fontId="11" fillId="0" borderId="1" xfId="0" applyNumberFormat="1" applyFont="1" applyBorder="1" applyAlignment="1">
      <alignment horizontal="center" vertical="center"/>
    </xf>
    <xf numFmtId="0" fontId="12" fillId="0" borderId="1" xfId="0" applyFont="1" applyBorder="1" applyAlignment="1">
      <alignment horizontal="center" vertical="center"/>
    </xf>
    <xf numFmtId="14" fontId="13" fillId="0" borderId="1" xfId="0" applyNumberFormat="1" applyFont="1" applyBorder="1" applyAlignment="1">
      <alignment horizontal="center" vertical="center"/>
    </xf>
    <xf numFmtId="14" fontId="12" fillId="0" borderId="1" xfId="0" applyNumberFormat="1" applyFont="1" applyBorder="1" applyAlignment="1">
      <alignment horizontal="center" vertical="center"/>
    </xf>
    <xf numFmtId="0" fontId="12" fillId="2" borderId="1" xfId="0" applyFont="1" applyFill="1" applyBorder="1" applyAlignment="1">
      <alignment horizontal="center" vertical="center"/>
    </xf>
    <xf numFmtId="0" fontId="16" fillId="0" borderId="0" xfId="0" applyFont="1"/>
    <xf numFmtId="0" fontId="15" fillId="2" borderId="1" xfId="0" applyFont="1" applyFill="1" applyBorder="1" applyAlignment="1">
      <alignment horizontal="center" vertical="center"/>
    </xf>
    <xf numFmtId="14" fontId="15" fillId="2" borderId="1" xfId="0" applyNumberFormat="1" applyFont="1" applyFill="1" applyBorder="1" applyAlignment="1">
      <alignment horizontal="center" vertical="center"/>
    </xf>
    <xf numFmtId="0" fontId="13" fillId="0" borderId="1" xfId="0" applyFont="1" applyBorder="1" applyAlignment="1">
      <alignment horizontal="center" vertical="center"/>
    </xf>
    <xf numFmtId="0" fontId="14" fillId="5" borderId="1" xfId="0" applyFont="1" applyFill="1" applyBorder="1" applyAlignment="1">
      <alignment horizontal="center" vertical="center" indent="2"/>
    </xf>
    <xf numFmtId="0" fontId="13" fillId="0" borderId="7" xfId="0" applyFont="1" applyBorder="1" applyAlignment="1">
      <alignment horizontal="center" vertical="center"/>
    </xf>
    <xf numFmtId="14" fontId="13" fillId="0" borderId="7" xfId="0" applyNumberFormat="1" applyFont="1" applyBorder="1" applyAlignment="1">
      <alignment horizontal="center" vertical="center"/>
    </xf>
    <xf numFmtId="0" fontId="14" fillId="5" borderId="1" xfId="0" applyFont="1" applyFill="1" applyBorder="1" applyAlignment="1">
      <alignment horizontal="center" vertical="center"/>
    </xf>
    <xf numFmtId="0" fontId="14" fillId="5" borderId="7" xfId="0" applyFont="1" applyFill="1" applyBorder="1" applyAlignment="1">
      <alignment horizontal="center" vertical="center"/>
    </xf>
    <xf numFmtId="49" fontId="11" fillId="0" borderId="1" xfId="0" applyNumberFormat="1" applyFont="1" applyBorder="1" applyAlignment="1">
      <alignment horizontal="center" vertical="center"/>
    </xf>
    <xf numFmtId="0" fontId="8" fillId="9" borderId="1" xfId="0" applyFont="1" applyFill="1" applyBorder="1" applyAlignment="1">
      <alignment horizontal="center" vertical="center"/>
    </xf>
    <xf numFmtId="0" fontId="0" fillId="25" borderId="0" xfId="0" applyFill="1"/>
    <xf numFmtId="0" fontId="12" fillId="2" borderId="1" xfId="0" applyFont="1" applyFill="1" applyBorder="1" applyAlignment="1">
      <alignment horizontal="center" vertical="center" indent="1"/>
    </xf>
    <xf numFmtId="14" fontId="8" fillId="0" borderId="1" xfId="0" applyNumberFormat="1" applyFont="1" applyBorder="1" applyAlignment="1">
      <alignment horizontal="center" vertical="center" wrapText="1"/>
    </xf>
    <xf numFmtId="14" fontId="11" fillId="9" borderId="1" xfId="0" applyNumberFormat="1" applyFont="1" applyFill="1" applyBorder="1" applyAlignment="1">
      <alignment horizontal="center" vertical="center"/>
    </xf>
    <xf numFmtId="0" fontId="0" fillId="0" borderId="5" xfId="0" applyBorder="1" applyAlignment="1">
      <alignment horizontal="center" vertical="center"/>
    </xf>
    <xf numFmtId="0" fontId="2" fillId="5" borderId="5" xfId="0" applyFont="1" applyFill="1" applyBorder="1" applyAlignment="1">
      <alignment horizontal="center" vertical="center" indent="2"/>
    </xf>
    <xf numFmtId="0" fontId="2" fillId="5" borderId="5" xfId="0" applyFont="1" applyFill="1" applyBorder="1" applyAlignment="1">
      <alignment horizontal="center" vertical="center" wrapText="1" indent="2"/>
    </xf>
    <xf numFmtId="49" fontId="8"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1" fillId="0" borderId="1" xfId="0" applyNumberFormat="1" applyFont="1" applyBorder="1" applyAlignment="1">
      <alignment horizontal="center" vertical="center" wrapText="1"/>
    </xf>
    <xf numFmtId="0" fontId="21" fillId="27" borderId="1" xfId="0" applyFont="1" applyFill="1" applyBorder="1" applyAlignment="1">
      <alignment wrapText="1"/>
    </xf>
    <xf numFmtId="0" fontId="0" fillId="0" borderId="6" xfId="0" applyBorder="1" applyAlignment="1">
      <alignment horizontal="center"/>
    </xf>
    <xf numFmtId="0" fontId="12" fillId="2" borderId="1" xfId="0" applyFont="1" applyFill="1" applyBorder="1" applyAlignment="1">
      <alignment horizontal="center" vertical="center" indent="2"/>
    </xf>
    <xf numFmtId="0" fontId="12" fillId="0" borderId="1" xfId="0" applyFont="1" applyBorder="1" applyAlignment="1">
      <alignment horizontal="center" vertical="center" indent="1"/>
    </xf>
    <xf numFmtId="14" fontId="12" fillId="0" borderId="1" xfId="0" applyNumberFormat="1" applyFont="1" applyBorder="1" applyAlignment="1">
      <alignment horizontal="center" vertical="center" indent="1"/>
    </xf>
    <xf numFmtId="0" fontId="12" fillId="0" borderId="0" xfId="0" applyFont="1" applyAlignment="1">
      <alignment horizontal="center" vertical="center" indent="1"/>
    </xf>
    <xf numFmtId="0" fontId="0" fillId="0" borderId="0" xfId="0" applyAlignment="1">
      <alignment horizontal="left" indent="1"/>
    </xf>
    <xf numFmtId="0" fontId="1" fillId="0" borderId="1" xfId="1" applyBorder="1" applyAlignment="1">
      <alignment horizontal="center"/>
    </xf>
    <xf numFmtId="14" fontId="20" fillId="0" borderId="3" xfId="0" applyNumberFormat="1" applyFont="1" applyBorder="1" applyAlignment="1">
      <alignment horizontal="center" vertical="center"/>
    </xf>
    <xf numFmtId="0" fontId="6" fillId="0" borderId="3" xfId="0" applyFont="1" applyBorder="1" applyAlignment="1">
      <alignment horizontal="center" vertical="center"/>
    </xf>
    <xf numFmtId="14" fontId="24" fillId="0" borderId="3" xfId="0" applyNumberFormat="1" applyFont="1" applyBorder="1" applyAlignment="1">
      <alignment horizontal="center" vertical="center"/>
    </xf>
    <xf numFmtId="0" fontId="25" fillId="27" borderId="18" xfId="0" applyFont="1" applyFill="1" applyBorder="1" applyAlignment="1">
      <alignment horizontal="center" vertical="center" wrapText="1"/>
    </xf>
    <xf numFmtId="0" fontId="25" fillId="27" borderId="17" xfId="0" applyFont="1" applyFill="1" applyBorder="1" applyAlignment="1">
      <alignment horizontal="center" vertical="center" wrapText="1"/>
    </xf>
    <xf numFmtId="14" fontId="25" fillId="27" borderId="17" xfId="0" applyNumberFormat="1" applyFont="1" applyFill="1" applyBorder="1" applyAlignment="1">
      <alignment horizontal="center" vertical="center" wrapText="1"/>
    </xf>
    <xf numFmtId="14" fontId="0" fillId="0" borderId="0" xfId="0" applyNumberFormat="1" applyAlignment="1">
      <alignment horizontal="center" vertical="center"/>
    </xf>
    <xf numFmtId="0" fontId="27" fillId="0" borderId="0" xfId="0" applyFont="1"/>
    <xf numFmtId="0" fontId="28" fillId="0" borderId="0" xfId="0" applyFont="1"/>
    <xf numFmtId="0" fontId="17" fillId="30" borderId="1" xfId="0" applyFont="1" applyFill="1" applyBorder="1" applyAlignment="1">
      <alignment horizontal="center"/>
    </xf>
    <xf numFmtId="0" fontId="17" fillId="30" borderId="6" xfId="0" applyFont="1" applyFill="1" applyBorder="1" applyAlignment="1">
      <alignment horizontal="center"/>
    </xf>
    <xf numFmtId="0" fontId="0" fillId="31" borderId="1" xfId="0" applyFill="1" applyBorder="1" applyAlignment="1">
      <alignment horizontal="center"/>
    </xf>
    <xf numFmtId="0" fontId="5" fillId="31" borderId="1" xfId="0" applyFont="1" applyFill="1" applyBorder="1" applyAlignment="1">
      <alignment horizontal="center"/>
      <extLst>
        <ext xmlns:xfpb="http://schemas.microsoft.com/office/spreadsheetml/2022/featurepropertybag" uri="{C7286773-470A-42A8-94C5-96B5CB345126}">
          <xfpb:xfComplement i="0"/>
        </ext>
      </extLst>
    </xf>
    <xf numFmtId="0" fontId="30" fillId="31" borderId="1" xfId="0" applyFont="1" applyFill="1" applyBorder="1" applyAlignment="1">
      <alignment horizontal="center"/>
      <extLst>
        <ext xmlns:xfpb="http://schemas.microsoft.com/office/spreadsheetml/2022/featurepropertybag" uri="{C7286773-470A-42A8-94C5-96B5CB345126}">
          <xfpb:xfComplement i="0"/>
        </ext>
      </extLst>
    </xf>
    <xf numFmtId="0" fontId="30" fillId="31" borderId="1" xfId="0" applyFont="1" applyFill="1" applyBorder="1" applyAlignment="1">
      <alignment horizontal="center"/>
    </xf>
    <xf numFmtId="0" fontId="30" fillId="31" borderId="6" xfId="0" applyFont="1" applyFill="1" applyBorder="1" applyAlignment="1">
      <alignment horizontal="center"/>
    </xf>
    <xf numFmtId="0" fontId="30" fillId="31" borderId="6" xfId="0" applyFont="1" applyFill="1" applyBorder="1" applyAlignment="1">
      <alignment horizontal="center"/>
      <extLst>
        <ext xmlns:xfpb="http://schemas.microsoft.com/office/spreadsheetml/2022/featurepropertybag" uri="{C7286773-470A-42A8-94C5-96B5CB345126}">
          <xfpb:xfComplement i="0"/>
        </ext>
      </extLst>
    </xf>
    <xf numFmtId="0" fontId="5" fillId="0" borderId="1" xfId="0" applyFont="1" applyBorder="1" applyAlignment="1">
      <alignment horizontal="center"/>
      <extLst>
        <ext xmlns:xfpb="http://schemas.microsoft.com/office/spreadsheetml/2022/featurepropertybag" uri="{C7286773-470A-42A8-94C5-96B5CB345126}">
          <xfpb:xfComplement i="0"/>
        </ext>
      </extLst>
    </xf>
    <xf numFmtId="0" fontId="30" fillId="0" borderId="1" xfId="0" applyFont="1" applyBorder="1" applyAlignment="1">
      <alignment horizontal="center"/>
      <extLst>
        <ext xmlns:xfpb="http://schemas.microsoft.com/office/spreadsheetml/2022/featurepropertybag" uri="{C7286773-470A-42A8-94C5-96B5CB345126}">
          <xfpb:xfComplement i="0"/>
        </ext>
      </extLst>
    </xf>
    <xf numFmtId="0" fontId="0" fillId="31" borderId="6" xfId="0" applyFill="1" applyBorder="1" applyAlignment="1">
      <alignment horizontal="center"/>
    </xf>
    <xf numFmtId="0" fontId="31" fillId="31" borderId="1" xfId="0" applyFont="1" applyFill="1" applyBorder="1" applyAlignment="1">
      <alignment horizontal="center"/>
    </xf>
    <xf numFmtId="0" fontId="31" fillId="31" borderId="6" xfId="0" applyFont="1" applyFill="1" applyBorder="1" applyAlignment="1">
      <alignment horizontal="center"/>
    </xf>
    <xf numFmtId="0" fontId="31" fillId="0" borderId="1" xfId="0" applyFont="1" applyBorder="1" applyAlignment="1">
      <alignment horizontal="center"/>
    </xf>
    <xf numFmtId="0" fontId="32" fillId="0" borderId="0" xfId="0" applyFont="1"/>
    <xf numFmtId="0" fontId="0" fillId="0" borderId="5" xfId="0" applyBorder="1" applyAlignment="1">
      <alignment horizontal="center"/>
    </xf>
    <xf numFmtId="0" fontId="33" fillId="0" borderId="1" xfId="0" applyFont="1" applyBorder="1" applyAlignment="1">
      <alignment horizontal="center"/>
    </xf>
    <xf numFmtId="0" fontId="0" fillId="0" borderId="7" xfId="0" applyBorder="1" applyAlignment="1">
      <alignment horizontal="center"/>
    </xf>
    <xf numFmtId="0" fontId="31" fillId="0" borderId="6" xfId="0" applyFont="1" applyBorder="1" applyAlignment="1">
      <alignment horizontal="center"/>
    </xf>
    <xf numFmtId="0" fontId="0" fillId="31" borderId="0" xfId="0" applyFill="1"/>
    <xf numFmtId="0" fontId="0" fillId="31" borderId="4" xfId="0" applyFill="1" applyBorder="1" applyAlignment="1">
      <alignment horizontal="center"/>
    </xf>
    <xf numFmtId="0" fontId="34" fillId="0" borderId="1" xfId="0" applyFont="1" applyBorder="1" applyAlignment="1">
      <alignment horizontal="center"/>
    </xf>
    <xf numFmtId="0" fontId="5" fillId="31" borderId="1" xfId="0" applyFont="1" applyFill="1" applyBorder="1" applyAlignment="1">
      <alignment horizontal="center"/>
    </xf>
    <xf numFmtId="0" fontId="30" fillId="0" borderId="1" xfId="0" applyFont="1" applyBorder="1" applyAlignment="1">
      <alignment horizontal="center"/>
    </xf>
    <xf numFmtId="0" fontId="30" fillId="0" borderId="6" xfId="0" applyFont="1" applyBorder="1" applyAlignment="1">
      <alignment horizontal="center"/>
    </xf>
    <xf numFmtId="0" fontId="0" fillId="31" borderId="1" xfId="0" applyFill="1" applyBorder="1" applyAlignment="1">
      <alignment horizontal="center" wrapText="1"/>
    </xf>
    <xf numFmtId="0" fontId="0" fillId="31" borderId="0" xfId="0" applyFill="1" applyAlignment="1">
      <alignment horizontal="center"/>
    </xf>
    <xf numFmtId="0" fontId="33" fillId="31" borderId="1" xfId="0" applyFont="1" applyFill="1" applyBorder="1" applyAlignment="1">
      <alignment horizontal="center"/>
    </xf>
    <xf numFmtId="0" fontId="0" fillId="0" borderId="1" xfId="0" applyBorder="1" applyAlignment="1">
      <alignment horizontal="center" wrapText="1"/>
    </xf>
    <xf numFmtId="0" fontId="30" fillId="15" borderId="1" xfId="0" applyFont="1" applyFill="1" applyBorder="1" applyAlignment="1">
      <alignment horizontal="center"/>
    </xf>
    <xf numFmtId="0" fontId="30" fillId="15" borderId="6" xfId="0" applyFont="1" applyFill="1" applyBorder="1" applyAlignment="1">
      <alignment horizontal="center"/>
    </xf>
    <xf numFmtId="0" fontId="5" fillId="0" borderId="1" xfId="0" applyFont="1" applyBorder="1" applyAlignment="1">
      <alignment horizontal="center"/>
    </xf>
    <xf numFmtId="0" fontId="32" fillId="0" borderId="0" xfId="0" applyFont="1" applyAlignment="1">
      <alignment horizontal="center"/>
    </xf>
    <xf numFmtId="0" fontId="0" fillId="0" borderId="30" xfId="0" applyBorder="1"/>
    <xf numFmtId="0" fontId="0" fillId="0" borderId="31" xfId="0" applyBorder="1"/>
    <xf numFmtId="0" fontId="0" fillId="0" borderId="32" xfId="0" applyBorder="1"/>
    <xf numFmtId="0" fontId="0" fillId="0" borderId="30" xfId="0" applyBorder="1" applyAlignment="1">
      <alignment horizontal="center"/>
    </xf>
    <xf numFmtId="0" fontId="0" fillId="0" borderId="4" xfId="0" applyBorder="1" applyAlignment="1">
      <alignment horizontal="center"/>
    </xf>
    <xf numFmtId="0" fontId="1" fillId="0" borderId="0" xfId="1" applyFill="1" applyBorder="1" applyAlignment="1">
      <alignment horizontal="center"/>
    </xf>
    <xf numFmtId="0" fontId="1" fillId="0" borderId="0" xfId="1" applyBorder="1" applyAlignment="1">
      <alignment horizontal="center"/>
    </xf>
    <xf numFmtId="0" fontId="1" fillId="0" borderId="0" xfId="1" applyAlignment="1">
      <alignment horizontal="center"/>
    </xf>
    <xf numFmtId="0" fontId="3" fillId="2" borderId="1" xfId="0" applyFont="1" applyFill="1" applyBorder="1" applyAlignment="1">
      <alignment horizontal="center" vertical="center" indent="1"/>
    </xf>
    <xf numFmtId="0" fontId="33" fillId="0" borderId="6" xfId="0" applyFont="1" applyBorder="1" applyAlignment="1">
      <alignment horizontal="center"/>
    </xf>
    <xf numFmtId="0" fontId="9" fillId="0" borderId="1" xfId="0" applyFont="1" applyBorder="1" applyAlignment="1">
      <alignment horizontal="center" vertical="center"/>
    </xf>
    <xf numFmtId="0" fontId="1" fillId="0" borderId="0" xfId="1" applyFill="1" applyAlignment="1">
      <alignment horizontal="center"/>
    </xf>
    <xf numFmtId="0" fontId="1" fillId="0" borderId="5" xfId="1" applyBorder="1" applyAlignment="1">
      <alignment horizontal="center"/>
    </xf>
    <xf numFmtId="0" fontId="12" fillId="2" borderId="5" xfId="0" applyFont="1" applyFill="1" applyBorder="1" applyAlignment="1">
      <alignment horizontal="center" vertical="center" indent="2"/>
    </xf>
    <xf numFmtId="0" fontId="12" fillId="0" borderId="7" xfId="0" applyFont="1" applyBorder="1" applyAlignment="1">
      <alignment horizontal="center" vertical="center" indent="1"/>
    </xf>
    <xf numFmtId="0" fontId="1" fillId="0" borderId="4" xfId="1" applyBorder="1" applyAlignment="1">
      <alignment horizontal="center"/>
    </xf>
    <xf numFmtId="0" fontId="13" fillId="0" borderId="4" xfId="0" applyFont="1" applyBorder="1" applyAlignment="1">
      <alignment horizontal="center" vertical="center"/>
    </xf>
    <xf numFmtId="0" fontId="31" fillId="0" borderId="5" xfId="0" applyFont="1" applyBorder="1" applyAlignment="1">
      <alignment horizontal="center"/>
    </xf>
    <xf numFmtId="0" fontId="37" fillId="0" borderId="0" xfId="0" applyFont="1" applyAlignment="1">
      <alignment horizontal="center"/>
    </xf>
    <xf numFmtId="0" fontId="37" fillId="0" borderId="33" xfId="0" applyFont="1" applyBorder="1" applyAlignment="1">
      <alignment horizontal="center"/>
    </xf>
    <xf numFmtId="0" fontId="37" fillId="0" borderId="1" xfId="0" applyFont="1" applyBorder="1" applyAlignment="1">
      <alignment horizontal="center"/>
    </xf>
    <xf numFmtId="0" fontId="11" fillId="0" borderId="1" xfId="0" applyFont="1" applyBorder="1" applyAlignment="1">
      <alignment horizontal="center"/>
    </xf>
    <xf numFmtId="0" fontId="37" fillId="0" borderId="32" xfId="0" applyFont="1" applyBorder="1" applyAlignment="1">
      <alignment horizontal="center"/>
    </xf>
    <xf numFmtId="0" fontId="0" fillId="0" borderId="34" xfId="0" applyBorder="1" applyAlignment="1">
      <alignment horizontal="center"/>
    </xf>
    <xf numFmtId="0" fontId="37" fillId="0" borderId="5" xfId="0" applyFont="1" applyBorder="1" applyAlignment="1">
      <alignment horizontal="center"/>
    </xf>
    <xf numFmtId="0" fontId="0" fillId="0" borderId="32" xfId="0" applyBorder="1" applyAlignment="1">
      <alignment horizontal="center"/>
    </xf>
    <xf numFmtId="0" fontId="3" fillId="2" borderId="7" xfId="0" applyFont="1" applyFill="1" applyBorder="1" applyAlignment="1">
      <alignment horizontal="center" vertical="center"/>
    </xf>
    <xf numFmtId="0" fontId="37" fillId="0" borderId="6" xfId="0" applyFont="1" applyBorder="1" applyAlignment="1">
      <alignment horizontal="center"/>
    </xf>
    <xf numFmtId="14" fontId="3" fillId="15" borderId="1" xfId="0" applyNumberFormat="1" applyFont="1" applyFill="1" applyBorder="1" applyAlignment="1">
      <alignment horizontal="center" vertical="center"/>
    </xf>
    <xf numFmtId="0" fontId="3" fillId="15" borderId="1" xfId="0" applyFont="1" applyFill="1" applyBorder="1" applyAlignment="1">
      <alignment horizontal="center" vertical="center"/>
    </xf>
    <xf numFmtId="0" fontId="12" fillId="15" borderId="1" xfId="0" applyFont="1" applyFill="1" applyBorder="1" applyAlignment="1">
      <alignment horizontal="center"/>
    </xf>
    <xf numFmtId="0" fontId="12" fillId="15" borderId="1" xfId="0" applyFont="1" applyFill="1" applyBorder="1" applyAlignment="1">
      <alignment horizontal="center" vertical="center"/>
    </xf>
    <xf numFmtId="0" fontId="8" fillId="0" borderId="0" xfId="0" applyFont="1" applyAlignment="1">
      <alignment horizontal="center"/>
    </xf>
    <xf numFmtId="0" fontId="8" fillId="0" borderId="1" xfId="0" applyFont="1" applyBorder="1" applyAlignment="1">
      <alignment horizontal="center"/>
    </xf>
    <xf numFmtId="0" fontId="38" fillId="0" borderId="1" xfId="0" applyFont="1" applyBorder="1" applyAlignment="1">
      <alignment horizontal="center"/>
    </xf>
    <xf numFmtId="14" fontId="12" fillId="29" borderId="1" xfId="0" applyNumberFormat="1" applyFont="1" applyFill="1" applyBorder="1" applyAlignment="1">
      <alignment horizontal="center" vertical="center"/>
    </xf>
    <xf numFmtId="0" fontId="12" fillId="29" borderId="1" xfId="0" applyFont="1" applyFill="1" applyBorder="1" applyAlignment="1">
      <alignment horizontal="center" vertical="center"/>
    </xf>
    <xf numFmtId="0" fontId="3" fillId="29" borderId="1" xfId="0" applyFont="1" applyFill="1" applyBorder="1" applyAlignment="1">
      <alignment horizontal="center" vertical="center"/>
    </xf>
    <xf numFmtId="14" fontId="39" fillId="20" borderId="1" xfId="0" applyNumberFormat="1" applyFont="1" applyFill="1" applyBorder="1" applyAlignment="1">
      <alignment horizontal="center" vertical="center"/>
    </xf>
    <xf numFmtId="0" fontId="39" fillId="20" borderId="1" xfId="0" applyFont="1" applyFill="1" applyBorder="1" applyAlignment="1">
      <alignment horizontal="center" vertical="center"/>
    </xf>
    <xf numFmtId="14" fontId="13" fillId="29" borderId="1" xfId="0" applyNumberFormat="1" applyFont="1" applyFill="1" applyBorder="1" applyAlignment="1">
      <alignment horizontal="center" vertical="center"/>
    </xf>
    <xf numFmtId="0" fontId="12" fillId="29" borderId="1" xfId="0" applyFont="1" applyFill="1" applyBorder="1" applyAlignment="1">
      <alignment horizontal="center" vertical="center" indent="1"/>
    </xf>
    <xf numFmtId="0" fontId="13" fillId="29" borderId="1" xfId="0" applyFont="1" applyFill="1" applyBorder="1" applyAlignment="1">
      <alignment horizontal="center" vertical="center" wrapText="1"/>
    </xf>
    <xf numFmtId="2" fontId="13" fillId="0" borderId="1" xfId="0" applyNumberFormat="1" applyFont="1" applyBorder="1" applyAlignment="1">
      <alignment horizontal="center" vertical="center" indent="1"/>
    </xf>
    <xf numFmtId="0" fontId="23" fillId="5" borderId="1" xfId="0" applyFont="1" applyFill="1" applyBorder="1" applyAlignment="1">
      <alignment horizontal="center" vertical="center" indent="2"/>
    </xf>
    <xf numFmtId="0" fontId="23" fillId="5" borderId="1" xfId="0" applyFont="1" applyFill="1" applyBorder="1" applyAlignment="1">
      <alignment horizontal="center" vertical="center"/>
    </xf>
    <xf numFmtId="0" fontId="0" fillId="0" borderId="1" xfId="1" applyFont="1" applyBorder="1" applyAlignment="1">
      <alignment horizontal="center" vertical="center"/>
    </xf>
    <xf numFmtId="0" fontId="13" fillId="0" borderId="1" xfId="1" applyFont="1" applyBorder="1" applyAlignment="1">
      <alignment horizontal="center" vertical="center"/>
    </xf>
    <xf numFmtId="14" fontId="12" fillId="29" borderId="1" xfId="0" applyNumberFormat="1" applyFont="1" applyFill="1" applyBorder="1" applyAlignment="1">
      <alignment horizontal="center" vertical="center" indent="1"/>
    </xf>
    <xf numFmtId="0" fontId="39" fillId="32" borderId="1" xfId="0" applyFont="1" applyFill="1" applyBorder="1" applyAlignment="1">
      <alignment horizontal="center" vertical="center" wrapText="1"/>
    </xf>
    <xf numFmtId="0" fontId="43" fillId="32" borderId="1" xfId="0" applyFont="1" applyFill="1" applyBorder="1" applyAlignment="1">
      <alignment horizontal="center" vertical="center" wrapText="1"/>
    </xf>
    <xf numFmtId="1" fontId="43" fillId="32" borderId="1" xfId="0" applyNumberFormat="1" applyFont="1" applyFill="1" applyBorder="1" applyAlignment="1">
      <alignment horizontal="center" vertical="center" wrapText="1"/>
    </xf>
    <xf numFmtId="14" fontId="0" fillId="0" borderId="1" xfId="0" applyNumberFormat="1" applyBorder="1" applyAlignment="1">
      <alignment horizontal="center"/>
    </xf>
    <xf numFmtId="0" fontId="0" fillId="29" borderId="1" xfId="0" applyFill="1" applyBorder="1" applyAlignment="1">
      <alignment horizontal="center"/>
    </xf>
    <xf numFmtId="0" fontId="0" fillId="15" borderId="1" xfId="0" applyFill="1" applyBorder="1" applyAlignment="1">
      <alignment horizontal="center"/>
    </xf>
    <xf numFmtId="14" fontId="12" fillId="15" borderId="1" xfId="0" applyNumberFormat="1" applyFont="1" applyFill="1" applyBorder="1" applyAlignment="1">
      <alignment horizontal="center" vertical="center"/>
    </xf>
    <xf numFmtId="0" fontId="13" fillId="0" borderId="1" xfId="0" applyFont="1" applyBorder="1" applyAlignment="1">
      <alignment horizontal="center" vertical="center" wrapText="1"/>
    </xf>
    <xf numFmtId="0" fontId="38" fillId="0" borderId="6" xfId="0" applyFont="1" applyBorder="1" applyAlignment="1">
      <alignment horizontal="center"/>
    </xf>
    <xf numFmtId="0" fontId="38" fillId="0" borderId="7" xfId="0" applyFont="1" applyBorder="1" applyAlignment="1">
      <alignment horizontal="center"/>
    </xf>
    <xf numFmtId="0" fontId="13" fillId="0" borderId="5" xfId="0" applyFont="1" applyBorder="1" applyAlignment="1">
      <alignment horizontal="center" vertical="center"/>
    </xf>
    <xf numFmtId="0" fontId="1" fillId="0" borderId="1" xfId="1" applyBorder="1" applyAlignment="1">
      <alignment horizontal="center" wrapText="1"/>
    </xf>
    <xf numFmtId="14" fontId="0" fillId="15" borderId="1" xfId="0" applyNumberFormat="1" applyFill="1" applyBorder="1" applyAlignment="1">
      <alignment horizontal="center"/>
    </xf>
    <xf numFmtId="0" fontId="38" fillId="0" borderId="34" xfId="0" applyFont="1" applyBorder="1" applyAlignment="1">
      <alignment horizontal="center"/>
    </xf>
    <xf numFmtId="0" fontId="38" fillId="0" borderId="5" xfId="0" applyFont="1" applyBorder="1" applyAlignment="1">
      <alignment horizontal="center"/>
    </xf>
    <xf numFmtId="0" fontId="38" fillId="0" borderId="31" xfId="0" applyFont="1" applyBorder="1" applyAlignment="1">
      <alignment horizontal="center"/>
    </xf>
    <xf numFmtId="0" fontId="13" fillId="0" borderId="6" xfId="0" applyFont="1" applyBorder="1" applyAlignment="1">
      <alignment horizontal="center" vertical="center"/>
    </xf>
    <xf numFmtId="0" fontId="1" fillId="0" borderId="6" xfId="1" applyBorder="1" applyAlignment="1">
      <alignment horizontal="center"/>
    </xf>
    <xf numFmtId="0" fontId="44" fillId="0" borderId="0" xfId="0" applyFont="1" applyAlignment="1">
      <alignment horizontal="center" vertical="center"/>
    </xf>
    <xf numFmtId="0" fontId="46" fillId="17" borderId="27" xfId="0" applyFont="1" applyFill="1" applyBorder="1" applyAlignment="1">
      <alignment horizontal="center" vertical="center"/>
    </xf>
    <xf numFmtId="0" fontId="47" fillId="17" borderId="28" xfId="0" applyFont="1" applyFill="1" applyBorder="1" applyAlignment="1">
      <alignment horizontal="center" vertical="center" wrapText="1"/>
    </xf>
    <xf numFmtId="0" fontId="47" fillId="17" borderId="15" xfId="0" applyFont="1" applyFill="1" applyBorder="1" applyAlignment="1">
      <alignment horizontal="center" vertical="center" wrapText="1"/>
    </xf>
    <xf numFmtId="0" fontId="48" fillId="17" borderId="15" xfId="0" applyFont="1" applyFill="1" applyBorder="1" applyAlignment="1">
      <alignment horizontal="center" vertical="center" wrapText="1"/>
    </xf>
    <xf numFmtId="0" fontId="49" fillId="17" borderId="15" xfId="0" applyFont="1" applyFill="1" applyBorder="1" applyAlignment="1">
      <alignment horizontal="center" vertical="center" wrapText="1"/>
    </xf>
    <xf numFmtId="0" fontId="50" fillId="17" borderId="15" xfId="0" applyFont="1" applyFill="1" applyBorder="1" applyAlignment="1">
      <alignment horizontal="center" vertical="center" wrapText="1"/>
    </xf>
    <xf numFmtId="0" fontId="47" fillId="18" borderId="15" xfId="0" applyFont="1" applyFill="1" applyBorder="1" applyAlignment="1">
      <alignment horizontal="center" vertical="center" wrapText="1"/>
    </xf>
    <xf numFmtId="0" fontId="47" fillId="18" borderId="36" xfId="0" applyFont="1" applyFill="1" applyBorder="1" applyAlignment="1">
      <alignment horizontal="center" vertical="center" wrapText="1"/>
    </xf>
    <xf numFmtId="0" fontId="48" fillId="17" borderId="16" xfId="0" applyFont="1" applyFill="1" applyBorder="1" applyAlignment="1">
      <alignment horizontal="center" vertical="center" wrapText="1"/>
    </xf>
    <xf numFmtId="0" fontId="51" fillId="0" borderId="0" xfId="0" applyFont="1"/>
    <xf numFmtId="0" fontId="51" fillId="22" borderId="11" xfId="0" applyFont="1" applyFill="1" applyBorder="1" applyAlignment="1">
      <alignment horizontal="center" vertical="center"/>
    </xf>
    <xf numFmtId="0" fontId="51" fillId="22" borderId="37" xfId="0" applyFont="1" applyFill="1" applyBorder="1" applyAlignment="1">
      <alignment horizontal="center" vertical="center"/>
    </xf>
    <xf numFmtId="0" fontId="51" fillId="22" borderId="12" xfId="0" applyFont="1" applyFill="1" applyBorder="1" applyAlignment="1">
      <alignment horizontal="center" vertical="center"/>
    </xf>
    <xf numFmtId="0" fontId="48" fillId="17" borderId="20" xfId="0" applyFont="1" applyFill="1" applyBorder="1" applyAlignment="1">
      <alignment horizontal="center"/>
    </xf>
    <xf numFmtId="0" fontId="51" fillId="22" borderId="19" xfId="0" applyFont="1" applyFill="1" applyBorder="1" applyAlignment="1">
      <alignment horizontal="center" vertical="center"/>
    </xf>
    <xf numFmtId="0" fontId="51" fillId="22" borderId="13" xfId="0" applyFont="1" applyFill="1" applyBorder="1" applyAlignment="1">
      <alignment horizontal="center" vertical="center"/>
    </xf>
    <xf numFmtId="0" fontId="51" fillId="22" borderId="26" xfId="0" applyFont="1" applyFill="1" applyBorder="1" applyAlignment="1">
      <alignment horizontal="center" vertical="center"/>
    </xf>
    <xf numFmtId="0" fontId="51" fillId="22" borderId="38" xfId="0" applyFont="1" applyFill="1" applyBorder="1" applyAlignment="1">
      <alignment horizontal="center" vertical="center"/>
    </xf>
    <xf numFmtId="0" fontId="51" fillId="22" borderId="14" xfId="0" applyFont="1" applyFill="1" applyBorder="1" applyAlignment="1">
      <alignment horizontal="center" vertical="center"/>
    </xf>
    <xf numFmtId="0" fontId="48" fillId="17" borderId="10" xfId="0" applyFont="1" applyFill="1" applyBorder="1" applyAlignment="1">
      <alignment horizontal="center" vertical="center"/>
    </xf>
    <xf numFmtId="0" fontId="48" fillId="17" borderId="25" xfId="0" applyFont="1" applyFill="1" applyBorder="1" applyAlignment="1">
      <alignment horizontal="center"/>
    </xf>
    <xf numFmtId="0" fontId="51" fillId="22" borderId="35" xfId="0" applyFont="1" applyFill="1" applyBorder="1" applyAlignment="1">
      <alignment horizontal="center" vertical="center"/>
    </xf>
    <xf numFmtId="0" fontId="52" fillId="22" borderId="26" xfId="0" applyFont="1" applyFill="1" applyBorder="1" applyAlignment="1">
      <alignment horizontal="center" vertical="center"/>
    </xf>
    <xf numFmtId="0" fontId="52" fillId="22" borderId="13" xfId="0" applyFont="1" applyFill="1" applyBorder="1" applyAlignment="1">
      <alignment horizontal="center" vertical="center"/>
    </xf>
    <xf numFmtId="0" fontId="53" fillId="22" borderId="13" xfId="0" applyFont="1" applyFill="1" applyBorder="1" applyAlignment="1">
      <alignment horizontal="center" vertical="center"/>
    </xf>
    <xf numFmtId="0" fontId="48" fillId="17" borderId="23" xfId="0" applyFont="1" applyFill="1" applyBorder="1" applyAlignment="1">
      <alignment horizontal="center"/>
    </xf>
    <xf numFmtId="0" fontId="51" fillId="22" borderId="24" xfId="0" applyFont="1" applyFill="1" applyBorder="1" applyAlignment="1">
      <alignment horizontal="center" vertical="center"/>
    </xf>
    <xf numFmtId="0" fontId="51" fillId="0" borderId="0" xfId="0" applyFont="1" applyAlignment="1">
      <alignment horizontal="center"/>
    </xf>
    <xf numFmtId="16" fontId="0" fillId="29" borderId="1" xfId="0" applyNumberFormat="1" applyFill="1" applyBorder="1" applyAlignment="1">
      <alignment horizontal="center"/>
    </xf>
    <xf numFmtId="0" fontId="38" fillId="0" borderId="32" xfId="0" applyFont="1" applyBorder="1" applyAlignment="1">
      <alignment horizontal="center"/>
    </xf>
    <xf numFmtId="0" fontId="38" fillId="0" borderId="30" xfId="0" applyFont="1" applyBorder="1" applyAlignment="1">
      <alignment horizontal="center"/>
    </xf>
    <xf numFmtId="0" fontId="0" fillId="0" borderId="29"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16" fontId="13" fillId="0" borderId="1" xfId="0" applyNumberFormat="1" applyFont="1" applyBorder="1" applyAlignment="1">
      <alignment horizontal="center" vertical="center"/>
    </xf>
    <xf numFmtId="0" fontId="38" fillId="0" borderId="0" xfId="0" applyFont="1" applyAlignment="1">
      <alignment horizontal="center"/>
    </xf>
    <xf numFmtId="0" fontId="11" fillId="0" borderId="6" xfId="0" applyFont="1" applyBorder="1" applyAlignment="1">
      <alignment horizontal="center"/>
    </xf>
    <xf numFmtId="0" fontId="11" fillId="0" borderId="30" xfId="0" applyFont="1" applyBorder="1" applyAlignment="1">
      <alignment horizontal="center"/>
    </xf>
    <xf numFmtId="0" fontId="38" fillId="0" borderId="4" xfId="0" applyFont="1" applyBorder="1" applyAlignment="1">
      <alignment horizontal="center"/>
    </xf>
    <xf numFmtId="0" fontId="11" fillId="0" borderId="5" xfId="0" applyFont="1" applyBorder="1" applyAlignment="1">
      <alignment horizontal="center"/>
    </xf>
    <xf numFmtId="0" fontId="0" fillId="33" borderId="1" xfId="0" applyFill="1" applyBorder="1" applyAlignment="1">
      <alignment horizontal="center" vertical="center"/>
    </xf>
    <xf numFmtId="0" fontId="54" fillId="34" borderId="1" xfId="0" applyFont="1" applyFill="1" applyBorder="1" applyAlignment="1">
      <alignment horizontal="center" vertical="center"/>
    </xf>
    <xf numFmtId="0" fontId="54" fillId="11" borderId="1" xfId="0" applyFont="1" applyFill="1" applyBorder="1" applyAlignment="1">
      <alignment horizontal="center" vertical="center"/>
    </xf>
    <xf numFmtId="0" fontId="21" fillId="11" borderId="0" xfId="0" applyFont="1" applyFill="1" applyAlignment="1">
      <alignment horizontal="center" vertical="center"/>
    </xf>
    <xf numFmtId="0" fontId="21" fillId="35" borderId="0" xfId="0" applyFont="1" applyFill="1" applyAlignment="1">
      <alignment horizontal="center" vertical="center"/>
    </xf>
    <xf numFmtId="0" fontId="0" fillId="34" borderId="6" xfId="0" applyFill="1" applyBorder="1" applyAlignment="1">
      <alignment horizontal="center" vertical="center"/>
    </xf>
    <xf numFmtId="0" fontId="21" fillId="26" borderId="1" xfId="0" applyFont="1" applyFill="1" applyBorder="1" applyAlignment="1">
      <alignment horizontal="center" vertical="center"/>
    </xf>
    <xf numFmtId="0" fontId="54" fillId="34" borderId="5" xfId="0" applyFont="1" applyFill="1" applyBorder="1" applyAlignment="1">
      <alignment horizontal="center" vertical="center"/>
    </xf>
    <xf numFmtId="0" fontId="21" fillId="34" borderId="5" xfId="0" applyFont="1" applyFill="1" applyBorder="1" applyAlignment="1">
      <alignment horizontal="center" vertical="center"/>
    </xf>
    <xf numFmtId="0" fontId="55" fillId="34" borderId="1" xfId="0" applyFont="1" applyFill="1" applyBorder="1" applyAlignment="1">
      <alignment horizontal="center" vertical="center"/>
    </xf>
    <xf numFmtId="0" fontId="21" fillId="34" borderId="1" xfId="0" applyFont="1" applyFill="1" applyBorder="1" applyAlignment="1">
      <alignment horizontal="center" vertical="center"/>
    </xf>
    <xf numFmtId="0" fontId="54" fillId="8" borderId="1" xfId="0" applyFont="1" applyFill="1" applyBorder="1" applyAlignment="1">
      <alignment horizontal="center" vertical="center"/>
    </xf>
    <xf numFmtId="0" fontId="0" fillId="26" borderId="6" xfId="0" applyFill="1" applyBorder="1" applyAlignment="1">
      <alignment horizontal="center" vertical="center"/>
    </xf>
    <xf numFmtId="0" fontId="1" fillId="0" borderId="1" xfId="1" applyBorder="1" applyAlignment="1">
      <alignment horizontal="center" vertical="center" wrapText="1"/>
    </xf>
    <xf numFmtId="0" fontId="13" fillId="0" borderId="0" xfId="0" applyFont="1" applyAlignment="1">
      <alignment horizontal="center" vertical="center"/>
    </xf>
    <xf numFmtId="0" fontId="39" fillId="20" borderId="1" xfId="0" applyFont="1" applyFill="1" applyBorder="1" applyAlignment="1">
      <alignment horizontal="center" vertical="center" wrapText="1" indent="2"/>
    </xf>
    <xf numFmtId="0" fontId="55" fillId="0" borderId="0" xfId="0" applyFont="1" applyAlignment="1">
      <alignment horizontal="center"/>
    </xf>
    <xf numFmtId="14" fontId="0" fillId="0" borderId="7" xfId="0" applyNumberFormat="1" applyBorder="1" applyAlignment="1">
      <alignment horizontal="center" vertical="center"/>
    </xf>
    <xf numFmtId="0" fontId="25" fillId="36" borderId="20" xfId="0" applyFont="1" applyFill="1" applyBorder="1" applyAlignment="1">
      <alignment horizontal="center" vertical="center" wrapText="1"/>
    </xf>
    <xf numFmtId="0" fontId="25" fillId="36" borderId="22" xfId="0" applyFont="1" applyFill="1" applyBorder="1" applyAlignment="1">
      <alignment horizontal="center" vertical="center" wrapText="1"/>
    </xf>
    <xf numFmtId="14" fontId="25" fillId="36" borderId="17" xfId="0" applyNumberFormat="1" applyFont="1" applyFill="1" applyBorder="1" applyAlignment="1">
      <alignment horizontal="center" wrapText="1"/>
    </xf>
    <xf numFmtId="0" fontId="26" fillId="36" borderId="22" xfId="0" applyFont="1" applyFill="1" applyBorder="1" applyAlignment="1">
      <alignment horizontal="center" vertical="center" wrapText="1"/>
    </xf>
    <xf numFmtId="14" fontId="25" fillId="36" borderId="22" xfId="0" applyNumberFormat="1" applyFont="1" applyFill="1" applyBorder="1" applyAlignment="1">
      <alignment horizontal="center" wrapText="1"/>
    </xf>
    <xf numFmtId="0" fontId="0" fillId="36" borderId="1" xfId="0" applyFill="1" applyBorder="1" applyAlignment="1">
      <alignment horizontal="center" vertical="center"/>
    </xf>
    <xf numFmtId="0" fontId="8" fillId="36" borderId="1" xfId="0" applyFont="1" applyFill="1" applyBorder="1" applyAlignment="1">
      <alignment horizontal="center" vertical="center"/>
    </xf>
    <xf numFmtId="0" fontId="25" fillId="36" borderId="0" xfId="0" applyFont="1" applyFill="1" applyAlignment="1">
      <alignment horizontal="center" vertical="center" wrapText="1"/>
    </xf>
    <xf numFmtId="0" fontId="26" fillId="36" borderId="0" xfId="0" applyFont="1" applyFill="1" applyAlignment="1">
      <alignment horizontal="center" vertical="center" wrapText="1"/>
    </xf>
    <xf numFmtId="14" fontId="0" fillId="36" borderId="1" xfId="0" applyNumberFormat="1" applyFill="1" applyBorder="1" applyAlignment="1">
      <alignment horizontal="center" vertical="center"/>
    </xf>
    <xf numFmtId="0" fontId="8" fillId="36" borderId="7" xfId="0" applyFont="1" applyFill="1" applyBorder="1" applyAlignment="1">
      <alignment horizontal="center" vertical="center"/>
    </xf>
    <xf numFmtId="0" fontId="8" fillId="36" borderId="0" xfId="0" applyFont="1" applyFill="1" applyAlignment="1">
      <alignment horizontal="center" vertical="center"/>
    </xf>
    <xf numFmtId="14" fontId="25" fillId="36" borderId="22" xfId="0" applyNumberFormat="1" applyFont="1" applyFill="1" applyBorder="1" applyAlignment="1">
      <alignment horizontal="center" vertical="center" wrapText="1"/>
    </xf>
    <xf numFmtId="0" fontId="11" fillId="36" borderId="1" xfId="0" applyFont="1" applyFill="1" applyBorder="1" applyAlignment="1">
      <alignment horizontal="center" vertical="center"/>
    </xf>
    <xf numFmtId="14" fontId="32" fillId="36" borderId="22" xfId="0" applyNumberFormat="1" applyFont="1" applyFill="1" applyBorder="1" applyAlignment="1">
      <alignment horizontal="center" vertical="center" wrapText="1"/>
    </xf>
    <xf numFmtId="165" fontId="11" fillId="36" borderId="1" xfId="0" applyNumberFormat="1" applyFont="1" applyFill="1" applyBorder="1" applyAlignment="1">
      <alignment horizontal="center" vertical="center"/>
    </xf>
    <xf numFmtId="0" fontId="32" fillId="36" borderId="22" xfId="0" applyFont="1" applyFill="1" applyBorder="1" applyAlignment="1">
      <alignment horizontal="center" vertical="center" wrapText="1"/>
    </xf>
    <xf numFmtId="0" fontId="37" fillId="0" borderId="4" xfId="0" applyFont="1" applyBorder="1" applyAlignment="1">
      <alignment horizontal="center"/>
    </xf>
    <xf numFmtId="0" fontId="30" fillId="0" borderId="4" xfId="0" applyFont="1" applyBorder="1" applyAlignment="1">
      <alignment horizontal="center"/>
    </xf>
    <xf numFmtId="164" fontId="14" fillId="3" borderId="1" xfId="0" applyNumberFormat="1" applyFont="1" applyFill="1" applyBorder="1" applyAlignment="1">
      <alignment horizontal="center" vertical="center"/>
    </xf>
    <xf numFmtId="2" fontId="1" fillId="0" borderId="1" xfId="1" applyNumberFormat="1" applyBorder="1" applyAlignment="1">
      <alignment horizontal="center" vertical="center" indent="1"/>
    </xf>
    <xf numFmtId="0" fontId="14" fillId="5" borderId="1" xfId="0" applyFont="1" applyFill="1" applyBorder="1" applyAlignment="1">
      <alignment horizontal="center" vertical="center" wrapText="1"/>
    </xf>
    <xf numFmtId="0" fontId="1" fillId="2" borderId="1" xfId="1" applyFill="1" applyBorder="1" applyAlignment="1">
      <alignment horizontal="center" vertical="center"/>
    </xf>
    <xf numFmtId="0" fontId="12" fillId="15" borderId="1" xfId="0" applyFont="1" applyFill="1" applyBorder="1" applyAlignment="1">
      <alignment horizontal="center" vertical="center" indent="1"/>
    </xf>
    <xf numFmtId="0" fontId="0" fillId="23" borderId="1" xfId="0" applyFill="1" applyBorder="1" applyAlignment="1">
      <alignment horizontal="center"/>
    </xf>
    <xf numFmtId="0" fontId="0" fillId="23" borderId="0" xfId="0" applyFill="1" applyAlignment="1">
      <alignment horizontal="center"/>
    </xf>
    <xf numFmtId="0" fontId="3" fillId="15" borderId="1" xfId="0" applyFont="1" applyFill="1" applyBorder="1" applyAlignment="1">
      <alignment horizontal="center" vertical="center" indent="2"/>
    </xf>
    <xf numFmtId="14" fontId="3" fillId="15" borderId="1" xfId="0" applyNumberFormat="1" applyFont="1" applyFill="1" applyBorder="1" applyAlignment="1">
      <alignment horizontal="center" vertical="center" indent="2"/>
    </xf>
    <xf numFmtId="0" fontId="1" fillId="15" borderId="1" xfId="1" applyFill="1" applyBorder="1" applyAlignment="1">
      <alignment horizontal="center" vertical="center" indent="2"/>
    </xf>
    <xf numFmtId="0" fontId="12" fillId="15" borderId="1" xfId="0" applyFont="1" applyFill="1" applyBorder="1" applyAlignment="1">
      <alignment horizontal="center" vertical="center" indent="2"/>
    </xf>
    <xf numFmtId="14" fontId="12" fillId="15" borderId="1" xfId="0" applyNumberFormat="1" applyFont="1" applyFill="1" applyBorder="1" applyAlignment="1">
      <alignment horizontal="center" vertical="center" indent="2"/>
    </xf>
    <xf numFmtId="0" fontId="12" fillId="15" borderId="5" xfId="0" applyFont="1" applyFill="1" applyBorder="1" applyAlignment="1">
      <alignment horizontal="center" vertical="center" indent="2"/>
    </xf>
    <xf numFmtId="14" fontId="12" fillId="15" borderId="5" xfId="0" applyNumberFormat="1" applyFont="1" applyFill="1" applyBorder="1" applyAlignment="1">
      <alignment horizontal="center" vertical="center" indent="2"/>
    </xf>
    <xf numFmtId="14" fontId="0" fillId="23" borderId="1" xfId="0" applyNumberFormat="1" applyFill="1" applyBorder="1" applyAlignment="1">
      <alignment horizontal="center"/>
    </xf>
    <xf numFmtId="0" fontId="37" fillId="0" borderId="0" xfId="0" applyFont="1"/>
    <xf numFmtId="14" fontId="12" fillId="0" borderId="1" xfId="0" applyNumberFormat="1" applyFont="1" applyBorder="1" applyAlignment="1">
      <alignment horizontal="center" vertical="center" wrapText="1"/>
    </xf>
    <xf numFmtId="0" fontId="57" fillId="0" borderId="0" xfId="1" applyFont="1" applyFill="1" applyAlignment="1">
      <alignment horizontal="center"/>
    </xf>
    <xf numFmtId="0" fontId="22" fillId="0" borderId="0" xfId="0" applyFont="1" applyAlignment="1">
      <alignment horizontal="center"/>
    </xf>
    <xf numFmtId="16" fontId="0" fillId="0" borderId="1" xfId="0" applyNumberFormat="1" applyBorder="1" applyAlignment="1">
      <alignment horizontal="center"/>
    </xf>
    <xf numFmtId="0" fontId="21" fillId="27" borderId="1" xfId="0" applyFont="1" applyFill="1" applyBorder="1" applyAlignment="1">
      <alignment horizontal="center" vertical="center"/>
    </xf>
    <xf numFmtId="0" fontId="0" fillId="0" borderId="1" xfId="0" applyBorder="1" applyAlignment="1">
      <alignment horizontal="center" vertical="center" wrapText="1"/>
    </xf>
    <xf numFmtId="0" fontId="32" fillId="27" borderId="22" xfId="0" applyFont="1" applyFill="1" applyBorder="1" applyAlignment="1">
      <alignment horizontal="center" vertical="center" wrapText="1"/>
    </xf>
    <xf numFmtId="0" fontId="32" fillId="27" borderId="20" xfId="0" applyFont="1" applyFill="1" applyBorder="1" applyAlignment="1">
      <alignment horizontal="center" vertical="center" wrapText="1"/>
    </xf>
    <xf numFmtId="14" fontId="32" fillId="27" borderId="22" xfId="0" applyNumberFormat="1" applyFont="1" applyFill="1" applyBorder="1" applyAlignment="1">
      <alignment horizontal="center" vertical="center" wrapText="1"/>
    </xf>
    <xf numFmtId="0" fontId="32" fillId="4" borderId="22" xfId="0" applyFont="1" applyFill="1" applyBorder="1" applyAlignment="1">
      <alignment horizontal="center" vertical="center" wrapText="1"/>
    </xf>
    <xf numFmtId="0" fontId="12" fillId="29" borderId="1" xfId="0" applyFont="1" applyFill="1" applyBorder="1" applyAlignment="1">
      <alignment horizontal="center" vertical="center" wrapText="1"/>
    </xf>
    <xf numFmtId="14" fontId="13" fillId="29" borderId="1" xfId="0" applyNumberFormat="1" applyFont="1" applyFill="1" applyBorder="1" applyAlignment="1">
      <alignment horizontal="center" vertical="center" wrapText="1"/>
    </xf>
    <xf numFmtId="16" fontId="13" fillId="29" borderId="1" xfId="0" applyNumberFormat="1" applyFont="1" applyFill="1" applyBorder="1" applyAlignment="1">
      <alignment horizontal="center" vertical="center" wrapText="1"/>
    </xf>
    <xf numFmtId="14" fontId="12" fillId="29" borderId="1" xfId="0" applyNumberFormat="1" applyFont="1" applyFill="1" applyBorder="1" applyAlignment="1">
      <alignment horizontal="center" vertical="center" wrapText="1" indent="1"/>
    </xf>
    <xf numFmtId="0" fontId="12" fillId="29" borderId="1" xfId="0" applyFont="1" applyFill="1" applyBorder="1" applyAlignment="1">
      <alignment horizontal="center" vertical="center" wrapText="1" indent="1"/>
    </xf>
    <xf numFmtId="20" fontId="13" fillId="29" borderId="1" xfId="0" applyNumberFormat="1" applyFont="1" applyFill="1" applyBorder="1" applyAlignment="1">
      <alignment horizontal="center" vertical="center" wrapText="1"/>
    </xf>
    <xf numFmtId="0" fontId="25" fillId="31" borderId="20" xfId="0" applyFont="1" applyFill="1" applyBorder="1" applyAlignment="1">
      <alignment horizontal="center" vertical="center" wrapText="1"/>
    </xf>
    <xf numFmtId="0" fontId="25" fillId="31" borderId="22" xfId="0" applyFont="1" applyFill="1" applyBorder="1" applyAlignment="1">
      <alignment horizontal="center" vertical="center" wrapText="1"/>
    </xf>
    <xf numFmtId="0" fontId="26" fillId="31" borderId="22" xfId="0" applyFont="1" applyFill="1" applyBorder="1" applyAlignment="1">
      <alignment horizontal="center" vertical="center" wrapText="1"/>
    </xf>
    <xf numFmtId="14" fontId="25" fillId="31" borderId="22" xfId="0" applyNumberFormat="1" applyFont="1" applyFill="1" applyBorder="1" applyAlignment="1">
      <alignment horizontal="center" wrapText="1"/>
    </xf>
    <xf numFmtId="14" fontId="25" fillId="31" borderId="22" xfId="0" applyNumberFormat="1" applyFont="1" applyFill="1" applyBorder="1" applyAlignment="1">
      <alignment horizontal="center" vertical="center" wrapText="1"/>
    </xf>
    <xf numFmtId="0" fontId="58" fillId="0" borderId="1" xfId="0" applyFont="1" applyBorder="1" applyAlignment="1">
      <alignment horizontal="center" vertical="center"/>
    </xf>
    <xf numFmtId="0" fontId="30" fillId="0" borderId="1" xfId="0" applyFont="1" applyBorder="1" applyAlignment="1">
      <alignment horizontal="center" vertical="center"/>
    </xf>
    <xf numFmtId="0" fontId="37" fillId="0" borderId="0" xfId="0" applyFont="1" applyAlignment="1">
      <alignment horizontal="center" vertical="center"/>
    </xf>
    <xf numFmtId="0" fontId="1" fillId="0" borderId="0" xfId="1" applyAlignment="1">
      <alignment horizontal="center" vertical="center"/>
    </xf>
    <xf numFmtId="0" fontId="8" fillId="0" borderId="0" xfId="0" applyFont="1"/>
    <xf numFmtId="14" fontId="8" fillId="0" borderId="0" xfId="0" applyNumberFormat="1" applyFont="1"/>
    <xf numFmtId="22" fontId="3" fillId="29" borderId="1" xfId="0" applyNumberFormat="1" applyFont="1" applyFill="1" applyBorder="1" applyAlignment="1">
      <alignment horizontal="center" vertical="center"/>
    </xf>
    <xf numFmtId="0" fontId="0" fillId="0" borderId="4" xfId="1" applyFont="1" applyBorder="1" applyAlignment="1">
      <alignment horizontal="center" vertical="center"/>
    </xf>
    <xf numFmtId="0" fontId="11" fillId="0" borderId="1" xfId="0" applyFont="1" applyBorder="1" applyAlignment="1">
      <alignment horizontal="center" vertical="center"/>
    </xf>
    <xf numFmtId="0" fontId="55" fillId="0" borderId="1" xfId="0" applyFont="1" applyBorder="1" applyAlignment="1">
      <alignment horizontal="center"/>
    </xf>
    <xf numFmtId="0" fontId="55" fillId="0" borderId="0" xfId="0" applyFont="1" applyAlignment="1">
      <alignment horizontal="center" vertical="center"/>
    </xf>
    <xf numFmtId="0" fontId="8" fillId="0" borderId="1" xfId="0" applyFont="1" applyBorder="1" applyAlignment="1">
      <alignment horizontal="center" vertical="center"/>
    </xf>
    <xf numFmtId="0" fontId="59" fillId="29" borderId="1" xfId="0" applyFont="1" applyFill="1" applyBorder="1" applyAlignment="1">
      <alignment horizontal="center" vertical="center" wrapText="1"/>
    </xf>
    <xf numFmtId="16" fontId="3" fillId="29" borderId="1" xfId="0" applyNumberFormat="1" applyFont="1" applyFill="1" applyBorder="1" applyAlignment="1">
      <alignment horizontal="center" vertical="center"/>
    </xf>
    <xf numFmtId="14" fontId="12" fillId="15" borderId="1" xfId="0" applyNumberFormat="1" applyFont="1" applyFill="1" applyBorder="1" applyAlignment="1">
      <alignment horizontal="center" vertical="center" wrapText="1"/>
    </xf>
    <xf numFmtId="0" fontId="11" fillId="0" borderId="1" xfId="0" applyFont="1" applyBorder="1"/>
    <xf numFmtId="0" fontId="11" fillId="0" borderId="6" xfId="0" applyFont="1" applyBorder="1"/>
    <xf numFmtId="0" fontId="12" fillId="0" borderId="1" xfId="0" applyFont="1" applyBorder="1" applyAlignment="1">
      <alignment horizontal="center"/>
    </xf>
    <xf numFmtId="16" fontId="12" fillId="0" borderId="1" xfId="0" applyNumberFormat="1" applyFont="1" applyBorder="1" applyAlignment="1">
      <alignment horizontal="center" vertical="center" indent="1"/>
    </xf>
    <xf numFmtId="0" fontId="8" fillId="0" borderId="1" xfId="0" applyFont="1" applyBorder="1"/>
    <xf numFmtId="14" fontId="8" fillId="0" borderId="7" xfId="0" applyNumberFormat="1" applyFont="1" applyBorder="1"/>
    <xf numFmtId="14" fontId="0" fillId="23" borderId="5" xfId="0" applyNumberFormat="1" applyFill="1" applyBorder="1" applyAlignment="1">
      <alignment horizontal="center"/>
    </xf>
    <xf numFmtId="0" fontId="48" fillId="17" borderId="25" xfId="0" applyFont="1" applyFill="1" applyBorder="1" applyAlignment="1">
      <alignment horizontal="center" vertical="center"/>
    </xf>
    <xf numFmtId="0" fontId="11" fillId="0" borderId="6" xfId="0" applyFont="1" applyBorder="1" applyAlignment="1">
      <alignment horizontal="center" vertical="center"/>
    </xf>
    <xf numFmtId="14" fontId="11" fillId="0" borderId="0" xfId="0" applyNumberFormat="1" applyFont="1"/>
    <xf numFmtId="14" fontId="12" fillId="29" borderId="1" xfId="0" applyNumberFormat="1" applyFont="1" applyFill="1" applyBorder="1" applyAlignment="1">
      <alignment horizontal="center" vertical="center" wrapText="1"/>
    </xf>
    <xf numFmtId="0" fontId="22" fillId="0" borderId="1" xfId="0" applyFont="1" applyBorder="1"/>
    <xf numFmtId="0" fontId="59" fillId="29" borderId="1" xfId="0" applyFont="1" applyFill="1" applyBorder="1" applyAlignment="1">
      <alignment horizontal="center" vertical="center" indent="1"/>
    </xf>
    <xf numFmtId="0" fontId="13" fillId="15" borderId="1" xfId="0" applyFont="1" applyFill="1" applyBorder="1" applyAlignment="1">
      <alignment horizontal="center" vertical="center" wrapText="1"/>
    </xf>
    <xf numFmtId="17" fontId="13" fillId="29" borderId="1" xfId="0" applyNumberFormat="1" applyFont="1" applyFill="1" applyBorder="1" applyAlignment="1">
      <alignment horizontal="center" vertical="center" wrapText="1"/>
    </xf>
    <xf numFmtId="14" fontId="59" fillId="0" borderId="1" xfId="0" applyNumberFormat="1" applyFont="1" applyBorder="1" applyAlignment="1">
      <alignment horizontal="center" vertical="center" wrapText="1"/>
    </xf>
    <xf numFmtId="0" fontId="8" fillId="0" borderId="1" xfId="0" applyFont="1" applyBorder="1" applyAlignment="1">
      <alignment horizontal="left"/>
    </xf>
    <xf numFmtId="0" fontId="0" fillId="0" borderId="1" xfId="0" applyBorder="1" applyAlignment="1">
      <alignment horizontal="left" vertical="center"/>
    </xf>
    <xf numFmtId="0" fontId="11" fillId="0" borderId="0" xfId="0" applyFont="1"/>
    <xf numFmtId="16" fontId="12" fillId="0" borderId="1" xfId="0" applyNumberFormat="1"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11" fillId="0" borderId="3" xfId="0" applyFont="1" applyBorder="1"/>
    <xf numFmtId="14" fontId="11" fillId="0" borderId="3" xfId="0" applyNumberFormat="1" applyFont="1" applyBorder="1"/>
    <xf numFmtId="0" fontId="63" fillId="29" borderId="1" xfId="0" applyFont="1" applyFill="1" applyBorder="1" applyAlignment="1">
      <alignment horizontal="center" vertical="center" wrapText="1"/>
    </xf>
    <xf numFmtId="0" fontId="59" fillId="0" borderId="1" xfId="0" applyFont="1" applyBorder="1" applyAlignment="1">
      <alignment horizontal="center" vertical="center" wrapText="1"/>
    </xf>
    <xf numFmtId="14" fontId="20" fillId="0" borderId="0" xfId="0" applyNumberFormat="1" applyFont="1" applyAlignment="1">
      <alignment horizontal="center" vertical="center"/>
    </xf>
    <xf numFmtId="0" fontId="1" fillId="0" borderId="0" xfId="1" applyBorder="1" applyAlignment="1">
      <alignment horizontal="center" vertical="center"/>
    </xf>
    <xf numFmtId="0" fontId="12" fillId="0" borderId="5" xfId="0" applyFont="1" applyBorder="1" applyAlignment="1">
      <alignment horizontal="center" vertical="center"/>
    </xf>
    <xf numFmtId="0" fontId="42" fillId="29" borderId="7" xfId="0" applyFont="1" applyFill="1" applyBorder="1" applyAlignment="1">
      <alignment horizontal="center"/>
    </xf>
    <xf numFmtId="1" fontId="43" fillId="32" borderId="6" xfId="0" applyNumberFormat="1" applyFont="1" applyFill="1" applyBorder="1" applyAlignment="1">
      <alignment horizontal="center" vertical="center" wrapText="1"/>
    </xf>
    <xf numFmtId="0" fontId="43" fillId="32" borderId="6" xfId="0" applyFont="1" applyFill="1" applyBorder="1" applyAlignment="1">
      <alignment horizontal="center" vertical="center" wrapText="1"/>
    </xf>
    <xf numFmtId="0" fontId="42" fillId="29" borderId="25" xfId="0" applyFont="1" applyFill="1" applyBorder="1" applyAlignment="1">
      <alignment horizontal="center"/>
    </xf>
    <xf numFmtId="0" fontId="42" fillId="29" borderId="42" xfId="0" applyFont="1" applyFill="1" applyBorder="1" applyAlignment="1">
      <alignment horizontal="center"/>
    </xf>
    <xf numFmtId="0" fontId="42" fillId="29" borderId="43" xfId="0" applyFont="1" applyFill="1" applyBorder="1" applyAlignment="1">
      <alignment horizontal="center"/>
    </xf>
    <xf numFmtId="0" fontId="43" fillId="32" borderId="44" xfId="0" applyFont="1" applyFill="1" applyBorder="1" applyAlignment="1">
      <alignment horizontal="center" vertical="center" wrapText="1"/>
    </xf>
    <xf numFmtId="14" fontId="0" fillId="0" borderId="44" xfId="0" applyNumberFormat="1" applyBorder="1" applyAlignment="1">
      <alignment horizontal="center"/>
    </xf>
    <xf numFmtId="0" fontId="0" fillId="0" borderId="44" xfId="0" applyBorder="1" applyAlignment="1">
      <alignment horizontal="center"/>
    </xf>
    <xf numFmtId="14" fontId="0" fillId="0" borderId="6" xfId="0" applyNumberFormat="1" applyBorder="1" applyAlignment="1">
      <alignment horizontal="center"/>
    </xf>
    <xf numFmtId="1" fontId="43" fillId="32" borderId="44" xfId="0" applyNumberFormat="1" applyFont="1" applyFill="1" applyBorder="1" applyAlignment="1">
      <alignment horizontal="center" vertical="center" wrapText="1"/>
    </xf>
    <xf numFmtId="1" fontId="43" fillId="32" borderId="45" xfId="0" applyNumberFormat="1" applyFont="1" applyFill="1" applyBorder="1" applyAlignment="1">
      <alignment horizontal="center" vertical="center" wrapText="1"/>
    </xf>
    <xf numFmtId="0" fontId="0" fillId="0" borderId="45" xfId="0" applyBorder="1" applyAlignment="1">
      <alignment horizontal="center"/>
    </xf>
    <xf numFmtId="14" fontId="0" fillId="0" borderId="45" xfId="0" applyNumberFormat="1" applyBorder="1" applyAlignment="1">
      <alignment horizontal="center"/>
    </xf>
    <xf numFmtId="0" fontId="43" fillId="32" borderId="7" xfId="0" applyFont="1" applyFill="1" applyBorder="1" applyAlignment="1">
      <alignment horizontal="center" vertical="center" wrapText="1"/>
    </xf>
    <xf numFmtId="0" fontId="12" fillId="0" borderId="6" xfId="0" applyFont="1" applyBorder="1" applyAlignment="1">
      <alignment horizontal="center" vertical="center"/>
    </xf>
    <xf numFmtId="0" fontId="42" fillId="15" borderId="7" xfId="0" applyFont="1" applyFill="1" applyBorder="1" applyAlignment="1">
      <alignment horizontal="center"/>
    </xf>
    <xf numFmtId="0" fontId="0" fillId="21" borderId="7" xfId="0" applyFill="1" applyBorder="1" applyAlignment="1">
      <alignment horizontal="center"/>
    </xf>
    <xf numFmtId="0" fontId="0" fillId="15" borderId="7" xfId="0" applyFill="1" applyBorder="1" applyAlignment="1">
      <alignment horizontal="center"/>
    </xf>
    <xf numFmtId="0" fontId="0" fillId="29" borderId="7" xfId="0" applyFill="1" applyBorder="1" applyAlignment="1">
      <alignment horizontal="center"/>
    </xf>
    <xf numFmtId="14" fontId="4" fillId="0" borderId="1" xfId="0" applyNumberFormat="1" applyFont="1" applyBorder="1" applyAlignment="1">
      <alignment horizontal="center"/>
    </xf>
    <xf numFmtId="14" fontId="4" fillId="0" borderId="45" xfId="0" applyNumberFormat="1" applyFont="1" applyBorder="1" applyAlignment="1">
      <alignment horizontal="center"/>
    </xf>
    <xf numFmtId="0" fontId="64" fillId="0" borderId="0" xfId="0" applyFont="1" applyAlignment="1">
      <alignment horizontal="center" vertical="center"/>
    </xf>
    <xf numFmtId="0" fontId="5" fillId="0" borderId="6" xfId="0" applyFont="1" applyBorder="1" applyAlignment="1">
      <alignment horizontal="center"/>
    </xf>
    <xf numFmtId="14" fontId="12" fillId="29" borderId="7" xfId="0" applyNumberFormat="1" applyFont="1" applyFill="1" applyBorder="1" applyAlignment="1">
      <alignment horizontal="center" vertical="center"/>
    </xf>
    <xf numFmtId="14" fontId="3" fillId="0" borderId="6" xfId="0" applyNumberFormat="1" applyFont="1" applyBorder="1" applyAlignment="1">
      <alignment horizontal="center" vertical="center"/>
    </xf>
    <xf numFmtId="14" fontId="0" fillId="0" borderId="7" xfId="0" applyNumberFormat="1" applyBorder="1" applyAlignment="1">
      <alignment horizontal="center"/>
    </xf>
    <xf numFmtId="16" fontId="3" fillId="0" borderId="1" xfId="0" applyNumberFormat="1" applyFont="1" applyBorder="1" applyAlignment="1">
      <alignment horizontal="center" vertical="center"/>
    </xf>
    <xf numFmtId="0" fontId="65" fillId="0" borderId="1" xfId="0" applyFont="1" applyBorder="1" applyAlignment="1">
      <alignment horizontal="center"/>
    </xf>
    <xf numFmtId="16" fontId="3" fillId="29" borderId="7" xfId="0" applyNumberFormat="1" applyFont="1" applyFill="1" applyBorder="1" applyAlignment="1">
      <alignment horizontal="center" vertical="center"/>
    </xf>
    <xf numFmtId="14" fontId="59" fillId="29" borderId="1" xfId="0" applyNumberFormat="1" applyFont="1" applyFill="1" applyBorder="1" applyAlignment="1">
      <alignment horizontal="center" vertical="center" indent="1"/>
    </xf>
    <xf numFmtId="0" fontId="33" fillId="0" borderId="1" xfId="1" applyFont="1" applyBorder="1" applyAlignment="1">
      <alignment horizontal="center" vertical="center"/>
    </xf>
    <xf numFmtId="0" fontId="0" fillId="37" borderId="1" xfId="0" applyFill="1" applyBorder="1" applyAlignment="1">
      <alignment horizontal="center"/>
    </xf>
    <xf numFmtId="0" fontId="13" fillId="37" borderId="1" xfId="0" applyFont="1" applyFill="1" applyBorder="1" applyAlignment="1">
      <alignment horizontal="center" vertical="center"/>
    </xf>
    <xf numFmtId="0" fontId="3" fillId="37" borderId="1" xfId="0" applyFont="1" applyFill="1" applyBorder="1" applyAlignment="1">
      <alignment horizontal="center" vertical="center"/>
    </xf>
    <xf numFmtId="0" fontId="0" fillId="15" borderId="7" xfId="0" applyFill="1" applyBorder="1" applyAlignment="1">
      <alignment horizontal="center" wrapText="1"/>
    </xf>
    <xf numFmtId="0" fontId="0" fillId="15" borderId="46" xfId="0" applyFill="1" applyBorder="1" applyAlignment="1">
      <alignment horizontal="center"/>
    </xf>
    <xf numFmtId="0" fontId="1" fillId="0" borderId="1" xfId="1" applyFill="1" applyBorder="1" applyAlignment="1">
      <alignment horizontal="center"/>
    </xf>
    <xf numFmtId="0" fontId="67" fillId="29" borderId="1" xfId="0" applyFont="1" applyFill="1" applyBorder="1" applyAlignment="1">
      <alignment horizontal="center" vertical="center" wrapText="1"/>
    </xf>
    <xf numFmtId="0" fontId="1" fillId="29" borderId="1" xfId="1" applyFill="1" applyBorder="1" applyAlignment="1">
      <alignment horizontal="center" vertical="center" wrapText="1"/>
    </xf>
    <xf numFmtId="0" fontId="1" fillId="0" borderId="4" xfId="1" applyBorder="1" applyAlignment="1">
      <alignment horizontal="center" vertical="center"/>
    </xf>
    <xf numFmtId="0" fontId="12" fillId="0" borderId="1" xfId="0" applyFont="1" applyBorder="1" applyAlignment="1">
      <alignment horizontal="center" vertical="center" wrapText="1"/>
    </xf>
    <xf numFmtId="0" fontId="4" fillId="0" borderId="1" xfId="0" applyFont="1" applyBorder="1" applyAlignment="1">
      <alignment horizontal="center"/>
    </xf>
    <xf numFmtId="0" fontId="15" fillId="0" borderId="1" xfId="0" applyFont="1" applyBorder="1" applyAlignment="1">
      <alignment horizontal="center" vertical="center" wrapText="1"/>
    </xf>
    <xf numFmtId="0" fontId="14" fillId="29" borderId="1" xfId="0" applyFont="1" applyFill="1" applyBorder="1" applyAlignment="1">
      <alignment horizontal="center" vertical="center" wrapText="1"/>
    </xf>
    <xf numFmtId="0" fontId="23" fillId="29" borderId="1" xfId="0" applyFont="1" applyFill="1" applyBorder="1" applyAlignment="1">
      <alignment horizontal="center" vertical="center" wrapText="1"/>
    </xf>
    <xf numFmtId="0" fontId="68" fillId="29" borderId="1" xfId="0" applyFont="1" applyFill="1" applyBorder="1" applyAlignment="1">
      <alignment horizontal="center" vertical="center" wrapText="1"/>
    </xf>
    <xf numFmtId="0" fontId="0" fillId="29" borderId="0" xfId="0" applyFill="1" applyAlignment="1">
      <alignment horizontal="center"/>
    </xf>
    <xf numFmtId="0" fontId="39" fillId="20" borderId="1" xfId="0" applyFont="1" applyFill="1" applyBorder="1" applyAlignment="1">
      <alignment horizontal="center" vertical="center" wrapText="1"/>
    </xf>
    <xf numFmtId="0" fontId="42" fillId="29" borderId="45" xfId="0" applyFont="1" applyFill="1" applyBorder="1" applyAlignment="1">
      <alignment horizontal="center"/>
    </xf>
    <xf numFmtId="0" fontId="3" fillId="0" borderId="4" xfId="0" applyFont="1" applyBorder="1" applyAlignment="1">
      <alignment horizontal="center" vertical="center"/>
    </xf>
    <xf numFmtId="0" fontId="3" fillId="0" borderId="0" xfId="0" applyFont="1" applyAlignment="1">
      <alignment horizontal="center" vertical="center"/>
    </xf>
    <xf numFmtId="0" fontId="51" fillId="0" borderId="1" xfId="0" applyFont="1" applyBorder="1" applyAlignment="1">
      <alignment horizontal="center"/>
    </xf>
    <xf numFmtId="0" fontId="48" fillId="17" borderId="21" xfId="0" applyFont="1" applyFill="1" applyBorder="1" applyAlignment="1">
      <alignment horizontal="center" vertical="center"/>
    </xf>
    <xf numFmtId="0" fontId="48" fillId="17" borderId="42" xfId="0" applyFont="1" applyFill="1" applyBorder="1" applyAlignment="1">
      <alignment horizontal="center"/>
    </xf>
    <xf numFmtId="0" fontId="48" fillId="17" borderId="42" xfId="0" applyFont="1" applyFill="1" applyBorder="1" applyAlignment="1">
      <alignment horizontal="center" vertical="center"/>
    </xf>
    <xf numFmtId="14" fontId="12" fillId="0" borderId="30" xfId="0" applyNumberFormat="1" applyFont="1" applyBorder="1" applyAlignment="1">
      <alignment horizontal="center" vertical="center" wrapText="1"/>
    </xf>
    <xf numFmtId="14" fontId="12" fillId="31" borderId="1" xfId="0" applyNumberFormat="1" applyFont="1" applyFill="1" applyBorder="1" applyAlignment="1">
      <alignment horizontal="center" vertical="center" wrapText="1"/>
    </xf>
    <xf numFmtId="14" fontId="13" fillId="0" borderId="0" xfId="0" applyNumberFormat="1" applyFont="1" applyAlignment="1">
      <alignment horizontal="center" vertical="center"/>
    </xf>
    <xf numFmtId="14" fontId="12" fillId="0" borderId="0" xfId="0" applyNumberFormat="1" applyFont="1" applyAlignment="1">
      <alignment horizontal="center" vertical="center" wrapText="1"/>
    </xf>
    <xf numFmtId="14" fontId="13" fillId="29" borderId="0" xfId="0" applyNumberFormat="1" applyFont="1" applyFill="1" applyAlignment="1">
      <alignment horizontal="center" vertical="center"/>
    </xf>
    <xf numFmtId="14" fontId="8" fillId="0" borderId="1" xfId="0" applyNumberFormat="1" applyFont="1" applyBorder="1"/>
    <xf numFmtId="14" fontId="11" fillId="0" borderId="1" xfId="0" applyNumberFormat="1" applyFont="1" applyBorder="1"/>
    <xf numFmtId="0" fontId="13" fillId="0" borderId="41" xfId="0" applyFont="1" applyBorder="1" applyAlignment="1">
      <alignment horizontal="center" vertical="center"/>
    </xf>
    <xf numFmtId="14" fontId="12" fillId="0" borderId="7" xfId="0" applyNumberFormat="1" applyFont="1" applyBorder="1" applyAlignment="1">
      <alignment horizontal="center" vertical="center" indent="1"/>
    </xf>
    <xf numFmtId="0" fontId="14" fillId="5" borderId="7" xfId="0" applyFont="1" applyFill="1" applyBorder="1" applyAlignment="1">
      <alignment horizontal="center" vertical="center" indent="2"/>
    </xf>
    <xf numFmtId="14" fontId="12" fillId="6" borderId="7" xfId="0" applyNumberFormat="1" applyFont="1" applyFill="1" applyBorder="1" applyAlignment="1">
      <alignment horizontal="center" vertical="center" indent="2"/>
    </xf>
    <xf numFmtId="0" fontId="0" fillId="0" borderId="30" xfId="0" applyBorder="1" applyAlignment="1">
      <alignment horizontal="center" vertical="center"/>
    </xf>
    <xf numFmtId="0" fontId="8" fillId="0" borderId="47" xfId="0" applyFont="1" applyBorder="1" applyAlignment="1">
      <alignment horizontal="center" vertical="center"/>
    </xf>
    <xf numFmtId="0" fontId="69" fillId="0" borderId="0" xfId="0" applyFont="1"/>
    <xf numFmtId="0" fontId="12" fillId="0" borderId="41" xfId="0" applyFont="1" applyBorder="1" applyAlignment="1">
      <alignment horizontal="center" vertical="center" indent="1"/>
    </xf>
    <xf numFmtId="0" fontId="51" fillId="15" borderId="9" xfId="0" applyFont="1" applyFill="1" applyBorder="1" applyAlignment="1">
      <alignment horizontal="center"/>
    </xf>
    <xf numFmtId="0" fontId="51" fillId="15" borderId="0" xfId="0" applyFont="1" applyFill="1" applyAlignment="1">
      <alignment horizontal="center"/>
    </xf>
    <xf numFmtId="0" fontId="51" fillId="15" borderId="8" xfId="0" applyFont="1" applyFill="1" applyBorder="1" applyAlignment="1">
      <alignment horizontal="center"/>
    </xf>
    <xf numFmtId="0" fontId="4" fillId="11" borderId="1" xfId="0" applyFont="1" applyFill="1" applyBorder="1" applyAlignment="1">
      <alignment horizontal="center" vertical="center"/>
    </xf>
    <xf numFmtId="9" fontId="4" fillId="11" borderId="1" xfId="0" applyNumberFormat="1" applyFont="1" applyFill="1" applyBorder="1" applyAlignment="1">
      <alignment horizontal="center" vertical="center"/>
    </xf>
    <xf numFmtId="14" fontId="40" fillId="0" borderId="6" xfId="0" applyNumberFormat="1" applyFont="1" applyBorder="1" applyAlignment="1">
      <alignment horizontal="center" vertical="center"/>
    </xf>
    <xf numFmtId="14" fontId="12" fillId="0" borderId="7" xfId="0" applyNumberFormat="1" applyFont="1" applyBorder="1" applyAlignment="1">
      <alignment horizontal="center" vertical="center"/>
    </xf>
    <xf numFmtId="0" fontId="41" fillId="0" borderId="6" xfId="0" applyFont="1" applyBorder="1" applyAlignment="1">
      <alignment horizontal="center" vertical="center"/>
    </xf>
    <xf numFmtId="0" fontId="41" fillId="0" borderId="31" xfId="0" applyFont="1" applyBorder="1" applyAlignment="1">
      <alignment horizontal="center" vertical="center"/>
    </xf>
    <xf numFmtId="0" fontId="41" fillId="0" borderId="7" xfId="0" applyFont="1" applyBorder="1" applyAlignment="1">
      <alignment horizontal="center" vertical="center"/>
    </xf>
    <xf numFmtId="0" fontId="7" fillId="12" borderId="0" xfId="0" applyFont="1" applyFill="1" applyAlignment="1">
      <alignment horizontal="center" vertical="center"/>
    </xf>
    <xf numFmtId="0" fontId="42" fillId="37" borderId="25" xfId="0" applyFont="1" applyFill="1" applyBorder="1" applyAlignment="1">
      <alignment horizontal="center"/>
    </xf>
    <xf numFmtId="0" fontId="42" fillId="37" borderId="42" xfId="0" applyFont="1" applyFill="1" applyBorder="1" applyAlignment="1">
      <alignment horizontal="center"/>
    </xf>
    <xf numFmtId="0" fontId="42" fillId="37" borderId="43" xfId="0" applyFont="1" applyFill="1" applyBorder="1" applyAlignment="1">
      <alignment horizontal="center"/>
    </xf>
    <xf numFmtId="0" fontId="43" fillId="32" borderId="6" xfId="0" applyFont="1" applyFill="1" applyBorder="1" applyAlignment="1">
      <alignment horizontal="center" vertical="center" wrapText="1"/>
    </xf>
    <xf numFmtId="0" fontId="43" fillId="32" borderId="7" xfId="0" applyFont="1" applyFill="1" applyBorder="1" applyAlignment="1">
      <alignment horizontal="center" vertical="center" wrapText="1"/>
    </xf>
    <xf numFmtId="0" fontId="18" fillId="23" borderId="0" xfId="0" applyFont="1" applyFill="1" applyAlignment="1">
      <alignment horizontal="center"/>
    </xf>
    <xf numFmtId="0" fontId="18" fillId="10" borderId="0" xfId="0" applyFont="1" applyFill="1" applyAlignment="1">
      <alignment horizontal="center"/>
    </xf>
    <xf numFmtId="0" fontId="18" fillId="19" borderId="0" xfId="0" applyFont="1" applyFill="1" applyAlignment="1">
      <alignment horizontal="center"/>
    </xf>
    <xf numFmtId="0" fontId="19" fillId="4" borderId="0" xfId="0" applyFont="1" applyFill="1" applyAlignment="1">
      <alignment horizontal="center"/>
    </xf>
    <xf numFmtId="0" fontId="18" fillId="8" borderId="0" xfId="0" applyFont="1" applyFill="1" applyAlignment="1">
      <alignment horizontal="center"/>
    </xf>
    <xf numFmtId="0" fontId="18" fillId="9" borderId="0" xfId="0" applyFont="1" applyFill="1" applyAlignment="1">
      <alignment horizontal="center"/>
    </xf>
    <xf numFmtId="0" fontId="18" fillId="24" borderId="0" xfId="0" applyFont="1" applyFill="1" applyAlignment="1">
      <alignment horizontal="center"/>
    </xf>
    <xf numFmtId="0" fontId="29" fillId="28" borderId="6" xfId="0" applyFont="1" applyFill="1" applyBorder="1" applyAlignment="1">
      <alignment horizontal="center"/>
    </xf>
    <xf numFmtId="0" fontId="29" fillId="28" borderId="31" xfId="0" applyFont="1" applyFill="1" applyBorder="1" applyAlignment="1">
      <alignment horizontal="center"/>
    </xf>
    <xf numFmtId="0" fontId="29" fillId="28" borderId="7" xfId="0" applyFont="1" applyFill="1" applyBorder="1" applyAlignment="1">
      <alignment horizontal="center"/>
    </xf>
    <xf numFmtId="0" fontId="29" fillId="29" borderId="29" xfId="0" applyFont="1" applyFill="1" applyBorder="1" applyAlignment="1">
      <alignment horizontal="center"/>
    </xf>
    <xf numFmtId="0" fontId="12" fillId="29" borderId="0" xfId="0" applyFont="1" applyFill="1" applyBorder="1" applyAlignment="1">
      <alignment horizontal="center" vertical="center" indent="1"/>
    </xf>
    <xf numFmtId="0" fontId="0" fillId="0" borderId="0" xfId="0" applyBorder="1" applyAlignment="1">
      <alignment horizontal="center" vertical="center"/>
    </xf>
    <xf numFmtId="0" fontId="8" fillId="0" borderId="0" xfId="0" applyFont="1" applyBorder="1"/>
    <xf numFmtId="0" fontId="13" fillId="0" borderId="0" xfId="0" applyFont="1" applyBorder="1" applyAlignment="1">
      <alignment horizontal="center" vertical="center"/>
    </xf>
    <xf numFmtId="14" fontId="0" fillId="0" borderId="0" xfId="0" applyNumberFormat="1" applyBorder="1" applyAlignment="1">
      <alignment horizontal="center" vertical="center"/>
    </xf>
    <xf numFmtId="14" fontId="13" fillId="0" borderId="0" xfId="0" applyNumberFormat="1" applyFont="1" applyBorder="1" applyAlignment="1">
      <alignment horizontal="center" vertical="center"/>
    </xf>
    <xf numFmtId="0" fontId="13" fillId="0" borderId="0" xfId="0" applyFont="1" applyBorder="1" applyAlignment="1">
      <alignment horizontal="center" vertical="center" wrapText="1"/>
    </xf>
    <xf numFmtId="14" fontId="12" fillId="0" borderId="0" xfId="0" applyNumberFormat="1" applyFont="1" applyBorder="1" applyAlignment="1">
      <alignment horizontal="center" vertical="center" wrapText="1"/>
    </xf>
    <xf numFmtId="14" fontId="12" fillId="37" borderId="0" xfId="0" applyNumberFormat="1" applyFont="1" applyFill="1" applyBorder="1" applyAlignment="1">
      <alignment horizontal="center" vertical="center" wrapText="1"/>
    </xf>
    <xf numFmtId="14" fontId="13" fillId="29" borderId="0" xfId="0" applyNumberFormat="1" applyFont="1" applyFill="1" applyBorder="1" applyAlignment="1">
      <alignment horizontal="center" vertical="center"/>
    </xf>
  </cellXfs>
  <cellStyles count="2">
    <cellStyle name="Hyperlink" xfId="1" xr:uid="{00000000-0005-0000-0000-000000000000}"/>
    <cellStyle name="Normal" xfId="0" builtinId="0"/>
  </cellStyles>
  <dxfs count="1891">
    <dxf>
      <font>
        <color rgb="FF9C0006"/>
      </font>
    </dxf>
    <dxf>
      <font>
        <color rgb="FF0070C0"/>
      </font>
      <fill>
        <patternFill patternType="solid">
          <bgColor theme="8"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theme="0" tint="-0.14999847407452621"/>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1" tint="0.249977111117893"/>
        </patternFill>
      </fill>
    </dxf>
    <dxf>
      <font>
        <color theme="0"/>
      </font>
      <fill>
        <patternFill patternType="solid">
          <bgColor theme="1" tint="0.499984740745262"/>
        </patternFill>
      </fill>
    </dxf>
    <dxf>
      <font>
        <color rgb="FF9C0006"/>
      </font>
    </dxf>
    <dxf>
      <font>
        <color theme="1"/>
      </font>
      <fill>
        <patternFill patternType="solid">
          <bgColor rgb="FFCCD2F0"/>
        </patternFill>
      </fill>
    </dxf>
    <dxf>
      <font>
        <color theme="1"/>
      </font>
      <fill>
        <patternFill patternType="solid">
          <bgColor rgb="FF92D050"/>
        </patternFill>
      </fill>
    </dxf>
    <dxf>
      <font>
        <color theme="0"/>
      </font>
      <fill>
        <patternFill patternType="solid">
          <bgColor rgb="FF00B0F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5" tint="0.59999389629810485"/>
        </patternFill>
      </fill>
    </dxf>
    <dxf>
      <font>
        <color theme="1"/>
      </font>
      <fill>
        <patternFill patternType="solid">
          <bgColor rgb="FFFFFF00"/>
        </patternFill>
      </fill>
    </dxf>
    <dxf>
      <font>
        <color theme="1"/>
      </font>
      <fill>
        <patternFill patternType="solid">
          <bgColor theme="0" tint="-0.14999847407452621"/>
        </patternFill>
      </fill>
    </dxf>
    <dxf>
      <font>
        <color theme="1"/>
      </font>
      <fill>
        <patternFill patternType="solid">
          <bgColor theme="8" tint="0.59999389629810485"/>
        </patternFill>
      </fill>
    </dxf>
    <dxf>
      <font>
        <color theme="1"/>
      </font>
      <fill>
        <patternFill patternType="solid">
          <bgColor rgb="FF28D9FC"/>
        </patternFill>
      </fill>
    </dxf>
    <dxf>
      <font>
        <color theme="0"/>
      </font>
      <fill>
        <patternFill patternType="solid">
          <bgColor theme="1" tint="0.249977111117893"/>
        </patternFill>
      </fill>
    </dxf>
    <dxf>
      <font>
        <color theme="0"/>
      </font>
      <fill>
        <patternFill patternType="solid">
          <bgColor theme="1" tint="0.499984740745262"/>
        </patternFill>
      </fill>
    </dxf>
    <dxf>
      <font>
        <color rgb="FF9C0006"/>
      </font>
    </dxf>
    <dxf>
      <font>
        <color theme="1"/>
      </font>
      <fill>
        <patternFill patternType="solid">
          <bgColor rgb="FFCCD2F0"/>
        </patternFill>
      </fill>
    </dxf>
    <dxf>
      <font>
        <color theme="1"/>
      </font>
      <fill>
        <patternFill patternType="solid">
          <bgColor rgb="FF92D050"/>
        </patternFill>
      </fill>
    </dxf>
    <dxf>
      <font>
        <color theme="0"/>
      </font>
      <fill>
        <patternFill patternType="solid">
          <bgColor rgb="FF00B0F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5" tint="0.59999389629810485"/>
        </patternFill>
      </fill>
    </dxf>
    <dxf>
      <font>
        <color theme="1"/>
      </font>
      <fill>
        <patternFill patternType="solid">
          <bgColor rgb="FFFFFF00"/>
        </patternFill>
      </fill>
    </dxf>
    <dxf>
      <font>
        <color theme="1"/>
      </font>
      <fill>
        <patternFill patternType="solid">
          <bgColor theme="0" tint="-0.14999847407452621"/>
        </patternFill>
      </fill>
    </dxf>
    <dxf>
      <font>
        <color theme="1"/>
      </font>
      <fill>
        <patternFill patternType="solid">
          <bgColor theme="8" tint="0.59999389629810485"/>
        </patternFill>
      </fill>
    </dxf>
    <dxf>
      <font>
        <color theme="1"/>
      </font>
      <fill>
        <patternFill patternType="solid">
          <bgColor rgb="FF28D9FC"/>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4" tint="0.39997558519241921"/>
      </font>
      <fill>
        <patternFill patternType="solid">
          <bgColor theme="5" tint="0.79998168889431442"/>
        </patternFill>
      </fill>
    </dxf>
    <dxf>
      <font>
        <color theme="1"/>
      </font>
      <fill>
        <patternFill patternType="solid">
          <bgColor theme="0"/>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0"/>
      </font>
      <fill>
        <patternFill patternType="solid">
          <bgColor theme="9" tint="-0.249977111117893"/>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92D050"/>
        </patternFill>
      </fill>
    </dxf>
    <dxf>
      <font>
        <color theme="0"/>
      </font>
      <fill>
        <patternFill patternType="solid">
          <bgColor rgb="FF7030A0"/>
        </patternFill>
      </fill>
    </dxf>
    <dxf>
      <font>
        <color theme="1"/>
      </font>
      <fill>
        <patternFill patternType="solid">
          <bgColor theme="5" tint="0.59999389629810485"/>
        </patternFill>
      </fill>
    </dxf>
    <dxf>
      <font>
        <color theme="0"/>
      </font>
      <fill>
        <patternFill patternType="solid">
          <bgColor rgb="FFC0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92D050"/>
        </patternFill>
      </fill>
    </dxf>
    <dxf>
      <font>
        <color theme="0"/>
      </font>
      <fill>
        <patternFill patternType="solid">
          <bgColor rgb="FF7030A0"/>
        </patternFill>
      </fill>
    </dxf>
    <dxf>
      <font>
        <color theme="1"/>
      </font>
      <fill>
        <patternFill patternType="solid">
          <bgColor theme="5" tint="0.59999389629810485"/>
        </patternFill>
      </fill>
    </dxf>
    <dxf>
      <font>
        <color theme="0"/>
      </font>
      <fill>
        <patternFill patternType="solid">
          <bgColor rgb="FFC0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92D050"/>
        </patternFill>
      </fill>
    </dxf>
    <dxf>
      <font>
        <color theme="1"/>
      </font>
      <fill>
        <patternFill patternType="solid">
          <bgColor theme="5" tint="0.59999389629810485"/>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92D050"/>
        </patternFill>
      </fill>
    </dxf>
    <dxf>
      <font>
        <color theme="1"/>
      </font>
      <fill>
        <patternFill patternType="solid">
          <bgColor theme="5" tint="0.59999389629810485"/>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4" tint="0.59999389629810485"/>
        </patternFill>
      </fill>
    </dxf>
    <dxf>
      <font>
        <color theme="0"/>
      </font>
      <fill>
        <patternFill patternType="solid">
          <bgColor theme="6" tint="0.39997558519241921"/>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2"/>
      </font>
      <fill>
        <patternFill patternType="solid">
          <bgColor rgb="FF7030A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4" tint="0.39997558519241921"/>
      </font>
      <fill>
        <patternFill patternType="solid">
          <bgColor theme="5" tint="0.79998168889431442"/>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4" tint="0.39997558519241921"/>
      </font>
      <fill>
        <patternFill patternType="solid">
          <bgColor theme="5" tint="0.79998168889431442"/>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0"/>
      </font>
      <fill>
        <patternFill patternType="solid">
          <bgColor theme="1" tint="0.34998626667073579"/>
        </patternFill>
      </fill>
    </dxf>
    <dxf>
      <font>
        <color theme="1"/>
      </font>
      <fill>
        <patternFill patternType="solid">
          <bgColor theme="9" tint="0.39997558519241921"/>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4" tint="0.39997558519241921"/>
      </font>
      <fill>
        <patternFill patternType="solid">
          <bgColor theme="5" tint="0.79998168889431442"/>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4" tint="0.39997558519241921"/>
      </font>
      <fill>
        <patternFill patternType="solid">
          <bgColor theme="5" tint="0.79998168889431442"/>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2"/>
      </font>
      <fill>
        <patternFill patternType="solid">
          <bgColor rgb="FF7030A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rgb="FFC22114"/>
        </patternFill>
      </fill>
    </dxf>
    <dxf>
      <font>
        <color theme="1"/>
      </font>
      <fill>
        <patternFill patternType="solid">
          <bgColor theme="7" tint="0.59999389629810485"/>
        </patternFill>
      </fill>
    </dxf>
    <dxf>
      <font>
        <color theme="1"/>
      </font>
      <fill>
        <patternFill patternType="solid">
          <bgColor theme="3" tint="0.499984740745262"/>
        </patternFill>
      </fill>
    </dxf>
    <dxf>
      <font>
        <color theme="0"/>
      </font>
      <fill>
        <patternFill patternType="solid">
          <bgColor theme="2" tint="-0.499984740745262"/>
        </patternFill>
      </fill>
    </dxf>
    <dxf>
      <font>
        <color theme="1"/>
      </font>
      <fill>
        <patternFill patternType="solid">
          <bgColor theme="5" tint="0.59999389629810485"/>
        </patternFill>
      </fill>
    </dxf>
    <dxf>
      <font>
        <color theme="1"/>
      </font>
      <fill>
        <patternFill patternType="solid">
          <bgColor theme="0"/>
        </patternFill>
      </fill>
    </dxf>
    <dxf>
      <font>
        <color theme="1"/>
      </font>
      <fill>
        <patternFill patternType="solid">
          <bgColor theme="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ill>
        <patternFill patternType="solid">
          <bgColor theme="4" tint="0.79998168889431442"/>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rgb="FF00B0F0"/>
        </patternFill>
      </fill>
    </dxf>
    <dxf>
      <font>
        <color theme="0"/>
      </font>
      <fill>
        <patternFill patternType="solid">
          <bgColor theme="1" tint="0.34998626667073579"/>
        </patternFill>
      </fill>
    </dxf>
    <dxf>
      <font>
        <color theme="1"/>
      </font>
      <fill>
        <patternFill patternType="solid">
          <bgColor theme="9" tint="0.39997558519241921"/>
        </patternFill>
      </fill>
    </dxf>
    <dxf>
      <font>
        <color theme="1"/>
      </font>
      <fill>
        <patternFill patternType="solid">
          <bgColor rgb="FFFFFF00"/>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5" tint="0.59999389629810485"/>
        </patternFill>
      </fill>
    </dxf>
    <dxf>
      <font>
        <color theme="1"/>
      </font>
      <fill>
        <patternFill patternType="solid">
          <bgColor rgb="FF0070C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5" tint="0.59999389629810485"/>
        </patternFill>
      </fill>
    </dxf>
    <dxf>
      <font>
        <color theme="1"/>
      </font>
      <fill>
        <patternFill patternType="solid">
          <bgColor rgb="FF0070C0"/>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0070C0"/>
        </patternFill>
      </fill>
    </dxf>
    <dxf>
      <font>
        <color theme="1"/>
      </font>
      <fill>
        <patternFill patternType="solid">
          <bgColor theme="7"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theme="0"/>
        </patternFill>
      </fill>
    </dxf>
    <dxf>
      <fill>
        <patternFill patternType="solid">
          <bgColor theme="0"/>
        </patternFill>
      </fill>
    </dxf>
    <dxf>
      <fill>
        <patternFill patternType="solid">
          <bgColor theme="5"/>
        </patternFill>
      </fill>
    </dxf>
    <dxf>
      <fill>
        <patternFill patternType="solid">
          <bgColor rgb="FFFF0000"/>
        </patternFill>
      </fill>
    </dxf>
    <dxf>
      <font>
        <color theme="3"/>
      </font>
      <fill>
        <patternFill patternType="solid">
          <bgColor theme="7"/>
        </patternFill>
      </fill>
    </dxf>
    <dxf>
      <font>
        <color theme="3"/>
      </font>
      <fill>
        <patternFill patternType="solid">
          <bgColor rgb="FF92D050"/>
        </patternFill>
      </fill>
    </dxf>
    <dxf>
      <font>
        <color theme="3"/>
      </font>
      <fill>
        <patternFill patternType="solid">
          <bgColor rgb="FF275317"/>
        </patternFill>
      </fill>
    </dxf>
    <dxf>
      <font>
        <color theme="3"/>
      </font>
      <fill>
        <patternFill patternType="solid">
          <bgColor rgb="FF92D050"/>
        </patternFill>
      </fill>
    </dxf>
    <dxf>
      <fill>
        <patternFill patternType="solid">
          <bgColor theme="5"/>
        </patternFill>
      </fill>
    </dxf>
    <dxf>
      <fill>
        <patternFill patternType="solid">
          <bgColor rgb="FFFF0000"/>
        </patternFill>
      </fill>
    </dxf>
    <dxf>
      <font>
        <color theme="3"/>
      </font>
      <fill>
        <patternFill patternType="solid">
          <bgColor theme="7"/>
        </patternFill>
      </fill>
    </dxf>
    <dxf>
      <font>
        <color theme="3"/>
      </font>
      <fill>
        <patternFill patternType="solid">
          <bgColor rgb="FF92D050"/>
        </patternFill>
      </fill>
    </dxf>
    <dxf>
      <font>
        <color theme="0"/>
      </font>
      <fill>
        <patternFill patternType="solid">
          <bgColor rgb="FF275317"/>
        </patternFill>
      </fill>
    </dxf>
    <dxf>
      <font>
        <color theme="3"/>
      </font>
      <fill>
        <patternFill patternType="solid">
          <bgColor rgb="FF92D050"/>
        </patternFill>
      </fill>
    </dxf>
    <dxf>
      <fill>
        <patternFill patternType="solid">
          <bgColor theme="5"/>
        </patternFill>
      </fill>
    </dxf>
    <dxf>
      <fill>
        <patternFill patternType="solid">
          <bgColor rgb="FFFF0000"/>
        </patternFill>
      </fill>
    </dxf>
    <dxf>
      <font>
        <color theme="3"/>
      </font>
      <fill>
        <patternFill patternType="solid">
          <bgColor theme="7"/>
        </patternFill>
      </fill>
    </dxf>
    <dxf>
      <font>
        <color theme="3"/>
      </font>
      <fill>
        <patternFill patternType="solid">
          <bgColor rgb="FF92D050"/>
        </patternFill>
      </fill>
    </dxf>
    <dxf>
      <font>
        <color rgb="FF9C0006"/>
      </font>
    </dxf>
    <dxf>
      <font>
        <color rgb="FF9C0006"/>
      </font>
    </dxf>
    <dxf>
      <font>
        <color rgb="FF9C0006"/>
      </font>
      <fill>
        <patternFill>
          <bgColor rgb="FFFFC7CE"/>
        </patternFill>
      </fill>
    </dxf>
    <dxf>
      <font>
        <color theme="1"/>
      </font>
      <fill>
        <patternFill patternType="solid">
          <bgColor rgb="FF92D050"/>
        </patternFill>
      </fill>
    </dxf>
    <dxf>
      <fill>
        <patternFill patternType="solid">
          <bgColor rgb="FFD86DCD"/>
        </patternFill>
      </fill>
    </dxf>
    <dxf>
      <font>
        <color theme="1"/>
      </font>
      <fill>
        <patternFill patternType="solid">
          <bgColor rgb="FFFF0000"/>
        </patternFill>
      </fill>
    </dxf>
    <dxf>
      <font>
        <color rgb="FF9C5700"/>
      </font>
      <fill>
        <patternFill>
          <bgColor rgb="FFFFEB9C"/>
        </patternFill>
      </fill>
    </dxf>
    <dxf>
      <font>
        <color theme="3"/>
      </font>
      <fill>
        <patternFill patternType="solid">
          <bgColor theme="9" tint="-0.499984740745262"/>
        </patternFill>
      </fill>
    </dxf>
    <dxf>
      <font>
        <color theme="1"/>
      </font>
      <fill>
        <patternFill patternType="solid">
          <bgColor rgb="FF92D050"/>
        </patternFill>
      </fill>
    </dxf>
    <dxf>
      <font>
        <color theme="1"/>
      </font>
      <fill>
        <patternFill patternType="solid">
          <bgColor rgb="FF00B0F0"/>
        </patternFill>
      </fill>
    </dxf>
    <dxf>
      <fill>
        <patternFill patternType="solid">
          <bgColor rgb="FFD86DCD"/>
        </patternFill>
      </fill>
    </dxf>
    <dxf>
      <font>
        <color theme="1"/>
      </font>
      <fill>
        <patternFill patternType="solid">
          <bgColor rgb="FFFF0000"/>
        </patternFill>
      </fill>
    </dxf>
    <dxf>
      <fill>
        <patternFill patternType="solid">
          <bgColor rgb="FFFFFF00"/>
        </patternFill>
      </fill>
    </dxf>
    <dxf>
      <font>
        <color theme="1"/>
      </font>
      <fill>
        <patternFill patternType="solid">
          <bgColor rgb="FFE87331"/>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solid">
          <bgColor rgb="FFFFFF00"/>
        </patternFill>
      </fill>
    </dxf>
    <dxf>
      <font>
        <color rgb="FF9C0006"/>
      </font>
      <fill>
        <patternFill>
          <bgColor rgb="FFFFC7CE"/>
        </patternFill>
      </fill>
    </dxf>
    <dxf>
      <font>
        <color theme="1"/>
      </font>
      <fill>
        <patternFill patternType="solid">
          <bgColor rgb="FFFFFF00"/>
        </patternFill>
      </fill>
    </dxf>
    <dxf>
      <font>
        <color theme="0"/>
      </font>
      <fill>
        <patternFill patternType="solid">
          <bgColor theme="1" tint="0.249977111117893"/>
        </patternFill>
      </fill>
    </dxf>
    <dxf>
      <font>
        <color theme="0"/>
      </font>
      <fill>
        <patternFill patternType="solid">
          <bgColor theme="1" tint="0.499984740745262"/>
        </patternFill>
      </fill>
    </dxf>
    <dxf>
      <font>
        <color rgb="FF9C0006"/>
      </font>
    </dxf>
    <dxf>
      <font>
        <color theme="1"/>
      </font>
      <fill>
        <patternFill patternType="solid">
          <bgColor rgb="FFCCD2F0"/>
        </patternFill>
      </fill>
    </dxf>
    <dxf>
      <font>
        <color theme="1"/>
      </font>
      <fill>
        <patternFill patternType="solid">
          <bgColor rgb="FF92D050"/>
        </patternFill>
      </fill>
    </dxf>
    <dxf>
      <font>
        <color theme="0"/>
      </font>
      <fill>
        <patternFill patternType="solid">
          <bgColor rgb="FF00B0F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5" tint="0.59999389629810485"/>
        </patternFill>
      </fill>
    </dxf>
    <dxf>
      <font>
        <color theme="1"/>
      </font>
      <fill>
        <patternFill patternType="solid">
          <bgColor rgb="FFFFFF00"/>
        </patternFill>
      </fill>
    </dxf>
    <dxf>
      <font>
        <color theme="1"/>
      </font>
      <fill>
        <patternFill patternType="solid">
          <bgColor theme="0" tint="-0.14999847407452621"/>
        </patternFill>
      </fill>
    </dxf>
    <dxf>
      <font>
        <color theme="1"/>
      </font>
      <fill>
        <patternFill patternType="solid">
          <bgColor theme="8" tint="0.59999389629810485"/>
        </patternFill>
      </fill>
    </dxf>
    <dxf>
      <font>
        <color theme="1"/>
      </font>
      <fill>
        <patternFill patternType="solid">
          <bgColor rgb="FF28D9FC"/>
        </patternFill>
      </fill>
    </dxf>
    <dxf>
      <font>
        <color theme="0"/>
      </font>
      <fill>
        <patternFill patternType="solid">
          <bgColor rgb="FFC22114"/>
        </patternFill>
      </fill>
    </dxf>
    <dxf>
      <font>
        <color theme="1"/>
      </font>
      <fill>
        <patternFill patternType="solid">
          <bgColor theme="5" tint="0.79998168889431442"/>
        </patternFill>
      </fill>
    </dxf>
    <dxf>
      <font>
        <color theme="1"/>
      </font>
      <fill>
        <patternFill patternType="solid">
          <bgColor rgb="FFFFC000"/>
        </patternFill>
      </fill>
    </dxf>
    <dxf>
      <font>
        <color theme="1"/>
      </font>
      <fill>
        <patternFill patternType="solid">
          <bgColor rgb="FF92D050"/>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5" tint="0.59999389629810485"/>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5" tint="0.59999389629810485"/>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rgb="FF00B050"/>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5" tint="0.59999389629810485"/>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rgb="FF92D050"/>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0"/>
        </patternFill>
      </fill>
    </dxf>
    <dxf>
      <font>
        <color theme="2"/>
      </font>
      <fill>
        <patternFill patternType="solid">
          <bgColor rgb="FF7030A0"/>
        </patternFill>
      </fill>
    </dxf>
    <dxf>
      <font>
        <color theme="1"/>
      </font>
      <fill>
        <patternFill patternType="solid">
          <bgColor theme="5" tint="0.59999389629810485"/>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rgb="FF92D050"/>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rgb="FF000000"/>
      </font>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5700"/>
      </font>
      <fill>
        <patternFill>
          <bgColor rgb="FFFFEB9C"/>
        </patternFill>
      </fill>
    </dxf>
    <dxf>
      <font>
        <color rgb="FF9C0006"/>
      </font>
    </dxf>
    <dxf>
      <font>
        <color rgb="FF9C0006"/>
      </font>
      <fill>
        <patternFill>
          <bgColor rgb="FFFFC7CE"/>
        </patternFill>
      </fill>
    </dxf>
    <dxf>
      <font>
        <color rgb="FF9C5700"/>
      </font>
      <fill>
        <patternFill>
          <bgColor rgb="FFFFEB9C"/>
        </patternFill>
      </fill>
    </dxf>
    <dxf>
      <font>
        <color theme="1"/>
      </font>
      <fill>
        <patternFill patternType="solid">
          <bgColor theme="0"/>
        </patternFill>
      </fill>
    </dxf>
    <dxf>
      <font>
        <color rgb="FF9C0006"/>
      </font>
      <fill>
        <patternFill>
          <bgColor rgb="FFFFC7CE"/>
        </patternFill>
      </fill>
    </dxf>
    <dxf>
      <font>
        <color rgb="FF000000"/>
      </font>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5700"/>
      </font>
      <fill>
        <patternFill>
          <bgColor rgb="FFFFEB9C"/>
        </patternFill>
      </fill>
    </dxf>
    <dxf>
      <fill>
        <patternFill patternType="solid">
          <bgColor theme="5" tint="0.59999389629810485"/>
        </patternFill>
      </fill>
    </dxf>
    <dxf>
      <font>
        <color rgb="FFFF0000"/>
      </font>
      <fill>
        <patternFill patternType="solid">
          <bgColor theme="0"/>
        </patternFill>
      </fill>
    </dxf>
    <dxf>
      <font>
        <color theme="0"/>
      </font>
      <fill>
        <patternFill patternType="solid">
          <bgColor theme="9" tint="-0.249977111117893"/>
        </patternFill>
      </fill>
    </dxf>
    <dxf>
      <fill>
        <patternFill patternType="solid">
          <bgColor theme="5" tint="0.39997558519241921"/>
        </patternFill>
      </fill>
    </dxf>
    <dxf>
      <fill>
        <patternFill patternType="solid">
          <bgColor theme="5" tint="0.59999389629810485"/>
        </patternFill>
      </fill>
    </dxf>
    <dxf>
      <font>
        <color rgb="FF9C0006"/>
      </font>
      <fill>
        <patternFill patternType="solid">
          <bgColor rgb="FF00B0F0"/>
        </patternFill>
      </fill>
    </dxf>
    <dxf>
      <font>
        <color theme="1"/>
      </font>
      <fill>
        <patternFill patternType="solid">
          <bgColor theme="7" tint="0.79998168889431442"/>
        </patternFill>
      </fill>
    </dxf>
    <dxf>
      <font>
        <color rgb="FFFF0000"/>
      </font>
      <fill>
        <patternFill patternType="solid">
          <bgColor theme="0"/>
        </patternFill>
      </fill>
    </dxf>
    <dxf>
      <font>
        <color theme="0"/>
      </font>
      <fill>
        <patternFill patternType="solid">
          <bgColor theme="8" tint="-0.249977111117893"/>
        </patternFill>
      </fill>
    </dxf>
    <dxf>
      <fill>
        <patternFill patternType="solid">
          <bgColor theme="8" tint="0.39997558519241921"/>
        </patternFill>
      </fill>
    </dxf>
    <dxf>
      <fill>
        <patternFill patternType="solid">
          <bgColor theme="8" tint="0.59999389629810485"/>
        </patternFill>
      </fill>
    </dxf>
    <dxf>
      <font>
        <color theme="1"/>
      </font>
      <fill>
        <patternFill patternType="solid">
          <bgColor theme="8" tint="0.79998168889431442"/>
        </patternFill>
      </fill>
    </dxf>
    <dxf>
      <font>
        <color rgb="FFFF0000"/>
      </font>
      <fill>
        <patternFill patternType="solid">
          <bgColor theme="0"/>
        </patternFill>
      </fill>
    </dxf>
    <dxf>
      <font>
        <color theme="1"/>
      </font>
      <fill>
        <patternFill patternType="solid">
          <bgColor theme="5" tint="0.79998168889431442"/>
        </patternFill>
      </fill>
    </dxf>
    <dxf>
      <font>
        <color theme="1"/>
      </font>
      <fill>
        <patternFill patternType="solid">
          <bgColor theme="9" tint="0.39997558519241921"/>
        </patternFill>
      </fill>
    </dxf>
    <dxf>
      <font>
        <color theme="1"/>
      </font>
      <fill>
        <patternFill patternType="solid">
          <bgColor theme="9" tint="0.59999389629810485"/>
        </patternFill>
      </fill>
    </dxf>
    <dxf>
      <font>
        <color theme="1"/>
      </font>
      <fill>
        <patternFill patternType="solid">
          <bgColor theme="9" tint="0.79998168889431442"/>
        </patternFill>
      </fill>
    </dxf>
    <dxf>
      <font>
        <color rgb="FF9C5700"/>
      </font>
      <fill>
        <patternFill>
          <bgColor rgb="FFFFEB9C"/>
        </patternFill>
      </fill>
    </dxf>
    <dxf>
      <font>
        <color theme="0"/>
      </font>
      <fill>
        <patternFill patternType="solid">
          <bgColor theme="1" tint="0.249977111117893"/>
        </patternFill>
      </fill>
    </dxf>
    <dxf>
      <font>
        <color theme="0"/>
      </font>
      <fill>
        <patternFill patternType="solid">
          <bgColor theme="1" tint="0.499984740745262"/>
        </patternFill>
      </fill>
    </dxf>
    <dxf>
      <font>
        <color rgb="FF9C0006"/>
      </font>
    </dxf>
    <dxf>
      <font>
        <color theme="1"/>
      </font>
      <fill>
        <patternFill patternType="solid">
          <bgColor rgb="FFCCD2F0"/>
        </patternFill>
      </fill>
    </dxf>
    <dxf>
      <font>
        <color theme="1"/>
      </font>
      <fill>
        <patternFill patternType="solid">
          <bgColor rgb="FF92D050"/>
        </patternFill>
      </fill>
    </dxf>
    <dxf>
      <font>
        <color theme="0"/>
      </font>
      <fill>
        <patternFill patternType="solid">
          <bgColor rgb="FF00B0F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5" tint="0.59999389629810485"/>
        </patternFill>
      </fill>
    </dxf>
    <dxf>
      <font>
        <color theme="1"/>
      </font>
      <fill>
        <patternFill patternType="solid">
          <bgColor rgb="FFFFFF00"/>
        </patternFill>
      </fill>
    </dxf>
    <dxf>
      <font>
        <color theme="1"/>
      </font>
      <fill>
        <patternFill patternType="solid">
          <bgColor theme="0" tint="-0.14999847407452621"/>
        </patternFill>
      </fill>
    </dxf>
    <dxf>
      <font>
        <color theme="1"/>
      </font>
      <fill>
        <patternFill patternType="solid">
          <bgColor theme="8" tint="0.59999389629810485"/>
        </patternFill>
      </fill>
    </dxf>
    <dxf>
      <font>
        <color theme="1"/>
      </font>
      <fill>
        <patternFill patternType="solid">
          <bgColor rgb="FF28D9FC"/>
        </patternFill>
      </fill>
    </dxf>
    <dxf>
      <font>
        <color theme="1"/>
      </font>
      <fill>
        <patternFill patternType="solid">
          <bgColor rgb="FFCCD2F0"/>
        </patternFill>
      </fill>
    </dxf>
    <dxf>
      <font>
        <color theme="1"/>
      </font>
      <fill>
        <patternFill patternType="solid">
          <bgColor rgb="FF92D050"/>
        </patternFill>
      </fill>
    </dxf>
    <dxf>
      <font>
        <color theme="0"/>
      </font>
      <fill>
        <patternFill patternType="solid">
          <bgColor rgb="FF00B0F0"/>
        </patternFill>
      </fill>
    </dxf>
    <dxf>
      <font>
        <color theme="2"/>
      </font>
      <fill>
        <patternFill patternType="solid">
          <bgColor rgb="FF7030A0"/>
        </patternFill>
      </fill>
    </dxf>
    <dxf>
      <font>
        <color theme="0"/>
      </font>
      <fill>
        <patternFill patternType="solid">
          <bgColor rgb="FFC22114"/>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5" tint="0.59999389629810485"/>
        </patternFill>
      </fill>
    </dxf>
    <dxf>
      <font>
        <color theme="1"/>
      </font>
      <fill>
        <patternFill patternType="solid">
          <bgColor rgb="FFFFFF00"/>
        </patternFill>
      </fill>
    </dxf>
    <dxf>
      <font>
        <color theme="1"/>
      </font>
      <fill>
        <patternFill patternType="solid">
          <bgColor theme="0" tint="-0.14999847407452621"/>
        </patternFill>
      </fill>
    </dxf>
    <dxf>
      <font>
        <color theme="1"/>
      </font>
      <fill>
        <patternFill patternType="solid">
          <bgColor theme="8" tint="0.59999389629810485"/>
        </patternFill>
      </fill>
    </dxf>
    <dxf>
      <font>
        <color rgb="FF006100"/>
      </font>
      <fill>
        <patternFill>
          <bgColor rgb="FFC6EFCE"/>
        </patternFill>
      </fill>
    </dxf>
    <dxf>
      <font>
        <color theme="1"/>
      </font>
      <fill>
        <patternFill patternType="solid">
          <bgColor rgb="FF28D9FC"/>
        </patternFill>
      </fill>
    </dxf>
    <dxf>
      <font>
        <color rgb="FF9C0006"/>
      </font>
    </dxf>
    <dxf>
      <font>
        <color theme="0"/>
      </font>
      <fill>
        <patternFill patternType="solid">
          <bgColor theme="1" tint="0.34998626667073579"/>
        </patternFill>
      </fill>
    </dxf>
    <dxf>
      <font>
        <color theme="1"/>
      </font>
      <fill>
        <patternFill patternType="solid">
          <bgColor theme="4" tint="0.59999389629810485"/>
        </patternFill>
      </fill>
    </dxf>
    <dxf>
      <font>
        <color rgb="FF002060"/>
      </font>
      <fill>
        <patternFill patternType="solid">
          <bgColor rgb="FFD86DCD"/>
        </patternFill>
      </fill>
    </dxf>
    <dxf>
      <font>
        <color rgb="FF00B0F0"/>
      </font>
      <fill>
        <patternFill patternType="solid">
          <bgColor theme="1"/>
        </patternFill>
      </fill>
    </dxf>
    <dxf>
      <font>
        <color theme="0"/>
      </font>
      <fill>
        <patternFill patternType="solid">
          <bgColor theme="0"/>
        </patternFill>
      </fill>
      <border>
        <left style="thin">
          <color rgb="FF9C0006"/>
        </left>
        <right style="thin">
          <color rgb="FF9C0006"/>
        </right>
        <top style="thin">
          <color rgb="FF9C0006"/>
        </top>
        <bottom style="thin">
          <color rgb="FF9C0006"/>
        </bottom>
      </border>
    </dxf>
    <dxf>
      <font>
        <color rgb="FFFFFF00"/>
      </font>
      <fill>
        <patternFill patternType="solid">
          <bgColor theme="1"/>
        </patternFill>
      </fill>
    </dxf>
    <dxf>
      <font>
        <color theme="0"/>
      </font>
      <fill>
        <patternFill patternType="solid">
          <bgColor rgb="FF7030A0"/>
        </patternFill>
      </fill>
    </dxf>
    <dxf>
      <font>
        <color theme="1"/>
      </font>
      <fill>
        <patternFill patternType="solid">
          <bgColor theme="5" tint="0.59999389629810485"/>
        </patternFill>
      </fill>
    </dxf>
    <dxf>
      <font>
        <color theme="1"/>
      </font>
      <fill>
        <patternFill patternType="solid">
          <bgColor rgb="FFFFC000"/>
        </patternFill>
      </fill>
    </dxf>
    <dxf>
      <font>
        <color theme="1"/>
      </font>
      <fill>
        <patternFill patternType="solid">
          <bgColor rgb="FFFFC000"/>
        </patternFill>
      </fill>
    </dxf>
    <dxf>
      <font>
        <color theme="0"/>
      </font>
      <fill>
        <patternFill patternType="solid">
          <bgColor rgb="FFC00000"/>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CA7A7"/>
        </patternFill>
      </fill>
    </dxf>
    <dxf>
      <font>
        <color theme="1"/>
      </font>
      <fill>
        <patternFill patternType="solid">
          <bgColor theme="3" tint="0.499984740745262"/>
        </patternFill>
      </fill>
    </dxf>
    <dxf>
      <font>
        <color theme="0"/>
      </font>
      <fill>
        <patternFill patternType="solid">
          <bgColor theme="2" tint="-0.499984740745262"/>
        </patternFill>
      </fill>
    </dxf>
    <dxf>
      <font>
        <color theme="1"/>
      </font>
      <fill>
        <patternFill patternType="solid">
          <bgColor rgb="FF0070C0"/>
        </patternFill>
      </fill>
    </dxf>
    <dxf>
      <font>
        <color theme="0"/>
      </font>
      <fill>
        <patternFill patternType="solid">
          <bgColor theme="6" tint="0.39997558519241921"/>
        </patternFill>
      </fill>
    </dxf>
    <dxf>
      <font>
        <color theme="1"/>
      </font>
      <fill>
        <patternFill patternType="solid">
          <bgColor theme="0" tint="-0.14999847407452621"/>
        </patternFill>
      </fill>
    </dxf>
    <dxf>
      <font>
        <color theme="1"/>
      </font>
      <fill>
        <patternFill patternType="solid">
          <bgColor theme="8" tint="0.79998168889431442"/>
        </patternFill>
      </fill>
    </dxf>
    <dxf>
      <font>
        <color theme="7" tint="0.79998168889431442"/>
      </font>
      <fill>
        <patternFill patternType="solid">
          <bgColor theme="5" tint="0.39997558519241921"/>
        </patternFill>
      </fill>
    </dxf>
    <dxf>
      <font>
        <color theme="0"/>
      </font>
      <fill>
        <patternFill patternType="solid">
          <bgColor rgb="FF003EFA"/>
        </patternFill>
      </fill>
    </dxf>
    <dxf>
      <font>
        <color theme="1"/>
      </font>
      <fill>
        <patternFill patternType="solid">
          <bgColor theme="8" tint="0.79998168889431442"/>
        </patternFill>
      </fill>
    </dxf>
    <dxf>
      <font>
        <color theme="1"/>
      </font>
      <fill>
        <patternFill patternType="solid">
          <bgColor rgb="FFFCA7A7"/>
        </patternFill>
      </fill>
    </dxf>
    <dxf>
      <font>
        <color theme="1"/>
      </font>
      <fill>
        <patternFill patternType="solid">
          <bgColor rgb="FF92D050"/>
        </patternFill>
      </fill>
    </dxf>
    <dxf>
      <font>
        <color theme="1"/>
      </font>
      <fill>
        <patternFill patternType="solid">
          <bgColor theme="0" tint="-0.149998474074526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0"/>
      </font>
      <fill>
        <patternFill patternType="solid">
          <bgColor rgb="FFFF9C9C"/>
        </patternFill>
      </fill>
    </dxf>
    <dxf>
      <font>
        <color theme="1"/>
      </font>
      <fill>
        <patternFill patternType="solid">
          <bgColor theme="8" tint="0.79998168889431442"/>
        </patternFill>
      </fill>
    </dxf>
    <dxf>
      <font>
        <color theme="7" tint="0.79998168889431442"/>
      </font>
      <fill>
        <patternFill patternType="solid">
          <bgColor theme="5" tint="0.39997558519241921"/>
        </patternFill>
      </fill>
    </dxf>
    <dxf>
      <font>
        <color theme="1"/>
      </font>
      <fill>
        <patternFill patternType="solid">
          <bgColor theme="8" tint="0.79998168889431442"/>
        </patternFill>
      </fill>
    </dxf>
    <dxf>
      <font>
        <color theme="1"/>
      </font>
      <fill>
        <patternFill patternType="solid">
          <bgColor rgb="FFFCA7A7"/>
        </patternFill>
      </fill>
    </dxf>
    <dxf>
      <font>
        <color theme="1"/>
      </font>
      <fill>
        <patternFill patternType="solid">
          <bgColor rgb="FF92D050"/>
        </patternFill>
      </fill>
    </dxf>
    <dxf>
      <font>
        <color theme="1"/>
      </font>
      <fill>
        <patternFill patternType="solid">
          <bgColor theme="0" tint="-0.149998474074526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8" tint="0.79998168889431442"/>
        </patternFill>
      </fill>
    </dxf>
    <dxf>
      <font>
        <color theme="7" tint="0.79998168889431442"/>
      </font>
      <fill>
        <patternFill patternType="solid">
          <bgColor theme="5" tint="0.39997558519241921"/>
        </patternFill>
      </fill>
    </dxf>
    <dxf>
      <font>
        <color theme="4" tint="0.59999389629810485"/>
      </font>
      <fill>
        <patternFill patternType="solid">
          <bgColor theme="1"/>
        </patternFill>
      </fill>
    </dxf>
    <dxf>
      <font>
        <color theme="1"/>
      </font>
      <fill>
        <patternFill patternType="solid">
          <bgColor theme="0"/>
        </patternFill>
      </fill>
    </dxf>
    <dxf>
      <font>
        <color rgb="FF9C0006"/>
      </font>
      <fill>
        <patternFill patternType="solid">
          <bgColor theme="0"/>
        </patternFill>
      </fill>
    </dxf>
    <dxf>
      <font>
        <color rgb="FFFFFF00"/>
      </font>
      <fill>
        <patternFill patternType="solid">
          <bgColor theme="1"/>
        </patternFill>
      </fill>
    </dxf>
    <dxf>
      <font>
        <color rgb="FF9C0006"/>
      </font>
    </dxf>
    <dxf>
      <font>
        <color theme="1"/>
      </font>
      <fill>
        <patternFill patternType="solid">
          <bgColor theme="8" tint="0.79998168889431442"/>
        </patternFill>
      </fill>
    </dxf>
    <dxf>
      <font>
        <color theme="1"/>
      </font>
      <fill>
        <patternFill patternType="solid">
          <bgColor rgb="FFFCA7A7"/>
        </patternFill>
      </fill>
    </dxf>
    <dxf>
      <font>
        <color theme="1"/>
      </font>
      <fill>
        <patternFill patternType="solid">
          <bgColor rgb="FF92D050"/>
        </patternFill>
      </fill>
    </dxf>
    <dxf>
      <font>
        <color theme="1"/>
      </font>
      <fill>
        <patternFill patternType="solid">
          <bgColor theme="0" tint="-0.149998474074526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theme="8" tint="0.79998168889431442"/>
        </patternFill>
      </fill>
    </dxf>
    <dxf>
      <font>
        <color theme="1"/>
      </font>
      <fill>
        <patternFill patternType="solid">
          <bgColor rgb="FFFCA7A7"/>
        </patternFill>
      </fill>
    </dxf>
    <dxf>
      <font>
        <color theme="1"/>
      </font>
      <fill>
        <patternFill patternType="solid">
          <bgColor rgb="FF92D050"/>
        </patternFill>
      </fill>
    </dxf>
    <dxf>
      <font>
        <color theme="1"/>
      </font>
      <fill>
        <patternFill patternType="solid">
          <bgColor theme="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theme="1"/>
      </font>
      <fill>
        <patternFill patternType="solid">
          <bgColor rgb="FF0070C0"/>
        </patternFill>
      </fill>
    </dxf>
    <dxf>
      <font>
        <color theme="1"/>
      </font>
      <fill>
        <patternFill patternType="solid">
          <bgColor rgb="FF92D050"/>
        </patternFill>
      </fill>
    </dxf>
    <dxf>
      <font>
        <color theme="1"/>
      </font>
      <fill>
        <patternFill patternType="solid">
          <bgColor theme="0" tint="-0.14999847407452621"/>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theme="5" tint="0.59999389629810485"/>
        </patternFill>
      </fill>
    </dxf>
    <dxf>
      <font>
        <color theme="2"/>
      </font>
      <fill>
        <patternFill patternType="solid">
          <bgColor rgb="FF7030A0"/>
        </patternFill>
      </fill>
    </dxf>
    <dxf>
      <font>
        <color theme="1"/>
      </font>
      <fill>
        <patternFill patternType="solid">
          <bgColor rgb="FFFF0000"/>
        </patternFill>
      </fill>
    </dxf>
    <dxf>
      <font>
        <color theme="1"/>
      </font>
      <fill>
        <patternFill patternType="solid">
          <bgColor theme="8" tint="0.59999389629810485"/>
        </patternFill>
      </fill>
    </dxf>
    <dxf>
      <font>
        <color theme="0"/>
      </font>
      <fill>
        <patternFill patternType="solid">
          <bgColor theme="5" tint="-0.249977111117893"/>
        </patternFill>
      </fill>
    </dxf>
    <dxf>
      <font>
        <color theme="1"/>
      </font>
      <fill>
        <patternFill patternType="solid">
          <bgColor theme="7" tint="0.59999389629810485"/>
        </patternFill>
      </fill>
    </dxf>
    <dxf>
      <font>
        <color theme="0"/>
      </font>
      <fill>
        <patternFill patternType="solid">
          <bgColor theme="3" tint="0.499984740745262"/>
        </patternFill>
      </fill>
    </dxf>
    <dxf>
      <font>
        <color theme="0"/>
      </font>
      <fill>
        <patternFill patternType="solid">
          <bgColor theme="2" tint="-0.499984740745262"/>
        </patternFill>
      </fill>
    </dxf>
    <dxf>
      <font>
        <color theme="0"/>
      </font>
      <fill>
        <patternFill patternType="solid">
          <bgColor theme="1" tint="0.34998626667073579"/>
        </patternFill>
      </fill>
    </dxf>
    <dxf>
      <font>
        <color theme="0"/>
      </font>
      <fill>
        <patternFill patternType="solid">
          <bgColor theme="6" tint="0.39997558519241921"/>
        </patternFill>
      </fill>
    </dxf>
    <dxf>
      <font>
        <color rgb="FFFF0000"/>
      </font>
      <fill>
        <patternFill patternType="solid">
          <bgColor theme="1"/>
        </patternFill>
      </fill>
    </dxf>
    <dxf>
      <font>
        <color theme="1"/>
      </font>
      <fill>
        <patternFill patternType="solid">
          <bgColor rgb="FF0070C0"/>
        </patternFill>
      </fill>
    </dxf>
    <dxf>
      <font>
        <color theme="0"/>
      </font>
      <fill>
        <patternFill patternType="solid">
          <bgColor theme="0"/>
        </patternFill>
      </fill>
    </dxf>
    <dxf>
      <font>
        <color rgb="FF9C0006"/>
      </font>
    </dxf>
    <dxf>
      <font>
        <color rgb="FF0070C0"/>
      </font>
      <fill>
        <patternFill patternType="solid">
          <bgColor theme="8"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theme="0" tint="-0.14999847407452621"/>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rgb="FF0070C0"/>
      </font>
      <fill>
        <patternFill patternType="solid">
          <bgColor theme="8"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theme="0" tint="-0.14999847407452621"/>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rgb="FF9C0006"/>
      </font>
    </dxf>
    <dxf>
      <font>
        <color rgb="FF0070C0"/>
      </font>
      <fill>
        <patternFill patternType="solid">
          <bgColor theme="8"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theme="0" tint="-0.14999847407452621"/>
        </patternFill>
      </fill>
    </dxf>
    <dxf>
      <fill>
        <patternFill patternType="solid">
          <bgColor rgb="FF00B0F0"/>
        </patternFill>
      </fill>
    </dxf>
    <dxf>
      <font>
        <color theme="0"/>
      </font>
      <fill>
        <patternFill patternType="solid">
          <bgColor theme="1" tint="0.34998626667073579"/>
        </patternFill>
      </fill>
    </dxf>
    <dxf>
      <fill>
        <patternFill patternType="solid">
          <bgColor theme="4" tint="0.79998168889431442"/>
        </patternFill>
      </fill>
    </dxf>
    <dxf>
      <font>
        <color rgb="FF0070C0"/>
      </font>
      <fill>
        <patternFill patternType="solid">
          <bgColor theme="8" tint="0.39997558519241921"/>
        </patternFill>
      </fill>
    </dxf>
    <dxf>
      <font>
        <color theme="0"/>
      </font>
      <fill>
        <patternFill patternType="solid">
          <bgColor theme="6" tint="0.39997558519241921"/>
        </patternFill>
      </fill>
    </dxf>
    <dxf>
      <font>
        <color theme="0"/>
      </font>
      <fill>
        <patternFill patternType="solid">
          <bgColor theme="2" tint="-0.499984740745262"/>
        </patternFill>
      </fill>
    </dxf>
    <dxf>
      <font>
        <color theme="0"/>
      </font>
      <fill>
        <patternFill patternType="solid">
          <bgColor theme="3" tint="0.499984740745262"/>
        </patternFill>
      </fill>
    </dxf>
    <dxf>
      <font>
        <color theme="0"/>
      </font>
      <fill>
        <patternFill patternType="solid">
          <bgColor theme="5" tint="-0.249977111117893"/>
        </patternFill>
      </fill>
    </dxf>
    <dxf>
      <font>
        <color theme="1"/>
      </font>
      <fill>
        <patternFill patternType="solid">
          <bgColor theme="8" tint="0.59999389629810485"/>
        </patternFill>
      </fill>
    </dxf>
    <dxf>
      <font>
        <color theme="1"/>
      </font>
      <fill>
        <patternFill patternType="solid">
          <bgColor rgb="FFFF00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theme="0" tint="-0.14999847407452621"/>
        </patternFill>
      </fill>
    </dxf>
    <dxf>
      <font>
        <color theme="1"/>
      </font>
      <fill>
        <patternFill patternType="solid">
          <bgColor theme="5" tint="0.59999389629810485"/>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70C0"/>
        </patternFill>
      </fill>
    </dxf>
    <dxf>
      <font>
        <color theme="2"/>
      </font>
      <fill>
        <patternFill patternType="solid">
          <bgColor rgb="FF7030A0"/>
        </patternFill>
      </fill>
    </dxf>
    <dxf>
      <font>
        <color theme="0"/>
      </font>
      <fill>
        <patternFill patternType="solid">
          <bgColor theme="1" tint="0.34998626667073579"/>
        </patternFill>
      </fill>
    </dxf>
    <dxf>
      <font>
        <color theme="7"/>
      </font>
      <fill>
        <patternFill patternType="solid">
          <bgColor theme="5" tint="0.79998168889431442"/>
        </patternFill>
      </fill>
    </dxf>
    <dxf>
      <font>
        <color theme="1"/>
      </font>
      <fill>
        <patternFill patternType="solid">
          <bgColor theme="8" tint="0.79998168889431442"/>
        </patternFill>
      </fill>
    </dxf>
    <dxf>
      <font>
        <color rgb="FF0070C0"/>
      </font>
      <fill>
        <patternFill patternType="solid">
          <bgColor theme="8" tint="0.39997558519241921"/>
        </patternFill>
      </fill>
    </dxf>
    <dxf>
      <font>
        <color theme="1"/>
      </font>
      <fill>
        <patternFill patternType="solid">
          <bgColor rgb="FFFFFF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rgb="FFFFC000"/>
        </patternFill>
      </fill>
    </dxf>
    <dxf>
      <font>
        <color theme="0"/>
      </font>
      <fill>
        <patternFill patternType="solid">
          <bgColor theme="6" tint="0.39997558519241921"/>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bgColor rgb="FFFF0000"/>
        </patternFill>
      </fill>
    </dxf>
    <dxf>
      <fill>
        <patternFill patternType="solid">
          <bgColor theme="8" tint="0.59999389629810485"/>
        </patternFill>
      </fill>
    </dxf>
    <dxf>
      <fill>
        <patternFill patternType="solid">
          <bgColor theme="3" tint="0.499984740745262"/>
        </patternFill>
      </fill>
    </dxf>
    <dxf>
      <fill>
        <patternFill patternType="solid">
          <bgColor theme="2" tint="-0.249977111117893"/>
        </patternFill>
      </fill>
    </dxf>
    <dxf>
      <fill>
        <patternFill patternType="solid">
          <bgColor theme="5" tint="0.59999389629810485"/>
        </patternFill>
      </fill>
    </dxf>
    <dxf>
      <fill>
        <patternFill patternType="solid">
          <bgColor theme="0"/>
        </patternFill>
      </fill>
    </dxf>
    <dxf>
      <fill>
        <patternFill patternType="solid">
          <bgColor theme="0" tint="-0.14999847407452621"/>
        </patternFill>
      </fill>
    </dxf>
    <dxf>
      <font>
        <color theme="0"/>
      </font>
      <fill>
        <patternFill patternType="solid">
          <bgColor theme="1" tint="0.34998626667073579"/>
        </patternFill>
      </fill>
    </dxf>
    <dxf>
      <fill>
        <patternFill patternType="solid">
          <bgColor theme="4" tint="0.79998168889431442"/>
        </patternFill>
      </fill>
    </dxf>
    <dxf>
      <font>
        <color rgb="FF0070C0"/>
      </font>
      <fill>
        <patternFill patternType="solid">
          <bgColor theme="8" tint="0.39997558519241921"/>
        </patternFill>
      </fill>
    </dxf>
    <dxf>
      <font>
        <color theme="0"/>
      </font>
      <fill>
        <patternFill patternType="solid">
          <bgColor theme="6" tint="0.39997558519241921"/>
        </patternFill>
      </fill>
    </dxf>
    <dxf>
      <font>
        <color theme="0"/>
      </font>
      <fill>
        <patternFill patternType="solid">
          <bgColor theme="3" tint="0.499984740745262"/>
        </patternFill>
      </fill>
    </dxf>
    <dxf>
      <font>
        <color theme="0"/>
      </font>
      <fill>
        <patternFill patternType="solid">
          <bgColor theme="5" tint="-0.249977111117893"/>
        </patternFill>
      </fill>
    </dxf>
    <dxf>
      <font>
        <color theme="1"/>
      </font>
      <fill>
        <patternFill patternType="solid">
          <bgColor theme="8" tint="0.59999389629810485"/>
        </patternFill>
      </fill>
    </dxf>
    <dxf>
      <font>
        <color theme="1"/>
      </font>
      <fill>
        <patternFill patternType="solid">
          <bgColor rgb="FFFF0000"/>
        </patternFill>
      </fill>
    </dxf>
    <dxf>
      <font>
        <color theme="1"/>
      </font>
      <fill>
        <patternFill patternType="solid">
          <bgColor theme="9" tint="0.39997558519241921"/>
        </patternFill>
      </fill>
    </dxf>
    <dxf>
      <font>
        <color theme="1"/>
      </font>
      <fill>
        <patternFill patternType="solid">
          <bgColor rgb="FFFCA7A7"/>
        </patternFill>
      </fill>
    </dxf>
    <dxf>
      <font>
        <color theme="1"/>
      </font>
      <fill>
        <patternFill patternType="solid">
          <bgColor theme="0" tint="-0.14999847407452621"/>
        </patternFill>
      </fill>
    </dxf>
    <dxf>
      <font>
        <color theme="1"/>
      </font>
      <fill>
        <patternFill patternType="solid">
          <bgColor theme="5" tint="0.59999389629810485"/>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70C0"/>
        </patternFill>
      </fill>
    </dxf>
    <dxf>
      <font>
        <color theme="2"/>
      </font>
      <fill>
        <patternFill patternType="solid">
          <bgColor rgb="FF7030A0"/>
        </patternFill>
      </fill>
    </dxf>
    <dxf>
      <font>
        <color theme="0"/>
      </font>
      <fill>
        <patternFill patternType="solid">
          <bgColor theme="1" tint="0.34998626667073579"/>
        </patternFill>
      </fill>
    </dxf>
    <dxf>
      <font>
        <color rgb="FFFFFF00"/>
      </font>
      <fill>
        <patternFill patternType="solid">
          <bgColor theme="1"/>
        </patternFill>
      </fill>
    </dxf>
    <dxf>
      <font>
        <color theme="4" tint="0.59999389629810485"/>
      </font>
      <fill>
        <patternFill patternType="solid">
          <bgColor theme="1"/>
        </patternFill>
      </fill>
    </dxf>
    <dxf>
      <font>
        <color theme="1"/>
      </font>
      <fill>
        <patternFill patternType="solid">
          <bgColor theme="0"/>
        </patternFill>
      </fill>
    </dxf>
    <dxf>
      <font>
        <b/>
        <i val="0"/>
        <color theme="1"/>
      </font>
      <fill>
        <patternFill patternType="solid">
          <bgColor rgb="FFB5E6A2"/>
        </patternFill>
      </fill>
    </dxf>
    <dxf>
      <font>
        <b/>
        <i val="0"/>
        <color rgb="FF9C0006"/>
      </font>
      <fill>
        <patternFill patternType="solid">
          <bgColor rgb="FFB5E6A2"/>
        </patternFill>
      </fill>
    </dxf>
    <dxf>
      <font>
        <b/>
        <i val="0"/>
        <color theme="1"/>
      </font>
      <fill>
        <patternFill patternType="solid">
          <bgColor rgb="FFB5E6A2"/>
        </patternFill>
      </fill>
    </dxf>
    <dxf>
      <font>
        <b/>
        <i val="0"/>
        <color rgb="FF9C0006"/>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b/>
        <i val="0"/>
        <color rgb="FF9C0006"/>
      </font>
      <fill>
        <patternFill patternType="solid">
          <bgColor rgb="FFB5E6A2"/>
        </patternFill>
      </fill>
    </dxf>
    <dxf>
      <font>
        <b/>
        <i val="0"/>
        <color rgb="FF9C0006"/>
      </font>
      <fill>
        <patternFill patternType="solid">
          <bgColor rgb="FFB5E6A2"/>
        </patternFill>
      </fill>
    </dxf>
    <dxf>
      <font>
        <b/>
        <i val="0"/>
        <color theme="1"/>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color theme="1"/>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
      <font>
        <b/>
        <i val="0"/>
      </font>
      <fill>
        <patternFill patternType="solid">
          <bgColor rgb="FFB5E6A2"/>
        </patternFill>
      </fill>
    </dxf>
    <dxf>
      <font>
        <b/>
        <i val="0"/>
        <color theme="1"/>
      </font>
      <fill>
        <patternFill patternType="solid">
          <bgColor rgb="FFB5E6A2"/>
        </patternFill>
      </fill>
    </dxf>
    <dxf>
      <font>
        <color theme="1"/>
      </font>
      <fill>
        <patternFill patternType="solid">
          <bgColor rgb="FFB5E6A2"/>
        </patternFill>
      </fill>
    </dxf>
    <dxf>
      <font>
        <b/>
        <i val="0"/>
        <color rgb="FF9C0006"/>
      </font>
      <fill>
        <patternFill patternType="solid">
          <bgColor rgb="FFB5E6A2"/>
        </patternFill>
      </fill>
    </dxf>
  </dxfs>
  <tableStyles count="0" defaultTableStyle="TableStyleMedium2" defaultPivotStyle="PivotStyleMedium9"/>
  <colors>
    <mruColors>
      <color rgb="FFCCD2F0"/>
      <color rgb="FFFF9C9C"/>
      <color rgb="FFC22114"/>
      <color rgb="FFFCA7A7"/>
      <color rgb="FFFFFF00"/>
      <color rgb="FF00B0F0"/>
      <color rgb="FFFF0000"/>
      <color rgb="FF28D9FC"/>
      <color rgb="FF4FD1CB"/>
      <color rgb="FFD86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études AR.xlsx]DETAIL SECTEUR!Tableau croisé dynamique10</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Nombres</a:t>
            </a:r>
            <a:r>
              <a:rPr lang="en-US" baseline="0"/>
              <a:t> de Dossier par Secteur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0.10296010296010295"/>
              <c:y val="-7.079646017699114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dLbl>
          <c:idx val="0"/>
          <c:layout>
            <c:manualLayout>
              <c:x val="0.13041613041613029"/>
              <c:y val="-2.9498525073746368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9.4380094380094384E-2"/>
              <c:y val="6.194690265486715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dLbl>
          <c:idx val="0"/>
          <c:layout>
            <c:manualLayout>
              <c:x val="0.11820463918256034"/>
              <c:y val="7.669616519174041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dLbl>
          <c:idx val="0"/>
          <c:layout>
            <c:manualLayout>
              <c:x val="-7.2835085243276101E-2"/>
              <c:y val="8.9970617610851525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15873376748227569"/>
                  <c:h val="9.1651917404129785E-2"/>
                </c:manualLayout>
              </c15:layout>
            </c:ext>
          </c:extLst>
        </c:dLbl>
      </c:pivotFmt>
      <c:pivotFmt>
        <c:idx val="16"/>
        <c:spPr>
          <a:solidFill>
            <a:schemeClr val="accent1"/>
          </a:solidFill>
          <a:ln>
            <a:noFill/>
          </a:ln>
          <a:effectLst>
            <a:outerShdw blurRad="317500" algn="ctr" rotWithShape="0">
              <a:prstClr val="black">
                <a:alpha val="25000"/>
              </a:prstClr>
            </a:outerShdw>
          </a:effectLst>
        </c:spPr>
        <c:dLbl>
          <c:idx val="0"/>
          <c:layout>
            <c:manualLayout>
              <c:x val="-0.12526812526812528"/>
              <c:y val="-2.064896755162241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dLbl>
          <c:idx val="0"/>
          <c:layout>
            <c:manualLayout>
              <c:x val="-0.16130409374503862"/>
              <c:y val="-9.4395280235988227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25989102713512163"/>
                  <c:h val="0.12410029498525074"/>
                </c:manualLayout>
              </c15:layout>
            </c:ext>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dLbl>
          <c:idx val="0"/>
          <c:layout>
            <c:manualLayout>
              <c:x val="0.10296010296010295"/>
              <c:y val="-7.079646017699114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dLbl>
          <c:idx val="0"/>
          <c:layout>
            <c:manualLayout>
              <c:x val="0.13041613041613029"/>
              <c:y val="-2.9498525073746368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dLbl>
          <c:idx val="0"/>
          <c:layout>
            <c:manualLayout>
              <c:x val="9.4380094380094384E-2"/>
              <c:y val="6.194690265486715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dLbl>
          <c:idx val="0"/>
          <c:layout>
            <c:manualLayout>
              <c:x val="0.11820463918256034"/>
              <c:y val="7.669616519174041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dLbl>
          <c:idx val="0"/>
          <c:layout>
            <c:manualLayout>
              <c:x val="-7.2835085243276101E-2"/>
              <c:y val="8.9970617610851525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15873376748227569"/>
                  <c:h val="9.1651917404129785E-2"/>
                </c:manualLayout>
              </c15:layout>
            </c:ext>
          </c:extLst>
        </c:dLbl>
      </c:pivotFmt>
      <c:pivotFmt>
        <c:idx val="25"/>
        <c:spPr>
          <a:solidFill>
            <a:schemeClr val="accent1"/>
          </a:solidFill>
          <a:ln>
            <a:noFill/>
          </a:ln>
          <a:effectLst>
            <a:outerShdw blurRad="317500" algn="ctr" rotWithShape="0">
              <a:prstClr val="black">
                <a:alpha val="25000"/>
              </a:prstClr>
            </a:outerShdw>
          </a:effectLst>
        </c:spPr>
        <c:dLbl>
          <c:idx val="0"/>
          <c:layout>
            <c:manualLayout>
              <c:x val="-0.12526812526812528"/>
              <c:y val="-2.064896755162241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dLbl>
          <c:idx val="0"/>
          <c:layout>
            <c:manualLayout>
              <c:x val="-0.16130409374503862"/>
              <c:y val="-9.4395280235988227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25989102713512163"/>
                  <c:h val="0.12410029498525074"/>
                </c:manualLayout>
              </c15:layout>
            </c:ext>
          </c:extLst>
        </c:dLbl>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marker>
          <c:symbol val="none"/>
        </c:marker>
        <c:dLbl>
          <c:idx val="0"/>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dLbl>
          <c:idx val="0"/>
          <c:layout>
            <c:manualLayout>
              <c:x val="0.10296010296010295"/>
              <c:y val="-7.079646017699114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a:noFill/>
          </a:ln>
          <a:effectLst>
            <a:outerShdw blurRad="317500" algn="ctr" rotWithShape="0">
              <a:prstClr val="black">
                <a:alpha val="25000"/>
              </a:prstClr>
            </a:outerShdw>
          </a:effectLst>
        </c:spPr>
        <c:dLbl>
          <c:idx val="0"/>
          <c:layout>
            <c:manualLayout>
              <c:x val="0.13041613041613029"/>
              <c:y val="-2.9498525073746368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1"/>
          </a:solidFill>
          <a:ln>
            <a:noFill/>
          </a:ln>
          <a:effectLst>
            <a:outerShdw blurRad="317500" algn="ctr" rotWithShape="0">
              <a:prstClr val="black">
                <a:alpha val="25000"/>
              </a:prstClr>
            </a:outerShdw>
          </a:effectLst>
        </c:spPr>
        <c:dLbl>
          <c:idx val="0"/>
          <c:layout>
            <c:manualLayout>
              <c:x val="9.4380094380094384E-2"/>
              <c:y val="6.194690265486715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a:noFill/>
          </a:ln>
          <a:effectLst>
            <a:outerShdw blurRad="317500" algn="ctr" rotWithShape="0">
              <a:prstClr val="black">
                <a:alpha val="25000"/>
              </a:prstClr>
            </a:outerShdw>
          </a:effectLst>
        </c:spPr>
        <c:dLbl>
          <c:idx val="0"/>
          <c:layout>
            <c:manualLayout>
              <c:x val="0.11820463918256034"/>
              <c:y val="7.669616519174041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1"/>
          </a:solidFill>
          <a:ln>
            <a:noFill/>
          </a:ln>
          <a:effectLst>
            <a:outerShdw blurRad="317500" algn="ctr" rotWithShape="0">
              <a:prstClr val="black">
                <a:alpha val="25000"/>
              </a:prstClr>
            </a:outerShdw>
          </a:effectLst>
        </c:spPr>
        <c:dLbl>
          <c:idx val="0"/>
          <c:layout>
            <c:manualLayout>
              <c:x val="-7.2835085243276101E-2"/>
              <c:y val="8.9970617610851525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15873376748227569"/>
                  <c:h val="9.1651917404129785E-2"/>
                </c:manualLayout>
              </c15:layout>
            </c:ext>
          </c:extLst>
        </c:dLbl>
      </c:pivotFmt>
      <c:pivotFmt>
        <c:idx val="34"/>
        <c:spPr>
          <a:solidFill>
            <a:schemeClr val="accent1"/>
          </a:solidFill>
          <a:ln>
            <a:noFill/>
          </a:ln>
          <a:effectLst>
            <a:outerShdw blurRad="317500" algn="ctr" rotWithShape="0">
              <a:prstClr val="black">
                <a:alpha val="25000"/>
              </a:prstClr>
            </a:outerShdw>
          </a:effectLst>
        </c:spPr>
        <c:dLbl>
          <c:idx val="0"/>
          <c:layout>
            <c:manualLayout>
              <c:x val="-0.12526812526812528"/>
              <c:y val="-2.064896755162241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5"/>
        <c:spPr>
          <a:solidFill>
            <a:schemeClr val="accent1"/>
          </a:solidFill>
          <a:ln>
            <a:noFill/>
          </a:ln>
          <a:effectLst>
            <a:outerShdw blurRad="317500" algn="ctr" rotWithShape="0">
              <a:prstClr val="black">
                <a:alpha val="25000"/>
              </a:prstClr>
            </a:outerShdw>
          </a:effectLst>
        </c:spPr>
        <c:dLbl>
          <c:idx val="0"/>
          <c:layout>
            <c:manualLayout>
              <c:x val="-0.16130409374503862"/>
              <c:y val="-9.4395280235988227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25989102713512163"/>
                  <c:h val="0.12410029498525074"/>
                </c:manualLayout>
              </c15:layout>
            </c:ext>
          </c:extLst>
        </c:dLbl>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marker>
          <c:symbol val="none"/>
        </c:marker>
        <c:dLbl>
          <c:idx val="0"/>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8"/>
        <c:spPr>
          <a:solidFill>
            <a:schemeClr val="accent1"/>
          </a:solidFill>
          <a:ln>
            <a:noFill/>
          </a:ln>
          <a:effectLst>
            <a:outerShdw blurRad="317500" algn="ctr" rotWithShape="0">
              <a:prstClr val="black">
                <a:alpha val="25000"/>
              </a:prstClr>
            </a:outerShdw>
          </a:effectLst>
        </c:spPr>
        <c:dLbl>
          <c:idx val="0"/>
          <c:layout>
            <c:manualLayout>
              <c:x val="0.10296010296010295"/>
              <c:y val="-7.079646017699114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9"/>
        <c:spPr>
          <a:solidFill>
            <a:schemeClr val="accent1"/>
          </a:solidFill>
          <a:ln>
            <a:noFill/>
          </a:ln>
          <a:effectLst>
            <a:outerShdw blurRad="317500" algn="ctr" rotWithShape="0">
              <a:prstClr val="black">
                <a:alpha val="25000"/>
              </a:prstClr>
            </a:outerShdw>
          </a:effectLst>
        </c:spPr>
        <c:dLbl>
          <c:idx val="0"/>
          <c:layout>
            <c:manualLayout>
              <c:x val="0.13041613041613029"/>
              <c:y val="-2.9498525073746368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1"/>
          </a:solidFill>
          <a:ln>
            <a:noFill/>
          </a:ln>
          <a:effectLst>
            <a:outerShdw blurRad="317500" algn="ctr" rotWithShape="0">
              <a:prstClr val="black">
                <a:alpha val="25000"/>
              </a:prstClr>
            </a:outerShdw>
          </a:effectLst>
        </c:spPr>
        <c:dLbl>
          <c:idx val="0"/>
          <c:layout>
            <c:manualLayout>
              <c:x val="9.4380094380094384E-2"/>
              <c:y val="6.194690265486715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1"/>
        <c:spPr>
          <a:solidFill>
            <a:schemeClr val="accent1"/>
          </a:solidFill>
          <a:ln>
            <a:noFill/>
          </a:ln>
          <a:effectLst>
            <a:outerShdw blurRad="317500" algn="ctr" rotWithShape="0">
              <a:prstClr val="black">
                <a:alpha val="25000"/>
              </a:prstClr>
            </a:outerShdw>
          </a:effectLst>
        </c:spPr>
        <c:dLbl>
          <c:idx val="0"/>
          <c:layout>
            <c:manualLayout>
              <c:x val="0.11820463918256034"/>
              <c:y val="7.669616519174041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2"/>
        <c:spPr>
          <a:solidFill>
            <a:schemeClr val="accent1"/>
          </a:solidFill>
          <a:ln>
            <a:noFill/>
          </a:ln>
          <a:effectLst>
            <a:outerShdw blurRad="317500" algn="ctr" rotWithShape="0">
              <a:prstClr val="black">
                <a:alpha val="25000"/>
              </a:prstClr>
            </a:outerShdw>
          </a:effectLst>
        </c:spPr>
        <c:dLbl>
          <c:idx val="0"/>
          <c:layout>
            <c:manualLayout>
              <c:x val="-7.2835085243276101E-2"/>
              <c:y val="8.9970617610851525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15873376748227569"/>
                  <c:h val="9.1651917404129785E-2"/>
                </c:manualLayout>
              </c15:layout>
            </c:ext>
          </c:extLst>
        </c:dLbl>
      </c:pivotFmt>
      <c:pivotFmt>
        <c:idx val="43"/>
        <c:spPr>
          <a:solidFill>
            <a:schemeClr val="accent1"/>
          </a:solidFill>
          <a:ln>
            <a:noFill/>
          </a:ln>
          <a:effectLst>
            <a:outerShdw blurRad="317500" algn="ctr" rotWithShape="0">
              <a:prstClr val="black">
                <a:alpha val="25000"/>
              </a:prstClr>
            </a:outerShdw>
          </a:effectLst>
        </c:spPr>
        <c:dLbl>
          <c:idx val="0"/>
          <c:layout>
            <c:manualLayout>
              <c:x val="-0.12526812526812528"/>
              <c:y val="-2.064896755162241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4"/>
        <c:spPr>
          <a:solidFill>
            <a:schemeClr val="accent1"/>
          </a:solidFill>
          <a:ln>
            <a:noFill/>
          </a:ln>
          <a:effectLst>
            <a:outerShdw blurRad="317500" algn="ctr" rotWithShape="0">
              <a:prstClr val="black">
                <a:alpha val="25000"/>
              </a:prstClr>
            </a:outerShdw>
          </a:effectLst>
        </c:spPr>
        <c:dLbl>
          <c:idx val="0"/>
          <c:layout>
            <c:manualLayout>
              <c:x val="-0.16130409374503862"/>
              <c:y val="-9.4395280235988227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25989102713512163"/>
                  <c:h val="0.12410029498525074"/>
                </c:manualLayout>
              </c15:layout>
            </c:ext>
          </c:extLst>
        </c:dLbl>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marker>
          <c:symbol val="none"/>
        </c:marker>
        <c:dLbl>
          <c:idx val="0"/>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7"/>
        <c:spPr>
          <a:solidFill>
            <a:schemeClr val="accent1"/>
          </a:solidFill>
          <a:ln>
            <a:noFill/>
          </a:ln>
          <a:effectLst>
            <a:outerShdw blurRad="317500" algn="ctr" rotWithShape="0">
              <a:prstClr val="black">
                <a:alpha val="25000"/>
              </a:prstClr>
            </a:outerShdw>
          </a:effectLst>
        </c:spPr>
        <c:dLbl>
          <c:idx val="0"/>
          <c:layout>
            <c:manualLayout>
              <c:x val="0.10296010296010295"/>
              <c:y val="-7.079646017699114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8"/>
        <c:spPr>
          <a:solidFill>
            <a:schemeClr val="accent1"/>
          </a:solidFill>
          <a:ln>
            <a:noFill/>
          </a:ln>
          <a:effectLst>
            <a:outerShdw blurRad="317500" algn="ctr" rotWithShape="0">
              <a:prstClr val="black">
                <a:alpha val="25000"/>
              </a:prstClr>
            </a:outerShdw>
          </a:effectLst>
        </c:spPr>
        <c:dLbl>
          <c:idx val="0"/>
          <c:layout>
            <c:manualLayout>
              <c:x val="0.13041613041613029"/>
              <c:y val="-2.9498525073746368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9"/>
        <c:spPr>
          <a:solidFill>
            <a:schemeClr val="accent1"/>
          </a:solidFill>
          <a:ln>
            <a:noFill/>
          </a:ln>
          <a:effectLst>
            <a:outerShdw blurRad="317500" algn="ctr" rotWithShape="0">
              <a:prstClr val="black">
                <a:alpha val="25000"/>
              </a:prstClr>
            </a:outerShdw>
          </a:effectLst>
        </c:spPr>
        <c:dLbl>
          <c:idx val="0"/>
          <c:layout>
            <c:manualLayout>
              <c:x val="9.4380094380094384E-2"/>
              <c:y val="6.194690265486715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0"/>
        <c:spPr>
          <a:solidFill>
            <a:schemeClr val="accent1"/>
          </a:solidFill>
          <a:ln>
            <a:noFill/>
          </a:ln>
          <a:effectLst>
            <a:outerShdw blurRad="317500" algn="ctr" rotWithShape="0">
              <a:prstClr val="black">
                <a:alpha val="25000"/>
              </a:prstClr>
            </a:outerShdw>
          </a:effectLst>
        </c:spPr>
        <c:dLbl>
          <c:idx val="0"/>
          <c:layout>
            <c:manualLayout>
              <c:x val="0.11820463918256034"/>
              <c:y val="7.669616519174041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1"/>
        <c:spPr>
          <a:solidFill>
            <a:schemeClr val="accent1"/>
          </a:solidFill>
          <a:ln>
            <a:noFill/>
          </a:ln>
          <a:effectLst>
            <a:outerShdw blurRad="317500" algn="ctr" rotWithShape="0">
              <a:prstClr val="black">
                <a:alpha val="25000"/>
              </a:prstClr>
            </a:outerShdw>
          </a:effectLst>
        </c:spPr>
        <c:dLbl>
          <c:idx val="0"/>
          <c:layout>
            <c:manualLayout>
              <c:x val="-7.2835085243276101E-2"/>
              <c:y val="8.9970617610851525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15873376748227569"/>
                  <c:h val="9.1651917404129785E-2"/>
                </c:manualLayout>
              </c15:layout>
            </c:ext>
          </c:extLst>
        </c:dLbl>
      </c:pivotFmt>
      <c:pivotFmt>
        <c:idx val="52"/>
        <c:spPr>
          <a:solidFill>
            <a:schemeClr val="accent1"/>
          </a:solidFill>
          <a:ln>
            <a:noFill/>
          </a:ln>
          <a:effectLst>
            <a:outerShdw blurRad="317500" algn="ctr" rotWithShape="0">
              <a:prstClr val="black">
                <a:alpha val="25000"/>
              </a:prstClr>
            </a:outerShdw>
          </a:effectLst>
        </c:spPr>
        <c:dLbl>
          <c:idx val="0"/>
          <c:layout>
            <c:manualLayout>
              <c:x val="-0.12526812526812528"/>
              <c:y val="-2.064896755162241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3"/>
        <c:spPr>
          <a:solidFill>
            <a:schemeClr val="accent1"/>
          </a:solidFill>
          <a:ln>
            <a:noFill/>
          </a:ln>
          <a:effectLst>
            <a:outerShdw blurRad="317500" algn="ctr" rotWithShape="0">
              <a:prstClr val="black">
                <a:alpha val="25000"/>
              </a:prstClr>
            </a:outerShdw>
          </a:effectLst>
        </c:spPr>
        <c:dLbl>
          <c:idx val="0"/>
          <c:layout>
            <c:manualLayout>
              <c:x val="-0.16130409374503862"/>
              <c:y val="-9.4395280235988227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25989102713512163"/>
                  <c:h val="0.12410029498525074"/>
                </c:manualLayout>
              </c15:layout>
            </c:ext>
          </c:extLst>
        </c:dLbl>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marker>
          <c:symbol val="none"/>
        </c:marker>
        <c:dLbl>
          <c:idx val="0"/>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6"/>
        <c:spPr>
          <a:solidFill>
            <a:schemeClr val="accent1"/>
          </a:solidFill>
          <a:ln>
            <a:noFill/>
          </a:ln>
          <a:effectLst>
            <a:outerShdw blurRad="317500" algn="ctr" rotWithShape="0">
              <a:prstClr val="black">
                <a:alpha val="25000"/>
              </a:prstClr>
            </a:outerShdw>
          </a:effectLst>
        </c:spPr>
        <c:dLbl>
          <c:idx val="0"/>
          <c:layout>
            <c:manualLayout>
              <c:x val="0.10296010296010295"/>
              <c:y val="-7.079646017699114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7"/>
        <c:spPr>
          <a:solidFill>
            <a:schemeClr val="accent1"/>
          </a:solidFill>
          <a:ln>
            <a:noFill/>
          </a:ln>
          <a:effectLst>
            <a:outerShdw blurRad="317500" algn="ctr" rotWithShape="0">
              <a:prstClr val="black">
                <a:alpha val="25000"/>
              </a:prstClr>
            </a:outerShdw>
          </a:effectLst>
        </c:spPr>
        <c:dLbl>
          <c:idx val="0"/>
          <c:layout>
            <c:manualLayout>
              <c:x val="0.13041613041613029"/>
              <c:y val="-2.9498525073746368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8"/>
        <c:spPr>
          <a:solidFill>
            <a:schemeClr val="accent1"/>
          </a:solidFill>
          <a:ln>
            <a:noFill/>
          </a:ln>
          <a:effectLst>
            <a:outerShdw blurRad="317500" algn="ctr" rotWithShape="0">
              <a:prstClr val="black">
                <a:alpha val="25000"/>
              </a:prstClr>
            </a:outerShdw>
          </a:effectLst>
        </c:spPr>
        <c:dLbl>
          <c:idx val="0"/>
          <c:layout>
            <c:manualLayout>
              <c:x val="9.4380094380094384E-2"/>
              <c:y val="6.194690265486715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9"/>
        <c:spPr>
          <a:solidFill>
            <a:schemeClr val="accent1"/>
          </a:solidFill>
          <a:ln>
            <a:noFill/>
          </a:ln>
          <a:effectLst>
            <a:outerShdw blurRad="317500" algn="ctr" rotWithShape="0">
              <a:prstClr val="black">
                <a:alpha val="25000"/>
              </a:prstClr>
            </a:outerShdw>
          </a:effectLst>
        </c:spPr>
        <c:dLbl>
          <c:idx val="0"/>
          <c:layout>
            <c:manualLayout>
              <c:x val="0.11820463918256034"/>
              <c:y val="7.6696165191740412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60"/>
        <c:spPr>
          <a:solidFill>
            <a:schemeClr val="accent1"/>
          </a:solidFill>
          <a:ln>
            <a:noFill/>
          </a:ln>
          <a:effectLst>
            <a:outerShdw blurRad="317500" algn="ctr" rotWithShape="0">
              <a:prstClr val="black">
                <a:alpha val="25000"/>
              </a:prstClr>
            </a:outerShdw>
          </a:effectLst>
        </c:spPr>
        <c:dLbl>
          <c:idx val="0"/>
          <c:layout>
            <c:manualLayout>
              <c:x val="-7.2835085243276101E-2"/>
              <c:y val="8.9970617610851525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15873376748227569"/>
                  <c:h val="9.1651917404129785E-2"/>
                </c:manualLayout>
              </c15:layout>
            </c:ext>
          </c:extLst>
        </c:dLbl>
      </c:pivotFmt>
      <c:pivotFmt>
        <c:idx val="61"/>
        <c:spPr>
          <a:solidFill>
            <a:schemeClr val="accent1"/>
          </a:solidFill>
          <a:ln>
            <a:noFill/>
          </a:ln>
          <a:effectLst>
            <a:outerShdw blurRad="317500" algn="ctr" rotWithShape="0">
              <a:prstClr val="black">
                <a:alpha val="25000"/>
              </a:prstClr>
            </a:outerShdw>
          </a:effectLst>
        </c:spPr>
        <c:dLbl>
          <c:idx val="0"/>
          <c:layout>
            <c:manualLayout>
              <c:x val="-0.12526812526812528"/>
              <c:y val="-2.0648967551622419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62"/>
        <c:spPr>
          <a:solidFill>
            <a:schemeClr val="accent1"/>
          </a:solidFill>
          <a:ln>
            <a:noFill/>
          </a:ln>
          <a:effectLst>
            <a:outerShdw blurRad="317500" algn="ctr" rotWithShape="0">
              <a:prstClr val="black">
                <a:alpha val="25000"/>
              </a:prstClr>
            </a:outerShdw>
          </a:effectLst>
        </c:spPr>
        <c:dLbl>
          <c:idx val="0"/>
          <c:layout>
            <c:manualLayout>
              <c:x val="-0.16130409374503862"/>
              <c:y val="-9.4395280235988227E-2"/>
            </c:manualLayout>
          </c:layout>
          <c:spPr>
            <a:noFill/>
            <a:ln cap="flat">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fr-FR"/>
            </a:p>
          </c:txPr>
          <c:showLegendKey val="1"/>
          <c:showVal val="1"/>
          <c:showCatName val="1"/>
          <c:showSerName val="0"/>
          <c:showPercent val="0"/>
          <c:showBubbleSize val="0"/>
          <c:separator> </c:separator>
          <c:extLst>
            <c:ext xmlns:c15="http://schemas.microsoft.com/office/drawing/2012/chart" uri="{CE6537A1-D6FC-4f65-9D91-7224C49458BB}">
              <c15:layout>
                <c:manualLayout>
                  <c:w val="0.25989102713512163"/>
                  <c:h val="0.12410029498525074"/>
                </c:manualLayout>
              </c15:layout>
            </c:ext>
          </c:extLst>
        </c:dLbl>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'DETAIL SECTEUR'!$T$1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4D7-4B0E-96DA-870F8B5064B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4D7-4B0E-96DA-870F8B5064B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4D7-4B0E-96DA-870F8B5064B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4D7-4B0E-96DA-870F8B5064B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4D7-4B0E-96DA-870F8B5064B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4D7-4B0E-96DA-870F8B5064B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4D7-4B0E-96DA-870F8B5064BE}"/>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4D7-4B0E-96DA-870F8B5064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'DETAIL SECTEUR'!$S$2:$S$9</c:f>
              <c:strCache>
                <c:ptCount val="7"/>
                <c:pt idx="0">
                  <c:v>MEN</c:v>
                </c:pt>
                <c:pt idx="1">
                  <c:v>QPR-CRO</c:v>
                </c:pt>
                <c:pt idx="2">
                  <c:v>ROD</c:v>
                </c:pt>
                <c:pt idx="3">
                  <c:v>SPI BRETAGNE </c:v>
                </c:pt>
                <c:pt idx="4">
                  <c:v>(vide)</c:v>
                </c:pt>
                <c:pt idx="5">
                  <c:v>GDP AQ</c:v>
                </c:pt>
                <c:pt idx="6">
                  <c:v>SPI AQ</c:v>
                </c:pt>
              </c:strCache>
            </c:strRef>
          </c:cat>
          <c:val>
            <c:numRef>
              <c:f>'DETAIL SECTEUR'!$T$2:$T$9</c:f>
              <c:numCache>
                <c:formatCode>General</c:formatCode>
                <c:ptCount val="7"/>
                <c:pt idx="0">
                  <c:v>194</c:v>
                </c:pt>
                <c:pt idx="1">
                  <c:v>176</c:v>
                </c:pt>
                <c:pt idx="2">
                  <c:v>255</c:v>
                </c:pt>
                <c:pt idx="3">
                  <c:v>188</c:v>
                </c:pt>
                <c:pt idx="5">
                  <c:v>117</c:v>
                </c:pt>
                <c:pt idx="6">
                  <c:v>84</c:v>
                </c:pt>
              </c:numCache>
            </c:numRef>
          </c:val>
          <c:extLst>
            <c:ext xmlns:c16="http://schemas.microsoft.com/office/drawing/2014/chart" uri="{C3380CC4-5D6E-409C-BE32-E72D297353CC}">
              <c16:uniqueId val="{00000010-14D7-4B0E-96DA-870F8B5064B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hyperlink" Target="#'DETAIL SECTEUR'!O14"/><Relationship Id="rId7" Type="http://schemas.openxmlformats.org/officeDocument/2006/relationships/chart" Target="../charts/chart1.xml"/><Relationship Id="rId2" Type="http://schemas.openxmlformats.org/officeDocument/2006/relationships/hyperlink" Target="#'DETAIL SECTEUR'!O19"/><Relationship Id="rId1" Type="http://schemas.openxmlformats.org/officeDocument/2006/relationships/hyperlink" Target="#'DETAIL SECTEUR'!O17"/><Relationship Id="rId6" Type="http://schemas.openxmlformats.org/officeDocument/2006/relationships/hyperlink" Target="#'DETAIL SECTEUR'!O18"/><Relationship Id="rId5" Type="http://schemas.openxmlformats.org/officeDocument/2006/relationships/hyperlink" Target="#'DETAIL SECTEUR'!O16"/><Relationship Id="rId4" Type="http://schemas.openxmlformats.org/officeDocument/2006/relationships/hyperlink" Target="#'DETAIL SECTEUR'!O15"/></Relationships>
</file>

<file path=xl/drawings/drawing1.xml><?xml version="1.0" encoding="utf-8"?>
<xdr:wsDr xmlns:xdr="http://schemas.openxmlformats.org/drawingml/2006/spreadsheetDrawing" xmlns:a="http://schemas.openxmlformats.org/drawingml/2006/main">
  <xdr:twoCellAnchor editAs="absolute">
    <xdr:from>
      <xdr:col>5</xdr:col>
      <xdr:colOff>142875</xdr:colOff>
      <xdr:row>30</xdr:row>
      <xdr:rowOff>133350</xdr:rowOff>
    </xdr:from>
    <xdr:to>
      <xdr:col>6</xdr:col>
      <xdr:colOff>1133475</xdr:colOff>
      <xdr:row>34</xdr:row>
      <xdr:rowOff>9525</xdr:rowOff>
    </xdr:to>
    <xdr:sp macro="" textlink="">
      <xdr:nvSpPr>
        <xdr:cNvPr id="3073" name="Text Box 1" hidden="1">
          <a:extLst>
            <a:ext uri="{FF2B5EF4-FFF2-40B4-BE49-F238E27FC236}">
              <a16:creationId xmlns:a16="http://schemas.microsoft.com/office/drawing/2014/main" id="{D7CDE5BD-1154-6CB2-9BDF-B73314AEC5D5}"/>
            </a:ext>
          </a:extLst>
        </xdr:cNvPr>
        <xdr:cNvSpPr txBox="1">
          <a:spLocks noChangeArrowheads="1"/>
        </xdr:cNvSpPr>
      </xdr:nvSpPr>
      <xdr:spPr bwMode="auto">
        <a:xfrm>
          <a:off x="5838825" y="6705600"/>
          <a:ext cx="1371600" cy="752475"/>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205444</xdr:colOff>
      <xdr:row>6</xdr:row>
      <xdr:rowOff>53340</xdr:rowOff>
    </xdr:from>
    <xdr:to>
      <xdr:col>28</xdr:col>
      <xdr:colOff>72094</xdr:colOff>
      <xdr:row>33</xdr:row>
      <xdr:rowOff>60960</xdr:rowOff>
    </xdr:to>
    <xdr:grpSp>
      <xdr:nvGrpSpPr>
        <xdr:cNvPr id="9" name="Groupe 8">
          <a:extLst>
            <a:ext uri="{FF2B5EF4-FFF2-40B4-BE49-F238E27FC236}">
              <a16:creationId xmlns:a16="http://schemas.microsoft.com/office/drawing/2014/main" id="{17331A8F-5D41-2EAB-1986-DDFDA74513C3}"/>
            </a:ext>
          </a:extLst>
        </xdr:cNvPr>
        <xdr:cNvGrpSpPr/>
      </xdr:nvGrpSpPr>
      <xdr:grpSpPr>
        <a:xfrm>
          <a:off x="8968444" y="1139190"/>
          <a:ext cx="8401050" cy="5151120"/>
          <a:chOff x="6949144" y="1148715"/>
          <a:chExt cx="8401050" cy="5151120"/>
        </a:xfrm>
      </xdr:grpSpPr>
      <xdr:sp macro="" textlink="">
        <xdr:nvSpPr>
          <xdr:cNvPr id="38" name="Rectangle arrondi 4">
            <a:extLst>
              <a:ext uri="{FF2B5EF4-FFF2-40B4-BE49-F238E27FC236}">
                <a16:creationId xmlns:a16="http://schemas.microsoft.com/office/drawing/2014/main" id="{00000000-0008-0000-0800-000005000000}"/>
              </a:ext>
              <a:ext uri="{147F2762-F138-4A5C-976F-8EAC2B608ADB}">
                <a16:predDERef xmlns:a16="http://schemas.microsoft.com/office/drawing/2014/main" pred="{7421A9DE-6EFD-4E16-9985-20B098E6BEAC}"/>
              </a:ext>
            </a:extLst>
          </xdr:cNvPr>
          <xdr:cNvSpPr/>
        </xdr:nvSpPr>
        <xdr:spPr>
          <a:xfrm>
            <a:off x="6949144" y="1148715"/>
            <a:ext cx="8401050" cy="515112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800" b="1" i="0" u="none" strike="noStrike">
                <a:solidFill>
                  <a:sysClr val="windowText" lastClr="000000"/>
                </a:solidFill>
                <a:latin typeface="Aptos Narrow" panose="020B0004020202020204" pitchFamily="34" charset="0"/>
              </a:rPr>
              <a:t>DRE EN RETARD </a:t>
            </a:r>
          </a:p>
        </xdr:txBody>
      </xdr:sp>
      <xdr:grpSp>
        <xdr:nvGrpSpPr>
          <xdr:cNvPr id="3" name="Groupe 2">
            <a:extLst>
              <a:ext uri="{FF2B5EF4-FFF2-40B4-BE49-F238E27FC236}">
                <a16:creationId xmlns:a16="http://schemas.microsoft.com/office/drawing/2014/main" id="{DA68A252-A616-8C37-D8E4-611B71497A52}"/>
              </a:ext>
            </a:extLst>
          </xdr:cNvPr>
          <xdr:cNvGrpSpPr/>
        </xdr:nvGrpSpPr>
        <xdr:grpSpPr>
          <a:xfrm>
            <a:off x="7727841" y="2234736"/>
            <a:ext cx="2220020" cy="1683828"/>
            <a:chOff x="7727841" y="2234736"/>
            <a:chExt cx="2220020" cy="1683828"/>
          </a:xfrm>
        </xdr:grpSpPr>
        <xdr:sp macro="" textlink="">
          <xdr:nvSpPr>
            <xdr:cNvPr id="41" name="Rectangle arrondi 4">
              <a:hlinkClick xmlns:r="http://schemas.openxmlformats.org/officeDocument/2006/relationships" r:id="rId1"/>
              <a:extLst>
                <a:ext uri="{FF2B5EF4-FFF2-40B4-BE49-F238E27FC236}">
                  <a16:creationId xmlns:a16="http://schemas.microsoft.com/office/drawing/2014/main" id="{00000000-0008-0000-0800-000006000000}"/>
                </a:ext>
                <a:ext uri="{147F2762-F138-4A5C-976F-8EAC2B608ADB}">
                  <a16:predDERef xmlns:a16="http://schemas.microsoft.com/office/drawing/2014/main" pred="{7421A9DE-6EFD-4E16-9985-20B098E6BEAC}"/>
                </a:ext>
              </a:extLst>
            </xdr:cNvPr>
            <xdr:cNvSpPr/>
          </xdr:nvSpPr>
          <xdr:spPr>
            <a:xfrm>
              <a:off x="7727841" y="2234736"/>
              <a:ext cx="2220020" cy="1683828"/>
            </a:xfrm>
            <a:prstGeom prst="roundRect">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b="1" i="0" u="none" strike="noStrike">
                  <a:solidFill>
                    <a:schemeClr val="lt1"/>
                  </a:solidFill>
                  <a:latin typeface="Aptos Narrow" panose="020B0004020202020204" pitchFamily="34" charset="0"/>
                </a:rPr>
                <a:t>MEN</a:t>
              </a:r>
            </a:p>
          </xdr:txBody>
        </xdr:sp>
        <xdr:sp macro="" textlink="'DETAIL SECTEUR'!$Q$4">
          <xdr:nvSpPr>
            <xdr:cNvPr id="42" name="Rectangle arrondi 4">
              <a:extLst>
                <a:ext uri="{FF2B5EF4-FFF2-40B4-BE49-F238E27FC236}">
                  <a16:creationId xmlns:a16="http://schemas.microsoft.com/office/drawing/2014/main" id="{00000000-0008-0000-0800-00000F000000}"/>
                </a:ext>
                <a:ext uri="{147F2762-F138-4A5C-976F-8EAC2B608ADB}">
                  <a16:predDERef xmlns:a16="http://schemas.microsoft.com/office/drawing/2014/main" pred="{7421A9DE-6EFD-4E16-9985-20B098E6BEAC}"/>
                </a:ext>
              </a:extLst>
            </xdr:cNvPr>
            <xdr:cNvSpPr/>
          </xdr:nvSpPr>
          <xdr:spPr>
            <a:xfrm>
              <a:off x="8217427" y="2812618"/>
              <a:ext cx="1232406" cy="797078"/>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9F273323-CF65-4CBA-8467-C9939E3E6B10}" type="TxLink">
                <a:rPr lang="en-US" sz="2400" b="0" i="0" u="none" strike="noStrike">
                  <a:solidFill>
                    <a:srgbClr val="000000"/>
                  </a:solidFill>
                  <a:latin typeface="Aptos Narrow"/>
                </a:rPr>
                <a:pPr marL="0" indent="0" algn="ctr"/>
                <a:t>7</a:t>
              </a:fld>
              <a:endParaRPr lang="en-US" sz="4800" b="1" i="0" u="none" strike="noStrike">
                <a:solidFill>
                  <a:sysClr val="windowText" lastClr="000000"/>
                </a:solidFill>
                <a:latin typeface="Agency FB" panose="020B0503020202020204" pitchFamily="34" charset="0"/>
              </a:endParaRPr>
            </a:p>
          </xdr:txBody>
        </xdr:sp>
      </xdr:grpSp>
      <xdr:grpSp>
        <xdr:nvGrpSpPr>
          <xdr:cNvPr id="4" name="Groupe 3">
            <a:extLst>
              <a:ext uri="{FF2B5EF4-FFF2-40B4-BE49-F238E27FC236}">
                <a16:creationId xmlns:a16="http://schemas.microsoft.com/office/drawing/2014/main" id="{CEF93143-581D-4221-1486-DCDF18D08581}"/>
              </a:ext>
            </a:extLst>
          </xdr:cNvPr>
          <xdr:cNvGrpSpPr/>
        </xdr:nvGrpSpPr>
        <xdr:grpSpPr>
          <a:xfrm>
            <a:off x="10082921" y="2204845"/>
            <a:ext cx="2220020" cy="1683828"/>
            <a:chOff x="10082921" y="2204845"/>
            <a:chExt cx="2220020" cy="1683828"/>
          </a:xfrm>
        </xdr:grpSpPr>
        <xdr:sp macro="" textlink="">
          <xdr:nvSpPr>
            <xdr:cNvPr id="44" name="Rectangle arrondi 4">
              <a:hlinkClick xmlns:r="http://schemas.openxmlformats.org/officeDocument/2006/relationships" r:id="rId2"/>
              <a:extLst>
                <a:ext uri="{FF2B5EF4-FFF2-40B4-BE49-F238E27FC236}">
                  <a16:creationId xmlns:a16="http://schemas.microsoft.com/office/drawing/2014/main" id="{00000000-0008-0000-0800-00000A000000}"/>
                </a:ext>
                <a:ext uri="{147F2762-F138-4A5C-976F-8EAC2B608ADB}">
                  <a16:predDERef xmlns:a16="http://schemas.microsoft.com/office/drawing/2014/main" pred="{7421A9DE-6EFD-4E16-9985-20B098E6BEAC}"/>
                </a:ext>
              </a:extLst>
            </xdr:cNvPr>
            <xdr:cNvSpPr/>
          </xdr:nvSpPr>
          <xdr:spPr>
            <a:xfrm>
              <a:off x="10082921" y="2204845"/>
              <a:ext cx="2220020" cy="1683828"/>
            </a:xfrm>
            <a:prstGeom prst="roundRect">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b="1" i="0" u="none" strike="noStrike">
                  <a:solidFill>
                    <a:schemeClr val="lt1"/>
                  </a:solidFill>
                  <a:latin typeface="Aptos Narrow" panose="020B0004020202020204" pitchFamily="34" charset="0"/>
                </a:rPr>
                <a:t>ROD</a:t>
              </a:r>
            </a:p>
          </xdr:txBody>
        </xdr:sp>
        <xdr:sp macro="" textlink="'DETAIL SECTEUR'!$Q$7">
          <xdr:nvSpPr>
            <xdr:cNvPr id="53" name="Rectangle arrondi 4">
              <a:extLst>
                <a:ext uri="{FF2B5EF4-FFF2-40B4-BE49-F238E27FC236}">
                  <a16:creationId xmlns:a16="http://schemas.microsoft.com/office/drawing/2014/main" id="{00000000-0008-0000-0800-000010000000}"/>
                </a:ext>
                <a:ext uri="{147F2762-F138-4A5C-976F-8EAC2B608ADB}">
                  <a16:predDERef xmlns:a16="http://schemas.microsoft.com/office/drawing/2014/main" pred="{7421A9DE-6EFD-4E16-9985-20B098E6BEAC}"/>
                </a:ext>
              </a:extLst>
            </xdr:cNvPr>
            <xdr:cNvSpPr/>
          </xdr:nvSpPr>
          <xdr:spPr>
            <a:xfrm>
              <a:off x="10572507" y="2792690"/>
              <a:ext cx="1232406" cy="797078"/>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3805BF7B-C011-4D58-A1C0-9B672B001658}" type="TxLink">
                <a:rPr lang="en-US" sz="2400" b="1" i="0" u="none" strike="noStrike">
                  <a:ln>
                    <a:solidFill>
                      <a:schemeClr val="bg1"/>
                    </a:solidFill>
                  </a:ln>
                  <a:solidFill>
                    <a:sysClr val="windowText" lastClr="000000"/>
                  </a:solidFill>
                  <a:latin typeface="Aptos Narrow"/>
                </a:rPr>
                <a:pPr marL="0" indent="0" algn="ctr"/>
                <a:t>15</a:t>
              </a:fld>
              <a:endParaRPr lang="en-US" sz="4800" b="1" i="0" u="none" strike="noStrike">
                <a:ln>
                  <a:solidFill>
                    <a:schemeClr val="bg1"/>
                  </a:solidFill>
                </a:ln>
                <a:solidFill>
                  <a:sysClr val="windowText" lastClr="000000"/>
                </a:solidFill>
                <a:latin typeface="Agency FB" panose="020B0503020202020204" pitchFamily="34" charset="0"/>
              </a:endParaRPr>
            </a:p>
          </xdr:txBody>
        </xdr:sp>
      </xdr:grpSp>
      <xdr:grpSp>
        <xdr:nvGrpSpPr>
          <xdr:cNvPr id="8" name="Groupe 7">
            <a:extLst>
              <a:ext uri="{FF2B5EF4-FFF2-40B4-BE49-F238E27FC236}">
                <a16:creationId xmlns:a16="http://schemas.microsoft.com/office/drawing/2014/main" id="{73EB6098-8CED-6ECE-9D21-EE32D9DF04D3}"/>
              </a:ext>
            </a:extLst>
          </xdr:cNvPr>
          <xdr:cNvGrpSpPr/>
        </xdr:nvGrpSpPr>
        <xdr:grpSpPr>
          <a:xfrm>
            <a:off x="12439084" y="4089918"/>
            <a:ext cx="2220020" cy="1683828"/>
            <a:chOff x="12429559" y="4023243"/>
            <a:chExt cx="2220020" cy="1683828"/>
          </a:xfrm>
        </xdr:grpSpPr>
        <xdr:sp macro="" textlink="">
          <xdr:nvSpPr>
            <xdr:cNvPr id="56" name="Rectangle arrondi 4">
              <a:hlinkClick xmlns:r="http://schemas.openxmlformats.org/officeDocument/2006/relationships" r:id="rId3"/>
              <a:extLst>
                <a:ext uri="{FF2B5EF4-FFF2-40B4-BE49-F238E27FC236}">
                  <a16:creationId xmlns:a16="http://schemas.microsoft.com/office/drawing/2014/main" id="{00000000-0008-0000-0800-00000B000000}"/>
                </a:ext>
                <a:ext uri="{147F2762-F138-4A5C-976F-8EAC2B608ADB}">
                  <a16:predDERef xmlns:a16="http://schemas.microsoft.com/office/drawing/2014/main" pred="{7421A9DE-6EFD-4E16-9985-20B098E6BEAC}"/>
                </a:ext>
              </a:extLst>
            </xdr:cNvPr>
            <xdr:cNvSpPr/>
          </xdr:nvSpPr>
          <xdr:spPr>
            <a:xfrm>
              <a:off x="12429559" y="4023243"/>
              <a:ext cx="2220020" cy="1683828"/>
            </a:xfrm>
            <a:prstGeom prst="roundRect">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b="1" i="0" u="none" strike="noStrike">
                  <a:solidFill>
                    <a:schemeClr val="lt1"/>
                  </a:solidFill>
                  <a:latin typeface="Aptos Narrow" panose="020B0004020202020204" pitchFamily="34" charset="0"/>
                </a:rPr>
                <a:t>BAY</a:t>
              </a:r>
            </a:p>
          </xdr:txBody>
        </xdr:sp>
        <xdr:sp macro="" textlink="'DETAIL SECTEUR'!$Q$2">
          <xdr:nvSpPr>
            <xdr:cNvPr id="57" name="Rectangle arrondi 4">
              <a:extLst>
                <a:ext uri="{FF2B5EF4-FFF2-40B4-BE49-F238E27FC236}">
                  <a16:creationId xmlns:a16="http://schemas.microsoft.com/office/drawing/2014/main" id="{00000000-0008-0000-0800-000011000000}"/>
                </a:ext>
                <a:ext uri="{147F2762-F138-4A5C-976F-8EAC2B608ADB}">
                  <a16:predDERef xmlns:a16="http://schemas.microsoft.com/office/drawing/2014/main" pred="{7421A9DE-6EFD-4E16-9985-20B098E6BEAC}"/>
                </a:ext>
              </a:extLst>
            </xdr:cNvPr>
            <xdr:cNvSpPr/>
          </xdr:nvSpPr>
          <xdr:spPr>
            <a:xfrm>
              <a:off x="12936028" y="4621052"/>
              <a:ext cx="1232406" cy="797078"/>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87DEF1D1-2A54-4CDA-81E6-4D65BD49067F}" type="TxLink">
                <a:rPr lang="en-US" sz="2400" b="1" i="0" u="none" strike="noStrike">
                  <a:ln>
                    <a:solidFill>
                      <a:schemeClr val="bg1"/>
                    </a:solidFill>
                  </a:ln>
                  <a:solidFill>
                    <a:sysClr val="windowText" lastClr="000000"/>
                  </a:solidFill>
                  <a:latin typeface="Aptos Narrow"/>
                </a:rPr>
                <a:pPr marL="0" indent="0" algn="ctr"/>
                <a:t>5</a:t>
              </a:fld>
              <a:endParaRPr lang="en-US" sz="4800" b="1" i="0" u="none" strike="noStrike">
                <a:ln>
                  <a:solidFill>
                    <a:schemeClr val="bg1"/>
                  </a:solidFill>
                </a:ln>
                <a:solidFill>
                  <a:sysClr val="windowText" lastClr="000000"/>
                </a:solidFill>
                <a:latin typeface="Agency FB" panose="020B0503020202020204" pitchFamily="34" charset="0"/>
              </a:endParaRPr>
            </a:p>
          </xdr:txBody>
        </xdr:sp>
      </xdr:grpSp>
      <xdr:grpSp>
        <xdr:nvGrpSpPr>
          <xdr:cNvPr id="2" name="Groupe 1">
            <a:extLst>
              <a:ext uri="{FF2B5EF4-FFF2-40B4-BE49-F238E27FC236}">
                <a16:creationId xmlns:a16="http://schemas.microsoft.com/office/drawing/2014/main" id="{BF01011D-9A45-A2E7-A611-2E9B6406076B}"/>
              </a:ext>
            </a:extLst>
          </xdr:cNvPr>
          <xdr:cNvGrpSpPr/>
        </xdr:nvGrpSpPr>
        <xdr:grpSpPr>
          <a:xfrm>
            <a:off x="12408778" y="2200239"/>
            <a:ext cx="2220020" cy="1683828"/>
            <a:chOff x="7722478" y="4057614"/>
            <a:chExt cx="2220020" cy="1683828"/>
          </a:xfrm>
        </xdr:grpSpPr>
        <xdr:sp macro="" textlink="">
          <xdr:nvSpPr>
            <xdr:cNvPr id="59" name="Rectangle arrondi 4">
              <a:hlinkClick xmlns:r="http://schemas.openxmlformats.org/officeDocument/2006/relationships" r:id="rId4"/>
              <a:extLst>
                <a:ext uri="{FF2B5EF4-FFF2-40B4-BE49-F238E27FC236}">
                  <a16:creationId xmlns:a16="http://schemas.microsoft.com/office/drawing/2014/main" id="{00000000-0008-0000-0800-00000C000000}"/>
                </a:ext>
                <a:ext uri="{147F2762-F138-4A5C-976F-8EAC2B608ADB}">
                  <a16:predDERef xmlns:a16="http://schemas.microsoft.com/office/drawing/2014/main" pred="{7421A9DE-6EFD-4E16-9985-20B098E6BEAC}"/>
                </a:ext>
              </a:extLst>
            </xdr:cNvPr>
            <xdr:cNvSpPr/>
          </xdr:nvSpPr>
          <xdr:spPr>
            <a:xfrm>
              <a:off x="7722478" y="4057614"/>
              <a:ext cx="2220020" cy="1683828"/>
            </a:xfrm>
            <a:prstGeom prst="roundRect">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b="1" i="0" u="none" strike="noStrike">
                  <a:solidFill>
                    <a:schemeClr val="lt1"/>
                  </a:solidFill>
                  <a:latin typeface="Aptos Narrow" panose="020B0004020202020204" pitchFamily="34" charset="0"/>
                </a:rPr>
                <a:t>QPR-CRO</a:t>
              </a:r>
            </a:p>
          </xdr:txBody>
        </xdr:sp>
        <xdr:sp macro="" textlink="'DETAIL SECTEUR'!$Q$6">
          <xdr:nvSpPr>
            <xdr:cNvPr id="60" name="Rectangle arrondi 4">
              <a:extLst>
                <a:ext uri="{FF2B5EF4-FFF2-40B4-BE49-F238E27FC236}">
                  <a16:creationId xmlns:a16="http://schemas.microsoft.com/office/drawing/2014/main" id="{00000000-0008-0000-0800-000013000000}"/>
                </a:ext>
                <a:ext uri="{147F2762-F138-4A5C-976F-8EAC2B608ADB}">
                  <a16:predDERef xmlns:a16="http://schemas.microsoft.com/office/drawing/2014/main" pred="{7421A9DE-6EFD-4E16-9985-20B098E6BEAC}"/>
                </a:ext>
              </a:extLst>
            </xdr:cNvPr>
            <xdr:cNvSpPr/>
          </xdr:nvSpPr>
          <xdr:spPr>
            <a:xfrm>
              <a:off x="8231058" y="4665386"/>
              <a:ext cx="1232406" cy="797078"/>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6456D8E4-251C-4F06-B114-CC977E5A9664}" type="TxLink">
                <a:rPr lang="en-US" sz="2400" b="1" i="0" u="none" strike="noStrike">
                  <a:ln>
                    <a:solidFill>
                      <a:schemeClr val="bg1"/>
                    </a:solidFill>
                  </a:ln>
                  <a:solidFill>
                    <a:sysClr val="windowText" lastClr="000000"/>
                  </a:solidFill>
                  <a:latin typeface="Aptos Narrow"/>
                  <a:ea typeface="+mn-ea"/>
                  <a:cs typeface="+mn-cs"/>
                </a:rPr>
                <a:pPr marL="0" indent="0" algn="ctr"/>
                <a:t> </a:t>
              </a:fld>
              <a:endParaRPr lang="en-US" sz="4800" b="1" i="0" u="none" strike="noStrike">
                <a:ln>
                  <a:solidFill>
                    <a:schemeClr val="bg1"/>
                  </a:solidFill>
                </a:ln>
                <a:solidFill>
                  <a:sysClr val="windowText" lastClr="000000"/>
                </a:solidFill>
                <a:latin typeface="Agency FB" panose="020B0503020202020204" pitchFamily="34" charset="0"/>
                <a:ea typeface="+mn-ea"/>
                <a:cs typeface="+mn-cs"/>
              </a:endParaRPr>
            </a:p>
          </xdr:txBody>
        </xdr:sp>
      </xdr:grpSp>
      <xdr:grpSp>
        <xdr:nvGrpSpPr>
          <xdr:cNvPr id="6" name="Groupe 5">
            <a:extLst>
              <a:ext uri="{FF2B5EF4-FFF2-40B4-BE49-F238E27FC236}">
                <a16:creationId xmlns:a16="http://schemas.microsoft.com/office/drawing/2014/main" id="{E95A9396-50F1-4472-F08C-5924CDBF0712}"/>
              </a:ext>
            </a:extLst>
          </xdr:cNvPr>
          <xdr:cNvGrpSpPr/>
        </xdr:nvGrpSpPr>
        <xdr:grpSpPr>
          <a:xfrm>
            <a:off x="7716442" y="4065823"/>
            <a:ext cx="2220020" cy="1683828"/>
            <a:chOff x="10097692" y="4018198"/>
            <a:chExt cx="2220020" cy="1683828"/>
          </a:xfrm>
        </xdr:grpSpPr>
        <xdr:sp macro="" textlink="">
          <xdr:nvSpPr>
            <xdr:cNvPr id="62" name="Rectangle arrondi 4">
              <a:hlinkClick xmlns:r="http://schemas.openxmlformats.org/officeDocument/2006/relationships" r:id="rId5"/>
              <a:extLst>
                <a:ext uri="{FF2B5EF4-FFF2-40B4-BE49-F238E27FC236}">
                  <a16:creationId xmlns:a16="http://schemas.microsoft.com/office/drawing/2014/main" id="{00000000-0008-0000-0800-00000E000000}"/>
                </a:ext>
                <a:ext uri="{147F2762-F138-4A5C-976F-8EAC2B608ADB}">
                  <a16:predDERef xmlns:a16="http://schemas.microsoft.com/office/drawing/2014/main" pred="{7421A9DE-6EFD-4E16-9985-20B098E6BEAC}"/>
                </a:ext>
              </a:extLst>
            </xdr:cNvPr>
            <xdr:cNvSpPr/>
          </xdr:nvSpPr>
          <xdr:spPr>
            <a:xfrm>
              <a:off x="10097692" y="4018198"/>
              <a:ext cx="2220020" cy="1683828"/>
            </a:xfrm>
            <a:prstGeom prst="roundRect">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b="1" i="0" u="none" strike="noStrike">
                  <a:solidFill>
                    <a:schemeClr val="lt1"/>
                  </a:solidFill>
                  <a:latin typeface="Aptos Narrow" panose="020B0004020202020204" pitchFamily="34" charset="0"/>
                </a:rPr>
                <a:t>MDM - DAX</a:t>
              </a:r>
            </a:p>
          </xdr:txBody>
        </xdr:sp>
        <xdr:sp macro="" textlink="'DETAIL SECTEUR'!$Q$3">
          <xdr:nvSpPr>
            <xdr:cNvPr id="63" name="Rectangle arrondi 4">
              <a:extLst>
                <a:ext uri="{FF2B5EF4-FFF2-40B4-BE49-F238E27FC236}">
                  <a16:creationId xmlns:a16="http://schemas.microsoft.com/office/drawing/2014/main" id="{00000000-0008-0000-0800-000014000000}"/>
                </a:ext>
                <a:ext uri="{147F2762-F138-4A5C-976F-8EAC2B608ADB}">
                  <a16:predDERef xmlns:a16="http://schemas.microsoft.com/office/drawing/2014/main" pred="{7421A9DE-6EFD-4E16-9985-20B098E6BEAC}"/>
                </a:ext>
              </a:extLst>
            </xdr:cNvPr>
            <xdr:cNvSpPr/>
          </xdr:nvSpPr>
          <xdr:spPr>
            <a:xfrm>
              <a:off x="10586138" y="4645459"/>
              <a:ext cx="1232406" cy="797078"/>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16AAFA43-D045-4098-9689-A4868B142778}" type="TxLink">
                <a:rPr lang="en-US" sz="2400" b="1" i="0" u="none" strike="noStrike">
                  <a:ln>
                    <a:solidFill>
                      <a:schemeClr val="bg1"/>
                    </a:solidFill>
                  </a:ln>
                  <a:solidFill>
                    <a:sysClr val="windowText" lastClr="000000"/>
                  </a:solidFill>
                  <a:latin typeface="Aptos Narrow"/>
                  <a:ea typeface="+mn-ea"/>
                  <a:cs typeface="+mn-cs"/>
                </a:rPr>
                <a:pPr marL="0" indent="0" algn="ctr"/>
                <a:t>36</a:t>
              </a:fld>
              <a:endParaRPr lang="en-US" sz="4800" b="1" i="0" u="none" strike="noStrike">
                <a:ln>
                  <a:solidFill>
                    <a:schemeClr val="bg1"/>
                  </a:solidFill>
                </a:ln>
                <a:solidFill>
                  <a:sysClr val="windowText" lastClr="000000"/>
                </a:solidFill>
                <a:latin typeface="Agency FB" panose="020B0503020202020204" pitchFamily="34" charset="0"/>
                <a:ea typeface="+mn-ea"/>
                <a:cs typeface="+mn-cs"/>
              </a:endParaRPr>
            </a:p>
          </xdr:txBody>
        </xdr:sp>
      </xdr:grpSp>
      <xdr:grpSp>
        <xdr:nvGrpSpPr>
          <xdr:cNvPr id="7" name="Groupe 6">
            <a:extLst>
              <a:ext uri="{FF2B5EF4-FFF2-40B4-BE49-F238E27FC236}">
                <a16:creationId xmlns:a16="http://schemas.microsoft.com/office/drawing/2014/main" id="{975928BE-F6DE-D0DE-11A6-D1D893700E03}"/>
              </a:ext>
            </a:extLst>
          </xdr:cNvPr>
          <xdr:cNvGrpSpPr/>
        </xdr:nvGrpSpPr>
        <xdr:grpSpPr>
          <a:xfrm>
            <a:off x="10054639" y="4103047"/>
            <a:ext cx="2220020" cy="1683828"/>
            <a:chOff x="10064164" y="4036372"/>
            <a:chExt cx="2220020" cy="1683828"/>
          </a:xfrm>
        </xdr:grpSpPr>
        <xdr:sp macro="" textlink="">
          <xdr:nvSpPr>
            <xdr:cNvPr id="65" name="Rectangle arrondi 4">
              <a:hlinkClick xmlns:r="http://schemas.openxmlformats.org/officeDocument/2006/relationships" r:id="rId6"/>
              <a:extLst>
                <a:ext uri="{FF2B5EF4-FFF2-40B4-BE49-F238E27FC236}">
                  <a16:creationId xmlns:a16="http://schemas.microsoft.com/office/drawing/2014/main" id="{00000000-0008-0000-0800-00000D000000}"/>
                </a:ext>
                <a:ext uri="{147F2762-F138-4A5C-976F-8EAC2B608ADB}">
                  <a16:predDERef xmlns:a16="http://schemas.microsoft.com/office/drawing/2014/main" pred="{7421A9DE-6EFD-4E16-9985-20B098E6BEAC}"/>
                </a:ext>
              </a:extLst>
            </xdr:cNvPr>
            <xdr:cNvSpPr/>
          </xdr:nvSpPr>
          <xdr:spPr>
            <a:xfrm>
              <a:off x="10064164" y="4036372"/>
              <a:ext cx="2220020" cy="1683828"/>
            </a:xfrm>
            <a:prstGeom prst="roundRect">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b="1" i="0" u="none" strike="noStrike">
                  <a:solidFill>
                    <a:schemeClr val="lt1"/>
                  </a:solidFill>
                  <a:latin typeface="Aptos Narrow" panose="020B0004020202020204" pitchFamily="34" charset="0"/>
                </a:rPr>
                <a:t>PAU</a:t>
              </a:r>
            </a:p>
          </xdr:txBody>
        </xdr:sp>
        <xdr:sp macro="" textlink="'DETAIL SECTEUR'!$Q$5">
          <xdr:nvSpPr>
            <xdr:cNvPr id="66" name="Rectangle arrondi 4">
              <a:extLst>
                <a:ext uri="{FF2B5EF4-FFF2-40B4-BE49-F238E27FC236}">
                  <a16:creationId xmlns:a16="http://schemas.microsoft.com/office/drawing/2014/main" id="{00000000-0008-0000-0800-000015000000}"/>
                </a:ext>
                <a:ext uri="{147F2762-F138-4A5C-976F-8EAC2B608ADB}">
                  <a16:predDERef xmlns:a16="http://schemas.microsoft.com/office/drawing/2014/main" pred="{7421A9DE-6EFD-4E16-9985-20B098E6BEAC}"/>
                </a:ext>
              </a:extLst>
            </xdr:cNvPr>
            <xdr:cNvSpPr/>
          </xdr:nvSpPr>
          <xdr:spPr>
            <a:xfrm>
              <a:off x="10606509" y="4664072"/>
              <a:ext cx="1232406" cy="797078"/>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2FEA7C4C-A8B9-4BD4-8F5C-B6B7EB837C79}" type="TxLink">
                <a:rPr lang="en-US" sz="2400" b="1" i="0" u="none" strike="noStrike">
                  <a:ln>
                    <a:solidFill>
                      <a:schemeClr val="bg1"/>
                    </a:solidFill>
                  </a:ln>
                  <a:solidFill>
                    <a:sysClr val="windowText" lastClr="000000"/>
                  </a:solidFill>
                  <a:latin typeface="Aptos Narrow"/>
                  <a:ea typeface="+mn-ea"/>
                  <a:cs typeface="+mn-cs"/>
                </a:rPr>
                <a:pPr marL="0" indent="0" algn="ctr"/>
                <a:t> </a:t>
              </a:fld>
              <a:endParaRPr lang="en-US" sz="4800" b="1" i="0" u="none" strike="noStrike">
                <a:ln>
                  <a:solidFill>
                    <a:schemeClr val="bg1"/>
                  </a:solidFill>
                </a:ln>
                <a:solidFill>
                  <a:sysClr val="windowText" lastClr="000000"/>
                </a:solidFill>
                <a:latin typeface="Agency FB" panose="020B0503020202020204" pitchFamily="34" charset="0"/>
                <a:ea typeface="+mn-ea"/>
                <a:cs typeface="+mn-cs"/>
              </a:endParaRPr>
            </a:p>
          </xdr:txBody>
        </xdr:sp>
      </xdr:grpSp>
    </xdr:grpSp>
    <xdr:clientData/>
  </xdr:twoCellAnchor>
  <xdr:twoCellAnchor>
    <xdr:from>
      <xdr:col>0</xdr:col>
      <xdr:colOff>262890</xdr:colOff>
      <xdr:row>6</xdr:row>
      <xdr:rowOff>87630</xdr:rowOff>
    </xdr:from>
    <xdr:to>
      <xdr:col>13</xdr:col>
      <xdr:colOff>514350</xdr:colOff>
      <xdr:row>33</xdr:row>
      <xdr:rowOff>179070</xdr:rowOff>
    </xdr:to>
    <xdr:grpSp>
      <xdr:nvGrpSpPr>
        <xdr:cNvPr id="5" name="Groupe 10">
          <a:extLst>
            <a:ext uri="{FF2B5EF4-FFF2-40B4-BE49-F238E27FC236}">
              <a16:creationId xmlns:a16="http://schemas.microsoft.com/office/drawing/2014/main" id="{34DB0087-9C02-20D0-1040-5D81F1A708A4}"/>
            </a:ext>
            <a:ext uri="{147F2762-F138-4A5C-976F-8EAC2B608ADB}">
              <a16:predDERef xmlns:a16="http://schemas.microsoft.com/office/drawing/2014/main" pred="{17331A8F-5D41-2EAB-1986-DDFDA74513C3}"/>
            </a:ext>
          </a:extLst>
        </xdr:cNvPr>
        <xdr:cNvGrpSpPr/>
      </xdr:nvGrpSpPr>
      <xdr:grpSpPr>
        <a:xfrm>
          <a:off x="262890" y="1173480"/>
          <a:ext cx="8404860" cy="5234940"/>
          <a:chOff x="262890" y="1164688"/>
          <a:chExt cx="8391672" cy="5234940"/>
        </a:xfrm>
      </xdr:grpSpPr>
      <xdr:sp macro="" textlink="">
        <xdr:nvSpPr>
          <xdr:cNvPr id="10" name="Rectangle arrondi 4">
            <a:extLst>
              <a:ext uri="{FF2B5EF4-FFF2-40B4-BE49-F238E27FC236}">
                <a16:creationId xmlns:a16="http://schemas.microsoft.com/office/drawing/2014/main" id="{00000000-0008-0000-0800-000019000000}"/>
              </a:ext>
              <a:ext uri="{147F2762-F138-4A5C-976F-8EAC2B608ADB}">
                <a16:predDERef xmlns:a16="http://schemas.microsoft.com/office/drawing/2014/main" pred="{7421A9DE-6EFD-4E16-9985-20B098E6BEAC}"/>
              </a:ext>
            </a:extLst>
          </xdr:cNvPr>
          <xdr:cNvSpPr/>
        </xdr:nvSpPr>
        <xdr:spPr>
          <a:xfrm>
            <a:off x="262890" y="1164688"/>
            <a:ext cx="8391672" cy="523494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2000" b="1" i="0" u="none" strike="noStrike">
              <a:solidFill>
                <a:schemeClr val="lt1"/>
              </a:solidFill>
              <a:latin typeface="Aptos Narrow" panose="020B0004020202020204" pitchFamily="34" charset="0"/>
            </a:endParaRPr>
          </a:p>
        </xdr:txBody>
      </xdr:sp>
      <xdr:graphicFrame macro="">
        <xdr:nvGraphicFramePr>
          <xdr:cNvPr id="11" name="Graphique 9">
            <a:extLst>
              <a:ext uri="{FF2B5EF4-FFF2-40B4-BE49-F238E27FC236}">
                <a16:creationId xmlns:a16="http://schemas.microsoft.com/office/drawing/2014/main" id="{50E58258-C523-4449-AD89-6B1BB6645F73}"/>
              </a:ext>
            </a:extLst>
          </xdr:cNvPr>
          <xdr:cNvGraphicFramePr>
            <a:graphicFrameLocks/>
          </xdr:cNvGraphicFramePr>
        </xdr:nvGraphicFramePr>
        <xdr:xfrm>
          <a:off x="784713" y="1517406"/>
          <a:ext cx="7389202" cy="43053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drawings/drawing3.xml><?xml version="1.0" encoding="utf-8"?>
<c:userShapes xmlns:c="http://schemas.openxmlformats.org/drawingml/2006/chart">
  <cdr:relSizeAnchor xmlns:cdr="http://schemas.openxmlformats.org/drawingml/2006/chartDrawing">
    <cdr:from>
      <cdr:x>0.29137</cdr:x>
      <cdr:y>0.21543</cdr:y>
    </cdr:from>
    <cdr:to>
      <cdr:x>0.66731</cdr:x>
      <cdr:y>0.93933</cdr:y>
    </cdr:to>
    <cdr:grpSp>
      <cdr:nvGrpSpPr>
        <cdr:cNvPr id="26" name="Groupe 25">
          <a:extLst xmlns:a="http://schemas.openxmlformats.org/drawingml/2006/main">
            <a:ext uri="{FF2B5EF4-FFF2-40B4-BE49-F238E27FC236}">
              <a16:creationId xmlns:a16="http://schemas.microsoft.com/office/drawing/2014/main" id="{90430243-C8B1-054E-0060-62439EF1D9E0}"/>
            </a:ext>
          </a:extLst>
        </cdr:cNvPr>
        <cdr:cNvGrpSpPr/>
      </cdr:nvGrpSpPr>
      <cdr:grpSpPr>
        <a:xfrm xmlns:a="http://schemas.openxmlformats.org/drawingml/2006/main">
          <a:off x="2156344" y="927498"/>
          <a:ext cx="2782311" cy="3116617"/>
          <a:chOff x="2149091" y="927498"/>
          <a:chExt cx="2772953" cy="3116617"/>
        </a:xfrm>
      </cdr:grpSpPr>
      <cdr:cxnSp macro="">
        <cdr:nvCxnSpPr>
          <cdr:cNvPr id="3" name="Connecteur droit 2">
            <a:extLst xmlns:a="http://schemas.openxmlformats.org/drawingml/2006/main">
              <a:ext uri="{FF2B5EF4-FFF2-40B4-BE49-F238E27FC236}">
                <a16:creationId xmlns:a16="http://schemas.microsoft.com/office/drawing/2014/main" id="{FF2FF6A1-4311-82A4-AD28-542FFD919AD2}"/>
              </a:ext>
            </a:extLst>
          </cdr:cNvPr>
          <cdr:cNvCxnSpPr/>
        </cdr:nvCxnSpPr>
        <cdr:spPr>
          <a:xfrm xmlns:a="http://schemas.openxmlformats.org/drawingml/2006/main" flipH="1" flipV="1">
            <a:off x="2192347" y="1191282"/>
            <a:ext cx="538947" cy="230324"/>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cxnSp macro="">
        <cdr:nvCxnSpPr>
          <cdr:cNvPr id="4" name="Connecteur droit 3">
            <a:extLst xmlns:a="http://schemas.openxmlformats.org/drawingml/2006/main">
              <a:ext uri="{FF2B5EF4-FFF2-40B4-BE49-F238E27FC236}">
                <a16:creationId xmlns:a16="http://schemas.microsoft.com/office/drawing/2014/main" id="{20615405-AA30-8BE0-538A-C140030C6CFD}"/>
              </a:ext>
            </a:extLst>
          </cdr:cNvPr>
          <cdr:cNvCxnSpPr/>
        </cdr:nvCxnSpPr>
        <cdr:spPr>
          <a:xfrm xmlns:a="http://schemas.openxmlformats.org/drawingml/2006/main" flipH="1" flipV="1">
            <a:off x="2149091" y="2855749"/>
            <a:ext cx="435506" cy="115723"/>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cxnSp macro="">
        <cdr:nvCxnSpPr>
          <cdr:cNvPr id="8" name="Connecteur droit 7">
            <a:extLst xmlns:a="http://schemas.openxmlformats.org/drawingml/2006/main">
              <a:ext uri="{FF2B5EF4-FFF2-40B4-BE49-F238E27FC236}">
                <a16:creationId xmlns:a16="http://schemas.microsoft.com/office/drawing/2014/main" id="{753E988E-8AB4-3923-AEC3-7D118A583F0F}"/>
              </a:ext>
            </a:extLst>
          </cdr:cNvPr>
          <cdr:cNvCxnSpPr/>
        </cdr:nvCxnSpPr>
        <cdr:spPr>
          <a:xfrm xmlns:a="http://schemas.openxmlformats.org/drawingml/2006/main" flipV="1">
            <a:off x="3162402" y="3726903"/>
            <a:ext cx="193619" cy="199586"/>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nvGrpSpPr>
          <cdr:cNvPr id="16" name="Groupe 15">
            <a:extLst xmlns:a="http://schemas.openxmlformats.org/drawingml/2006/main">
              <a:ext uri="{FF2B5EF4-FFF2-40B4-BE49-F238E27FC236}">
                <a16:creationId xmlns:a16="http://schemas.microsoft.com/office/drawing/2014/main" id="{D312BB19-9BC2-0873-C698-A72B9FD52714}"/>
              </a:ext>
            </a:extLst>
          </cdr:cNvPr>
          <cdr:cNvGrpSpPr/>
        </cdr:nvGrpSpPr>
        <cdr:grpSpPr>
          <a:xfrm xmlns:a="http://schemas.openxmlformats.org/drawingml/2006/main">
            <a:off x="3764560" y="3717770"/>
            <a:ext cx="428830" cy="326345"/>
            <a:chOff x="3788068" y="3717770"/>
            <a:chExt cx="431508" cy="326345"/>
          </a:xfrm>
        </cdr:grpSpPr>
        <cdr:cxnSp macro="">
          <cdr:nvCxnSpPr>
            <cdr:cNvPr id="6" name="Connecteur droit 5">
              <a:extLst xmlns:a="http://schemas.openxmlformats.org/drawingml/2006/main">
                <a:ext uri="{FF2B5EF4-FFF2-40B4-BE49-F238E27FC236}">
                  <a16:creationId xmlns:a16="http://schemas.microsoft.com/office/drawing/2014/main" id="{AA09A0F4-C521-F85F-0FBE-158FBB36BCB2}"/>
                </a:ext>
              </a:extLst>
            </cdr:cNvPr>
            <cdr:cNvCxnSpPr/>
          </cdr:nvCxnSpPr>
          <cdr:spPr>
            <a:xfrm xmlns:a="http://schemas.openxmlformats.org/drawingml/2006/main" flipH="1" flipV="1">
              <a:off x="3788068" y="3717770"/>
              <a:ext cx="319103" cy="324442"/>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cxnSp macro="">
          <cdr:nvCxnSpPr>
            <cdr:cNvPr id="12" name="Connecteur droit 11">
              <a:extLst xmlns:a="http://schemas.openxmlformats.org/drawingml/2006/main">
                <a:ext uri="{FF2B5EF4-FFF2-40B4-BE49-F238E27FC236}">
                  <a16:creationId xmlns:a16="http://schemas.microsoft.com/office/drawing/2014/main" id="{51030746-EBC2-6140-FBC7-5AC2F154C635}"/>
                </a:ext>
              </a:extLst>
            </cdr:cNvPr>
            <cdr:cNvCxnSpPr/>
          </cdr:nvCxnSpPr>
          <cdr:spPr>
            <a:xfrm xmlns:a="http://schemas.openxmlformats.org/drawingml/2006/main" flipH="1" flipV="1">
              <a:off x="4088159" y="4041016"/>
              <a:ext cx="131417" cy="3099"/>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grpSp>
        <cdr:nvGrpSpPr>
          <cdr:cNvPr id="17" name="Groupe 16">
            <a:extLst xmlns:a="http://schemas.openxmlformats.org/drawingml/2006/main">
              <a:ext uri="{FF2B5EF4-FFF2-40B4-BE49-F238E27FC236}">
                <a16:creationId xmlns:a16="http://schemas.microsoft.com/office/drawing/2014/main" id="{4B6E5B4C-3A41-FF4C-D72C-7E3F72A2C8DC}"/>
              </a:ext>
            </a:extLst>
          </cdr:cNvPr>
          <cdr:cNvGrpSpPr/>
        </cdr:nvGrpSpPr>
        <cdr:grpSpPr>
          <a:xfrm xmlns:a="http://schemas.openxmlformats.org/drawingml/2006/main">
            <a:off x="4640345" y="3259535"/>
            <a:ext cx="281699" cy="132555"/>
            <a:chOff x="0" y="0"/>
            <a:chExt cx="431508" cy="326345"/>
          </a:xfrm>
        </cdr:grpSpPr>
        <cdr:cxnSp macro="">
          <cdr:nvCxnSpPr>
            <cdr:cNvPr id="18" name="Connecteur droit 17">
              <a:extLst xmlns:a="http://schemas.openxmlformats.org/drawingml/2006/main">
                <a:ext uri="{FF2B5EF4-FFF2-40B4-BE49-F238E27FC236}">
                  <a16:creationId xmlns:a16="http://schemas.microsoft.com/office/drawing/2014/main" id="{F73F7FF6-8C3B-3A01-CD0F-7A42F92B077D}"/>
                </a:ext>
              </a:extLst>
            </cdr:cNvPr>
            <cdr:cNvCxnSpPr/>
          </cdr:nvCxnSpPr>
          <cdr:spPr>
            <a:xfrm xmlns:a="http://schemas.openxmlformats.org/drawingml/2006/main" flipH="1" flipV="1">
              <a:off x="0" y="0"/>
              <a:ext cx="319103" cy="324442"/>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cxnSp macro="">
          <cdr:nvCxnSpPr>
            <cdr:cNvPr id="19" name="Connecteur droit 18">
              <a:extLst xmlns:a="http://schemas.openxmlformats.org/drawingml/2006/main">
                <a:ext uri="{FF2B5EF4-FFF2-40B4-BE49-F238E27FC236}">
                  <a16:creationId xmlns:a16="http://schemas.microsoft.com/office/drawing/2014/main" id="{DC4C3AD4-8891-592E-7FE9-59986FDD83EB}"/>
                </a:ext>
              </a:extLst>
            </cdr:cNvPr>
            <cdr:cNvCxnSpPr/>
          </cdr:nvCxnSpPr>
          <cdr:spPr>
            <a:xfrm xmlns:a="http://schemas.openxmlformats.org/drawingml/2006/main" flipH="1" flipV="1">
              <a:off x="300091" y="323246"/>
              <a:ext cx="131417" cy="3099"/>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grpSp>
        <cdr:nvGrpSpPr>
          <cdr:cNvPr id="20" name="Groupe 19">
            <a:extLst xmlns:a="http://schemas.openxmlformats.org/drawingml/2006/main">
              <a:ext uri="{FF2B5EF4-FFF2-40B4-BE49-F238E27FC236}">
                <a16:creationId xmlns:a16="http://schemas.microsoft.com/office/drawing/2014/main" id="{EB582884-6855-390C-5B68-B10BF919676C}"/>
              </a:ext>
            </a:extLst>
          </cdr:cNvPr>
          <cdr:cNvGrpSpPr/>
        </cdr:nvGrpSpPr>
        <cdr:grpSpPr>
          <a:xfrm xmlns:a="http://schemas.openxmlformats.org/drawingml/2006/main" flipV="1">
            <a:off x="3860801" y="927498"/>
            <a:ext cx="334962" cy="319882"/>
            <a:chOff x="0" y="0"/>
            <a:chExt cx="660984" cy="803448"/>
          </a:xfrm>
        </cdr:grpSpPr>
        <cdr:cxnSp macro="">
          <cdr:nvCxnSpPr>
            <cdr:cNvPr id="21" name="Connecteur droit 20">
              <a:extLst xmlns:a="http://schemas.openxmlformats.org/drawingml/2006/main">
                <a:ext uri="{FF2B5EF4-FFF2-40B4-BE49-F238E27FC236}">
                  <a16:creationId xmlns:a16="http://schemas.microsoft.com/office/drawing/2014/main" id="{3DC4470F-6319-B522-F2CE-EC1247024E63}"/>
                </a:ext>
              </a:extLst>
            </cdr:cNvPr>
            <cdr:cNvCxnSpPr/>
          </cdr:nvCxnSpPr>
          <cdr:spPr>
            <a:xfrm xmlns:a="http://schemas.openxmlformats.org/drawingml/2006/main" flipH="1" flipV="1">
              <a:off x="0" y="0"/>
              <a:ext cx="488802" cy="798763"/>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cxnSp macro="">
          <cdr:nvCxnSpPr>
            <cdr:cNvPr id="22" name="Connecteur droit 21">
              <a:extLst xmlns:a="http://schemas.openxmlformats.org/drawingml/2006/main">
                <a:ext uri="{FF2B5EF4-FFF2-40B4-BE49-F238E27FC236}">
                  <a16:creationId xmlns:a16="http://schemas.microsoft.com/office/drawing/2014/main" id="{C28FFB4C-2E9B-224C-3CBB-ED5B56AD3034}"/>
                </a:ext>
              </a:extLst>
            </cdr:cNvPr>
            <cdr:cNvCxnSpPr/>
          </cdr:nvCxnSpPr>
          <cdr:spPr>
            <a:xfrm xmlns:a="http://schemas.openxmlformats.org/drawingml/2006/main" flipH="1" flipV="1">
              <a:off x="459679" y="795818"/>
              <a:ext cx="201305" cy="7630"/>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cxnSp macro="">
        <cdr:nvCxnSpPr>
          <cdr:cNvPr id="23" name="Connecteur droit 22">
            <a:extLst xmlns:a="http://schemas.openxmlformats.org/drawingml/2006/main">
              <a:ext uri="{FF2B5EF4-FFF2-40B4-BE49-F238E27FC236}">
                <a16:creationId xmlns:a16="http://schemas.microsoft.com/office/drawing/2014/main" id="{F8A77B95-0521-5AD6-CA08-C5CECBA9A0C9}"/>
              </a:ext>
            </a:extLst>
          </cdr:cNvPr>
          <cdr:cNvCxnSpPr/>
        </cdr:nvCxnSpPr>
        <cdr:spPr>
          <a:xfrm xmlns:a="http://schemas.openxmlformats.org/drawingml/2006/main" flipV="1">
            <a:off x="4648201" y="1467644"/>
            <a:ext cx="120593" cy="126603"/>
          </a:xfrm>
          <a:prstGeom xmlns:a="http://schemas.openxmlformats.org/drawingml/2006/main" prst="line">
            <a:avLst/>
          </a:prstGeom>
          <a:ln xmlns:a="http://schemas.openxmlformats.org/drawingml/2006/main">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relSizeAnchor>
</c:userShape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1" id="{053927CC-197E-45A9-A616-A2F220A78E1F}">
    <nsvFilter filterId="{00000000-0001-0000-0100-000000000000}" ref="A1:M447" tableId="0"/>
  </namedSheetView>
  <namedSheetView name="Affichage2" id="{F39A0018-45C2-43A6-A0CD-DA2B5752BF27}">
    <nsvFilter filterId="{00000000-0001-0000-0100-000000000000}" ref="A1:M447" tableId="0">
      <sortRules>
        <sortRule colId="3">
          <sortCondition descending="1" ref="D1:D447"/>
        </sortRule>
      </sortRules>
    </nsvFilter>
  </namedSheetView>
  <namedSheetView name="Affichage3" id="{4379B615-1001-47D7-909F-95A8F2D0753A}">
    <nsvFilter filterId="{00000000-0001-0000-0100-000000000000}" ref="A1:M447" tableId="0">
      <sortRules>
        <sortRule colId="3">
          <sortCondition descending="1" ref="D1:D447"/>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1" id="{B3B68089-7D20-4858-81EF-181433762B91}">
    <nsvFilter filterId="{DC007212-1944-44DC-9239-EFFFD2D6D786}" ref="A1:L342" tableId="0">
      <sortRules>
        <sortRule colId="3">
          <sortCondition descending="1" ref="D1:D342"/>
        </sortRule>
      </sortRules>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1" id="{8A7EAEA5-BE49-4B12-BE86-FBE77C855EEF}">
    <nsvFilter filterId="{00000000-0001-0000-0400-000000000000}" ref="A1:K136" tableId="0">
      <sortRules>
        <sortRule colId="3">
          <sortCondition descending="1" ref="D1:D136"/>
        </sortRule>
      </sortRules>
    </nsvFilter>
  </namedSheetView>
  <namedSheetView name="Affichage2" id="{5C422B72-286D-4F94-81D3-89986418F35B}">
    <nsvFilter filterId="{00000000-0001-0000-0400-000000000000}" ref="A1:K136" tableId="0">
      <sortRules>
        <sortRule colId="3">
          <sortCondition descending="1" ref="D1:D136"/>
        </sortRule>
      </sortRules>
    </nsvFilter>
  </namedSheetView>
  <namedSheetView name="Affichage3" id="{DEEEB52D-0ACA-4DAA-BB60-56118EB00ED1}">
    <nsvFilter filterId="{00000000-0001-0000-0400-000000000000}" ref="A1:K136" tableId="0">
      <columnFilter colId="5">
        <filter colId="5">
          <x:filters>
            <x:filter val="IN"/>
          </x:filters>
        </filter>
      </columnFilter>
      <sortRules>
        <sortRule colId="3">
          <sortCondition descending="1" ref="D1:D136"/>
        </sortRule>
      </sortRules>
    </nsvFilter>
  </namedSheetView>
</namedSheetViews>
</file>

<file path=xl/persons/person.xml><?xml version="1.0" encoding="utf-8"?>
<personList xmlns="http://schemas.microsoft.com/office/spreadsheetml/2018/threadedcomments" xmlns:x="http://schemas.openxmlformats.org/spreadsheetml/2006/main">
  <person displayName="Lansdorff cynthia" id="{49E5F5D2-672F-4EE9-B5D4-C9638D429AE0}" userId="S::lansdorff.cynthia@ar-technologie.com::4828f707-f6ab-46ce-8fc4-463d0df50fbf" providerId="AD"/>
  <person displayName="Lansdorff.cynthia" id="{122F393B-34CE-4249-B5CB-8F8E7EE60366}" userId="S::lansdorff.cynthia_ar-technologie.com#ext#@artechnologie13.onmicrosoft.com::a9610f2c-8094-408c-8b31-aaf2f6fffaf9" providerId="AD"/>
  <person displayName="dos-santos.stephane@ar-technologie.com" id="{631CE2F7-FA74-4A16-83A9-55C33BFAD67D}" userId="S::dos-santos.stephane_ar-technologie.com#ext#@artechnologie13.onmicrosoft.com::ba01dad0-c19d-4205-b6b0-b5b9bccf5c2f" providerId="AD"/>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68.563764467595" createdVersion="8" refreshedVersion="8" minRefreshableVersion="3" recordCount="41" xr:uid="{00000000-000A-0000-FFFF-FFFFA5020000}">
  <cacheSource type="worksheet">
    <worksheetSource ref="A156:T171" sheet="BAY" r:id="rId2"/>
  </cacheSource>
  <cacheFields count="20">
    <cacheField name="EXPORT" numFmtId="0">
      <sharedItems containsBlank="1"/>
    </cacheField>
    <cacheField name="AGILIS" numFmtId="0">
      <sharedItems containsNonDate="0" containsDate="1" containsString="0" containsBlank="1" minDate="2025-07-25T00:00:00" maxDate="2025-10-01T00:00:00"/>
    </cacheField>
    <cacheField name="DRE" numFmtId="14">
      <sharedItems containsDate="1" containsBlank="1" containsMixedTypes="1" minDate="2025-04-07T00:00:00" maxDate="2025-10-01T00:00:00" count="39">
        <e v="#N/A"/>
        <d v="2025-09-16T00:00:00"/>
        <d v="2025-09-05T00:00:00"/>
        <d v="2025-08-19T00:00:00"/>
        <d v="2025-07-29T00:00:00"/>
        <d v="2025-07-25T00:00:00"/>
        <d v="2025-07-31T00:00:00"/>
        <d v="2025-08-04T00:00:00"/>
        <d v="2025-09-30T00:00:00"/>
        <d v="2025-09-04T00:00:00"/>
        <d v="2025-07-30T00:00:00"/>
        <d v="2025-09-01T00:00:00"/>
        <d v="2025-09-22T00:00:00"/>
        <d v="2025-08-20T00:00:00"/>
        <d v="2025-08-28T00:00:00"/>
        <d v="2025-08-05T00:00:00"/>
        <m/>
        <d v="2025-09-19T00:00:00" u="1"/>
        <d v="2025-08-02T00:00:00" u="1"/>
        <d v="2025-08-22T00:00:00" u="1"/>
        <d v="2025-07-10T00:00:00" u="1"/>
        <d v="2025-06-16T00:00:00" u="1"/>
        <d v="2025-06-19T00:00:00" u="1"/>
        <d v="2025-06-28T00:00:00" u="1"/>
        <d v="2025-05-30T00:00:00" u="1"/>
        <d v="2025-05-20T00:00:00" u="1"/>
        <d v="2025-06-20T00:00:00" u="1"/>
        <d v="2025-06-15T00:00:00" u="1"/>
        <d v="2025-06-30T00:00:00" u="1"/>
        <d v="2025-07-21T00:00:00" u="1"/>
        <d v="2025-07-15T00:00:00" u="1"/>
        <d v="2025-06-23T00:00:00" u="1"/>
        <d v="2025-08-08T00:00:00" u="1"/>
        <d v="2025-06-18T00:00:00" u="1"/>
        <d v="2025-05-29T00:00:00" u="1"/>
        <d v="2025-05-15T00:00:00" u="1"/>
        <e v="#REF!" u="1"/>
        <d v="2025-04-30T00:00:00" u="1"/>
        <d v="2025-04-07T00:00:00" u="1"/>
      </sharedItems>
    </cacheField>
    <cacheField name="DATE VT" numFmtId="0">
      <sharedItems containsDate="1" containsBlank="1" containsMixedTypes="1" minDate="2025-03-04T00:00:00" maxDate="2025-07-17T00:00:00"/>
    </cacheField>
    <cacheField name="ETAT" numFmtId="0">
      <sharedItems containsBlank="1" count="16">
        <s v="POI EN FACTU"/>
        <s v="POI EN TRAVAUX"/>
        <s v="ATT TRVX CLIENT"/>
        <s v="ATT PV"/>
        <s v="RETOUR VT"/>
        <s v="VT A FAIRE"/>
        <m/>
        <s v="DOSSIER A REPRENDRE" u="1"/>
        <s v="ETAT 5" u="1"/>
        <s v="ATT DEVIS CLIENT" u="1"/>
        <s v="ATT DEVIS ORANGE/RIP" u="1"/>
        <s v="ATT INFOS CAF REF" u="1"/>
        <s v="DOSSIER A MONTER" u="1"/>
        <s v="ATT DT" u="1"/>
        <s v="ATT COMAC/CAPFT" u="1"/>
        <s v="AA" u="1"/>
      </sharedItems>
    </cacheField>
    <cacheField name="POI" numFmtId="0">
      <sharedItems containsBlank="1"/>
    </cacheField>
    <cacheField name="SJ" numFmtId="0">
      <sharedItems containsBlank="1" count="7">
        <m/>
        <s v="DO"/>
        <s v="CC"/>
        <s v="E8"/>
        <s v="BW"/>
        <s v="OI"/>
        <s v="CG" u="1"/>
      </sharedItems>
    </cacheField>
    <cacheField name="DATE CREATION" numFmtId="0">
      <sharedItems containsNonDate="0" containsDate="1" containsString="0" containsBlank="1" minDate="1990-01-01T00:00:00" maxDate="2025-05-08T00:00:00"/>
    </cacheField>
    <cacheField name="DATE RECU" numFmtId="0">
      <sharedItems containsNonDate="0" containsDate="1" containsString="0" containsBlank="1" minDate="2023-06-29T00:00:00" maxDate="2025-07-16T00:00:00"/>
    </cacheField>
    <cacheField name="VILLE" numFmtId="0">
      <sharedItems containsBlank="1" count="28">
        <s v="BARDOS"/>
        <s v="HENDAYE"/>
        <s v="LABENNE"/>
        <s v="LAHONCE"/>
        <s v="ANGLET"/>
        <s v="BAYONNE"/>
        <s v="BIARRITZ"/>
        <s v="BOUCAU"/>
        <s v="BIDART"/>
        <s v="SAINT LAURENT DE GOSSE"/>
        <s v="URRUGNE"/>
        <s v="ONDRES"/>
        <s v="BASSURRARY"/>
        <s v="SOURAIDE"/>
        <s v="ARBONNE"/>
        <s v="BIRIATOU"/>
        <s v="ARCANGUES"/>
        <s v="MENDIONDES"/>
        <s v="ASCAIN"/>
        <s v="USTARITZ"/>
        <s v="OSSES"/>
        <s v="SAINT ANDRE DE SEIGNANX"/>
        <s v="TARNOS"/>
        <s v="VILLEFRANQUE"/>
        <s v="ST JEAN DE LUZ"/>
        <m/>
        <s v="SAINT JEAN PIED DE PORT" u="1"/>
        <s v="URCUIT" u="1"/>
      </sharedItems>
    </cacheField>
    <cacheField name="ADRESSE" numFmtId="0">
      <sharedItems containsBlank="1" count="46">
        <s v="923 CHEMIN DE BORDE ARROUBERS"/>
        <s v="4 CHE DE LA COTE"/>
        <s v="1 ALL CHAMPAGNE"/>
        <s v="1599 RTE D URCUIT"/>
        <s v="3 RUE DE GRAVILLE"/>
        <s v="103 RUE 4 CANTONS"/>
        <s v="7 rue du 49ème régiment d'infanterie"/>
        <s v="31 PASSAGE MAZAGRAN"/>
        <s v="36 AVENUE DE L IMPERATRICE"/>
        <s v="85 AVENUE LOUIS DE FOIX"/>
        <s v="AVENUE CHABADENIA"/>
        <s v="3 impasse des glycines"/>
        <s v="6 rue de baltet"/>
        <s v="419 RTE BELLEVUE"/>
        <s v="191 ALLEE LORETAN"/>
        <s v="470 CHE CANTINE"/>
        <s v="14 avenue du vallon"/>
        <s v="3 AV de la butte aux cailles"/>
        <s v="188 AV DE NAVARRE"/>
        <s v="chemin cartacan"/>
        <s v="497 ALL BIELLE NAVE"/>
        <s v="1130 CHE BANECAU"/>
        <s v="4 RTE DE ST PEE"/>
        <s v="CHE LIZARLAN"/>
        <s v="CH DE BORDATTOA"/>
        <s v="LE BOURG"/>
        <s v="CHE CARRIERES"/>
        <s v="RUE HARDOIA"/>
        <s v="CHE AHICE"/>
        <s v="CHE APUMAI"/>
        <s v="RTE DE SAINT MARTIN DE HINX"/>
        <s v="CHEMIN DE MANTTUBAITA"/>
        <s v="781 CHE ANNELONGUE"/>
        <s v="CARRIERES"/>
        <s v="AV DOCT LEON MOYNAC"/>
        <s v="23 AVENUE COLONEL MELVILLE LYNCH"/>
        <s v="1RUE SOUHARA"/>
        <s v="34 RUE SAINT JACQUES"/>
        <m/>
        <s v="RTE DU MARECHAL HARISPE" u="1"/>
        <s v="66 AVENUE LOUIS DE FOIX" u="1"/>
        <s v="480 CHE LAHARRAGA" u="1"/>
        <s v="7 RUE DE CHISDITS" u="1"/>
        <s v="480 CHEMIN DE LAHARRAGA" u="1"/>
        <s v="52 RUE VICTOR HUGO" u="1"/>
        <s v="RUE DE L ADOUR" u="1"/>
      </sharedItems>
    </cacheField>
    <cacheField name="CAFF" numFmtId="0">
      <sharedItems containsNonDate="0" containsString="0" containsBlank="1"/>
    </cacheField>
    <cacheField name="DT" numFmtId="0">
      <sharedItems containsNonDate="0" containsDate="1" containsString="0" containsBlank="1" minDate="2025-05-15T00:00:00" maxDate="2025-07-26T00:00:00"/>
    </cacheField>
    <cacheField name="N°DT" numFmtId="0">
      <sharedItems containsBlank="1" count="10">
        <m/>
        <s v="2025070701450TGL"/>
        <s v="2025062300926TGT"/>
        <s v="2025051500418TMP"/>
        <s v="2025061700528TOK"/>
        <s v="2025061600573TP9"/>
        <s v="2025070700998TR6"/>
        <s v="2025072501022TXU"/>
        <s v="2025061700968TGI"/>
        <s v="2025061600680TD3"/>
      </sharedItems>
    </cacheField>
    <cacheField name="DTA" numFmtId="0">
      <sharedItems containsNonDate="0" containsString="0" containsBlank="1"/>
    </cacheField>
    <cacheField name="PV" numFmtId="0">
      <sharedItems containsNonDate="0" containsString="0" containsBlank="1"/>
    </cacheField>
    <cacheField name="CTC" numFmtId="0">
      <sharedItems containsNonDate="0" containsString="0" containsBlank="1"/>
    </cacheField>
    <cacheField name="COMMENTAIRES" numFmtId="0">
      <sharedItems containsNonDate="0" containsString="0" containsBlank="1"/>
    </cacheField>
    <cacheField name="MOIS" numFmtId="0">
      <sharedItems containsString="0" containsBlank="1" containsNumber="1" containsInteger="1" minValue="1" maxValue="11" count="10">
        <m/>
        <n v="1"/>
        <n v="2"/>
        <n v="4"/>
        <n v="5"/>
        <n v="8"/>
        <n v="7"/>
        <n v="3"/>
        <n v="11" u="1"/>
        <n v="6" u="1"/>
      </sharedItems>
    </cacheField>
    <cacheField name="ANNEE" numFmtId="0">
      <sharedItems containsString="0" containsBlank="1" containsNumber="1" containsInteger="1" minValue="1900" maxValue="2025" count="8">
        <m/>
        <n v="1990"/>
        <n v="2024"/>
        <n v="2025"/>
        <n v="2023"/>
        <n v="2020"/>
        <n v="1900" u="1"/>
        <n v="2018"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68.563764467595" createdVersion="8" refreshedVersion="8" minRefreshableVersion="3" recordCount="35" xr:uid="{00000000-000A-0000-FFFF-FFFFB9020000}">
  <cacheSource type="worksheet">
    <worksheetSource ref="A3:L3" sheet="SPI AQ"/>
  </cacheSource>
  <cacheFields count="20">
    <cacheField name="EXPORT" numFmtId="0">
      <sharedItems containsBlank="1"/>
    </cacheField>
    <cacheField name="AGILIS" numFmtId="0">
      <sharedItems containsNonDate="0" containsDate="1" containsString="0" containsBlank="1" minDate="2025-07-23T00:00:00" maxDate="2026-02-28T00:00:00"/>
    </cacheField>
    <cacheField name="DRE" numFmtId="0">
      <sharedItems containsDate="1" containsBlank="1" containsMixedTypes="1" minDate="2025-04-30T00:00:00" maxDate="2026-02-28T00:00:00" count="35">
        <e v="#N/A"/>
        <d v="2025-08-19T00:00:00"/>
        <d v="2025-07-30T00:00:00"/>
        <d v="2025-09-01T00:00:00"/>
        <d v="2025-09-22T00:00:00"/>
        <d v="2025-09-15T00:00:00"/>
        <d v="2025-09-11T00:00:00"/>
        <d v="2026-02-27T00:00:00"/>
        <d v="2025-08-27T00:00:00"/>
        <d v="2025-08-25T00:00:00"/>
        <d v="2025-09-29T00:00:00"/>
        <d v="2025-11-03T00:00:00"/>
        <d v="2025-07-28T00:00:00"/>
        <d v="2025-08-13T00:00:00"/>
        <d v="2025-07-23T00:00:00"/>
        <m/>
        <d v="2025-07-15T00:00:00" u="1"/>
        <d v="2025-09-26T00:00:00" u="1"/>
        <d v="2025-08-11T00:00:00" u="1"/>
        <d v="2025-07-29T00:00:00" u="1"/>
        <d v="2025-07-18T00:00:00" u="1"/>
        <d v="2025-07-07T00:00:00" u="1"/>
        <d v="2025-06-25T00:00:00" u="1"/>
        <d v="2025-06-26T00:00:00" u="1"/>
        <d v="2025-06-30T00:00:00" u="1"/>
        <d v="2025-06-23T00:00:00" u="1"/>
        <d v="2025-06-06T00:00:00" u="1"/>
        <d v="2025-06-16T00:00:00" u="1"/>
        <d v="2025-07-10T00:00:00" u="1"/>
        <d v="2025-06-02T00:00:00" u="1"/>
        <d v="2025-04-30T00:00:00" u="1"/>
        <d v="2025-05-20T00:00:00" u="1"/>
        <d v="2025-05-21T00:00:00" u="1"/>
        <d v="2025-05-22T00:00:00" u="1"/>
        <d v="2025-06-20T00:00:00" u="1"/>
      </sharedItems>
    </cacheField>
    <cacheField name="DATE VT" numFmtId="0">
      <sharedItems containsDate="1" containsBlank="1" containsMixedTypes="1" minDate="2025-03-13T00:00:00" maxDate="2025-07-14T00:00:00"/>
    </cacheField>
    <cacheField name="ETAT" numFmtId="0">
      <sharedItems containsBlank="1" count="13">
        <s v="15 POI EN FACTU"/>
        <s v="14 POI EN TRAVAUX"/>
        <s v="01 VT A FAIRE"/>
        <s v="05 AT INFO CAF REF"/>
        <s v="02 RETOUR VT"/>
        <m/>
        <s v="POI EN FACTU" u="1"/>
        <s v="POI EN TRAVAUX" u="1"/>
        <s v="ATT INFOS CAF REF" u="1"/>
        <s v="RETOUR VT" u="1"/>
        <s v="VT A FAIRE" u="1"/>
        <s v="ATT TRVX CLIENT" u="1"/>
        <s v="DOSSIER A MONTER" u="1"/>
      </sharedItems>
    </cacheField>
    <cacheField name="POI" numFmtId="0">
      <sharedItems containsBlank="1"/>
    </cacheField>
    <cacheField name="SJ" numFmtId="0">
      <sharedItems containsBlank="1" count="10">
        <s v="RU"/>
        <s v="CC"/>
        <s v="BX"/>
        <s v="RV"/>
        <s v="CG"/>
        <s v="OI"/>
        <s v="DI"/>
        <s v="BW"/>
        <s v="XR"/>
        <m/>
      </sharedItems>
    </cacheField>
    <cacheField name="DATE CREATION" numFmtId="0">
      <sharedItems containsNonDate="0" containsDate="1" containsString="0" containsBlank="1" minDate="2020-03-23T00:00:00" maxDate="2024-07-27T00:00:00"/>
    </cacheField>
    <cacheField name="DATE RECU" numFmtId="0">
      <sharedItems containsNonDate="0" containsDate="1" containsString="0" containsBlank="1" minDate="2023-08-16T00:00:00" maxDate="2025-07-11T00:00:00"/>
    </cacheField>
    <cacheField name="VILLE" numFmtId="0">
      <sharedItems containsBlank="1" count="31">
        <s v="COARRAZE "/>
        <s v="ARTIGUELOUVE  "/>
        <s v="ORTHEZ  "/>
        <s v="SAINT CASTIN  "/>
        <s v="MIOSSENS "/>
        <s v="MEILLON "/>
        <s v="HAGETAUBIN "/>
        <s v="LESCAR"/>
        <s v="GERDEREST"/>
        <s v="LALONGUE  "/>
        <s v="MORLANNE  "/>
        <s v="ARAMITS"/>
        <s v="LOUVIE JUZON"/>
        <s v="OGEU LES BAINS  "/>
        <s v="GAN"/>
        <s v="GELOS "/>
        <s v="JURANCON"/>
        <s v="MIREPEIX"/>
        <s v="LABATUT  "/>
        <s v="PAU  "/>
        <s v="BUROS"/>
        <s v="DOAZON  "/>
        <m/>
        <s v="MAURE" u="1"/>
        <s v="MOURENX " u="1"/>
        <s v="LAGOS " u="1"/>
        <s v=" ARAMITS" u="1"/>
        <s v="MIREPEIX " u="1"/>
        <s v="SOUMOULOU" u="1"/>
        <s v="SALLESPISSE  " u="1"/>
        <s v="IDRON  " u="1"/>
      </sharedItems>
    </cacheField>
    <cacheField name="ADRESSE" numFmtId="0">
      <sharedItems containsBlank="1" count="32">
        <s v="15 R RAYMOND ARNAUD"/>
        <s v="CHE PELOU"/>
        <s v="AVENUE DU PRESIDENT KENNEDY"/>
        <s v="RTE BUROS"/>
        <s v="LANUSSE  RTE ST JACQUES"/>
        <s v="7 COTE DE MAUHOURAT"/>
        <s v="1350 RTE ST MEDARD"/>
        <s v=" RTE DE L AVIATION"/>
        <s v="CH DE MONASSUT"/>
        <s v="CHE LARRIBERETTE"/>
        <s v="ROUTE PERE"/>
        <s v="_x0009_RTE DE LANNE"/>
        <s v="AV ARISTIDE BRIAND"/>
        <s v="R LASBARTHES"/>
        <s v="CHEM DE LABEGORRE"/>
        <s v=" AVE HENRI FANFELLE"/>
        <s v="1 RUE DE LA SCIERIE"/>
        <s v="1 RUE DE LA BAREILHE"/>
        <s v="_x0009_RUE BAREILLE"/>
        <s v="CHE MESPLET"/>
        <s v="RUE DU PIED DE LA COTE"/>
        <s v="RUE DU CHANOINE DUBARAT"/>
        <s v="2265 CHE ROUMIEU"/>
        <s v="IMP LAUGA"/>
        <m/>
        <s v="54 AVENUE DENIS TOUZANNE" u="1"/>
        <s v="5 CHE EGLISE" u="1"/>
        <s v="4 ALL GOYA" u="1"/>
        <s v="1 RUE DU PONT VIEUX" u="1"/>
        <s v="3 AV LASBORDES" u="1"/>
        <s v="CHE JEAN GUILHEM" u="1"/>
        <s v="RTE TARBES" u="1"/>
      </sharedItems>
    </cacheField>
    <cacheField name="CAFF" numFmtId="0">
      <sharedItems containsNonDate="0" containsString="0" containsBlank="1"/>
    </cacheField>
    <cacheField name="DT" numFmtId="0">
      <sharedItems containsNonDate="0" containsString="0" containsBlank="1"/>
    </cacheField>
    <cacheField name="N°DT" numFmtId="0">
      <sharedItems containsNonDate="0" containsString="0" containsBlank="1" count="1">
        <m/>
      </sharedItems>
    </cacheField>
    <cacheField name="DTA" numFmtId="0">
      <sharedItems containsNonDate="0" containsString="0" containsBlank="1"/>
    </cacheField>
    <cacheField name="PV" numFmtId="0">
      <sharedItems containsNonDate="0" containsString="0" containsBlank="1"/>
    </cacheField>
    <cacheField name="CTC" numFmtId="0">
      <sharedItems containsNonDate="0" containsString="0" containsBlank="1"/>
    </cacheField>
    <cacheField name="COMMENTAIRES" numFmtId="0">
      <sharedItems containsBlank="1"/>
    </cacheField>
    <cacheField name="mois" numFmtId="0">
      <sharedItems containsString="0" containsBlank="1" containsNumber="1" containsInteger="1" minValue="1" maxValue="10" count="10">
        <n v="4"/>
        <n v="7"/>
        <n v="3"/>
        <n v="2"/>
        <n v="1"/>
        <n v="10"/>
        <n v="6"/>
        <n v="9"/>
        <n v="5"/>
        <m/>
      </sharedItems>
    </cacheField>
    <cacheField name="annee" numFmtId="0">
      <sharedItems containsString="0" containsBlank="1" containsNumber="1" containsInteger="1" minValue="2020" maxValue="2024" count="6">
        <n v="2024"/>
        <n v="2023"/>
        <n v="2021"/>
        <n v="2020"/>
        <m/>
        <n v="2022"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68.563764583334" createdVersion="8" refreshedVersion="8" minRefreshableVersion="3" recordCount="126" xr:uid="{FB84BB59-98E2-4C6C-A9A4-1CF5E3E0D250}">
  <cacheSource type="worksheet">
    <worksheetSource ref="A3:C3" sheet="GDP AQ"/>
  </cacheSource>
  <cacheFields count="20">
    <cacheField name="EXPORT" numFmtId="0">
      <sharedItems containsBlank="1"/>
    </cacheField>
    <cacheField name="AGILIS" numFmtId="0">
      <sharedItems containsNonDate="0" containsDate="1" containsString="0" containsBlank="1" minDate="2025-07-18T00:00:00" maxDate="2025-10-24T00:00:00"/>
    </cacheField>
    <cacheField name="DRE" numFmtId="14">
      <sharedItems containsDate="1" containsBlank="1" containsMixedTypes="1" minDate="2025-05-20T00:00:00" maxDate="2025-10-25T00:00:00" count="58">
        <d v="2025-08-08T00:00:00"/>
        <e v="#N/A"/>
        <d v="2025-07-18T00:00:00"/>
        <d v="2025-07-23T00:00:00"/>
        <d v="2025-10-23T00:00:00"/>
        <d v="2025-09-05T00:00:00"/>
        <d v="2025-08-20T00:00:00"/>
        <d v="2025-09-02T00:00:00"/>
        <d v="2025-09-15T00:00:00"/>
        <d v="2025-10-15T00:00:00"/>
        <d v="2025-10-06T00:00:00"/>
        <d v="2025-10-10T00:00:00"/>
        <d v="2025-07-30T00:00:00"/>
        <d v="2025-08-18T00:00:00"/>
        <d v="2025-08-12T00:00:00"/>
        <d v="2025-08-14T00:00:00"/>
        <d v="2025-07-31T00:00:00"/>
        <d v="2025-08-21T00:00:00"/>
        <d v="2025-08-07T00:00:00"/>
        <d v="2025-08-22T00:00:00"/>
        <d v="2025-08-05T00:00:00"/>
        <d v="2025-08-19T00:00:00"/>
        <d v="2025-09-30T00:00:00"/>
        <d v="2025-08-25T00:00:00"/>
        <d v="2025-09-23T00:00:00"/>
        <d v="2025-08-28T00:00:00"/>
        <d v="2025-09-04T00:00:00"/>
        <d v="2025-08-04T00:00:00"/>
        <m/>
        <d v="2025-07-29T00:00:00" u="1"/>
        <d v="2025-07-25T00:00:00" u="1"/>
        <d v="2025-07-28T00:00:00" u="1"/>
        <d v="2025-08-06T00:00:00" u="1"/>
        <d v="2025-09-08T00:00:00" u="1"/>
        <d v="2025-07-21T00:00:00" u="1"/>
        <d v="2025-07-24T00:00:00" u="1"/>
        <d v="2025-08-01T00:00:00" u="1"/>
        <d v="2025-10-24T00:00:00" u="1"/>
        <d v="2025-07-15T00:00:00" u="1"/>
        <d v="2025-07-22T00:00:00" u="1"/>
        <d v="2025-07-16T00:00:00" u="1"/>
        <d v="2025-07-17T00:00:00" u="1"/>
        <d v="2025-06-20T00:00:00" u="1"/>
        <d v="2025-06-16T00:00:00" u="1"/>
        <d v="2025-06-23T00:00:00" u="1"/>
        <d v="2025-05-30T00:00:00" u="1"/>
        <d v="2025-06-18T00:00:00" u="1"/>
        <d v="2025-07-10T00:00:00" u="1"/>
        <d v="2025-06-30T00:00:00" u="1"/>
        <d v="2025-05-20T00:00:00" u="1"/>
        <d v="2025-07-20T00:00:00" u="1"/>
        <d v="2025-06-05T00:00:00" u="1"/>
        <d v="2025-06-26T00:00:00" u="1"/>
        <d v="2025-07-07T00:00:00" u="1"/>
        <d v="2025-06-27T00:00:00" u="1"/>
        <d v="2025-06-10T00:00:00" u="1"/>
        <d v="2025-06-13T00:00:00" u="1"/>
        <d v="2025-07-04T00:00:00" u="1"/>
      </sharedItems>
    </cacheField>
    <cacheField name="DATE VT" numFmtId="0">
      <sharedItems containsDate="1" containsBlank="1" containsMixedTypes="1" minDate="2025-03-06T00:00:00" maxDate="2025-07-12T00:00:00"/>
    </cacheField>
    <cacheField name="ETAT" numFmtId="0">
      <sharedItems containsBlank="1"/>
    </cacheField>
    <cacheField name="POI" numFmtId="0">
      <sharedItems containsBlank="1"/>
    </cacheField>
    <cacheField name="SJ" numFmtId="0">
      <sharedItems containsBlank="1" count="13">
        <s v="OI"/>
        <m/>
        <s v="CC"/>
        <s v="VV"/>
        <s v="DO"/>
        <s v="XR"/>
        <s v="DG"/>
        <s v="CP"/>
        <s v="CG"/>
        <s v="E8"/>
        <s v="BX"/>
        <s v="BW"/>
        <s v="RV"/>
      </sharedItems>
    </cacheField>
    <cacheField name="DATE CREATION" numFmtId="0">
      <sharedItems containsNonDate="0" containsDate="1" containsString="0" containsBlank="1" minDate="1990-01-01T00:00:00" maxDate="2025-07-09T00:00:00"/>
    </cacheField>
    <cacheField name="DATE RECU" numFmtId="0">
      <sharedItems containsNonDate="0" containsDate="1" containsString="0" containsBlank="1" minDate="2025-03-02T00:00:00" maxDate="2025-07-16T00:00:00"/>
    </cacheField>
    <cacheField name="VILLE" numFmtId="0">
      <sharedItems containsBlank="1" count="71">
        <s v="BENESSE MAREMNE"/>
        <s v="GOURBERA"/>
        <s v="HERM"/>
        <s v="MONT DE MARSAN"/>
        <s v="GELOUX"/>
        <s v="MIMIZAN"/>
        <s v="PISSOS"/>
        <s v="PONTONX SUR L'ADOUR"/>
        <s v="SAINT PIERRE DU MONT"/>
        <s v="DAX"/>
        <s v="MAZEROLLES"/>
        <s v="MEES"/>
        <s v="ST PAUL les DAX"/>
        <s v="ST PIERRE DU MONT"/>
        <s v="ST VINCENT DE PAUL"/>
        <s v="SEYRESSE"/>
        <s v="ROQUEFORT"/>
        <s v="VILLENEUVE DE MARSAN"/>
        <s v="AUREILHAN"/>
        <s v="GOOS  "/>
        <s v="SAINT SEVER"/>
        <s v="BOUGUE"/>
        <s v="CAMPAGNE"/>
        <s v="BEGAAR "/>
        <s v="DOAZIT"/>
        <s v="TARTAS"/>
        <s v="PONTENX LES FORGES"/>
        <s v="MONGET"/>
        <s v="LESPERON "/>
        <s v="GAILLERES  "/>
        <s v="SAINT MARTIN D'ONEY  "/>
        <s v="MEZOS"/>
        <s v="SANGUINET"/>
        <s v="BISCARROSSE"/>
        <s v="SIEST"/>
        <s v="HEUGAS"/>
        <s v="BENQUET"/>
        <s v="ST PERDON"/>
        <s v="UCHACQ ET PARENTIS"/>
        <s v="RIVIERE SAAS DES GOURBY"/>
        <s v="SAUGNAC ET CAMBRAN"/>
        <s v="SAINT JUSTIN"/>
        <s v="SARBAZAN"/>
        <s v="SAINT PERDON  "/>
        <s v="MIRAMONT SENSACQ  "/>
        <s v="Saint vincent de paul"/>
        <s v="GEAUNE"/>
        <s v="SOUPROSSE"/>
        <s v="HORSARRIEU "/>
        <s v="AUDIGNON"/>
        <s v="VERT"/>
        <s v="HABAS"/>
        <s v="GAMARDE LES BAINS"/>
        <s v="LAGLORIEUSE"/>
        <s v="MAYLIS"/>
        <s v="BAHUS SOUBIRAN"/>
        <s v="POUYDESSEAUX"/>
        <s v="PERQUIE  "/>
        <s v="CASTELNER"/>
        <s v="CAMPET ET LAMOLERE"/>
        <s v="TOULOUZETTE"/>
        <s v="CERE"/>
        <s v="POMAREZ"/>
        <s v="LESGOR "/>
        <s v="AMOU"/>
        <s v="ARGELOS"/>
        <m/>
        <s v="BRASSEMPOUY" u="1"/>
        <s v="BRETAGNE DE MARSAN" u="1"/>
        <s v="ORTHEVIELLE" u="1"/>
        <s v="MAURRIN" u="1"/>
      </sharedItems>
    </cacheField>
    <cacheField name="ADRESSE" numFmtId="0">
      <sharedItems containsBlank="1" count="134">
        <s v="CH DU BAYONNAIS"/>
        <s v="3490 RTE DE CASTET"/>
        <s v="1011 ch de maisonnave"/>
        <s v="1089 ch de maisonnave"/>
        <s v="1163 ch de maisonnave"/>
        <s v="6 RUE JEAN MACE"/>
        <s v="150 CHEMIN DU GRAND CHAY  "/>
        <s v="120B AV PLAGE"/>
        <s v="219 RUE DE L'AUBERGE"/>
        <s v="CH NOEL"/>
        <s v="81 CHE CASTERA"/>
        <s v="1 ROUTE DE SAINT SEVER"/>
        <s v="22 rue joseph de laurens"/>
        <s v="892 RTE HERM"/>
        <s v="2006 route de cluquelardit"/>
        <s v="535 route de cluquelardit"/>
        <s v=" route de cluquelardit"/>
        <s v="12 chemin  de maisonnave"/>
        <s v="3583 ROUTE DE CLUQUELARDIT"/>
        <s v="2100 route du marquis"/>
        <s v="2042 route du marquis"/>
        <s v="1958 route du marquis"/>
        <s v="185 ROUTE DE JACQUELOUS"/>
        <s v="59 ROUTE DE MARUCHE"/>
        <s v="1067 route de maruche"/>
        <s v="1465 CHE DU GNOURAT"/>
        <s v="59 CHEMIN DE LA GRANGE"/>
        <s v="165 CHEMIN DE LA GRANGE"/>
        <s v="1523 route de tachette "/>
        <s v="425 impasse des genets"/>
        <s v="ROUTE D ARDY"/>
        <s v="613 ROUTE DE HERM"/>
        <s v="1217 ROUTE DE CASTETS"/>
        <s v="1972 AVENUE DE SAINT SEVER"/>
        <s v="160 ROUTE DE GORDES"/>
        <s v="1 RUE DES GAZELLES"/>
        <s v="15 AV ALBRET"/>
        <s v=" 8 R PONT BATTANT"/>
        <s v="3 AV ARMAGNAC"/>
        <s v="21 RTE LACS"/>
        <s v="RTE SAINT JEAN"/>
        <s v="R PIERRE RISPAL"/>
        <s v="ANTOINETTE"/>
        <s v="AV PAYS BASQUE"/>
        <s v="RTE LAGLORIEUSE"/>
        <s v="IMP BERTHEUIL"/>
        <s v="218 CHEMIN POUCHIOU"/>
        <s v="RTE MUS"/>
        <s v="10 RUE JULES FERRY"/>
        <s v="607 RTE MOUGNAN"/>
        <s v="150 ROUTE DE PEYRE"/>
        <s v="277 R JULES FERRY"/>
        <s v="MENGELY"/>
        <s v="157 AV ECOLES"/>
        <s v=" ALLS D HAUSSEZ"/>
        <s v="LOUBERE"/>
        <s v="ROUTE DE PEYRE"/>
        <s v="LA GARE"/>
        <s v="457 CHE CAM NEOU"/>
        <s v="CHE TRAPPE"/>
        <s v="214 AV D'ALBRET"/>
        <s v="2450 RTE DE HERM"/>
        <s v="2330 route de Herm"/>
        <s v="3490 ROUTE DE CASTETS"/>
        <s v="884 AV HOSSELEYRE"/>
        <s v="1145 RTE DE DAX"/>
        <s v="4548 av des lacs"/>
        <s v="782 ALL DU CHATEAU"/>
        <s v="696 CHEMIN DE LA HOUN DOU CORN"/>
        <s v="1229 LA PLAINE DU VIGNAU"/>
        <s v="2290 CHE BAS DE HAUT"/>
        <s v="11 RUE DE BIARRITZ"/>
        <s v="2000 ROUTE DES BARTHES"/>
        <s v="1076 RTE DE HAUT MAUCO"/>
        <s v="1116 route de cluquelardit"/>
        <s v="360 AVENUE DU PRESIDENT JOHN KENNEDY"/>
        <s v="5396 AVENUE DES LACS"/>
        <s v="1515 ALL D'ARDY"/>
        <s v="332 CHEMIN DES ARTIFICIERS"/>
        <s v="ROUTE DE TOINE"/>
        <s v="1330 ROUTE DE LA BASE"/>
        <s v="4667 Route de CERE"/>
        <s v="606 ROUTE LANDE DE MOUILLERAT"/>
        <s v="645 ROUTE DU CAMPAS"/>
        <s v="2120 ROUTE DU MARQUIS"/>
        <s v=" ROUTE DE ROQUEFORT"/>
        <s v="683 POUY"/>
        <s v=" 570 AV MARSAN"/>
        <s v="RTE CALOY"/>
        <s v="CHEMIN DE PEROU"/>
        <s v="ROUTE DE PAU"/>
        <s v="160 route de Gorges"/>
        <s v="23 R MONTMARTRE"/>
        <s v="RTE GUIRETTE"/>
        <s v="CHEMIN DE LABARRERE"/>
        <s v="R NAZ DE GUIT"/>
        <s v=" IMP SENDU"/>
        <s v="RTE DU CHATEAU D EAU"/>
        <s v=" 781 GOURGUES"/>
        <s v="94 CH DE DUGRAND"/>
        <s v="CHE LASTOUYES"/>
        <s v="ROUTE DE CHANTEGRIT"/>
        <s v=" 105 CHEMIN DU BARRADE"/>
        <s v="250 AV DE LA CHESNAIE"/>
        <s v="1 QUA L HABITANT"/>
        <s v="LOT DE PEGUIRAOUT"/>
        <s v="RTE DE DAMOULENS"/>
        <s v="2711 ROUTE DE PUJO"/>
        <s v="78 ROUTE DE CORBLUE"/>
        <s v="62 AVENUE DU MARSAN"/>
        <s v="126 CHE LARROUJE"/>
        <s v="ALLEE DE L EGLISE"/>
        <s v="LASSERRE"/>
        <s v="10 RTE LOUSTALAS"/>
        <s v=" 64 MOULIN"/>
        <s v="RTE BROCAS"/>
        <s v="AV BEARN"/>
        <s v="IMPASSE DES ALLEES"/>
        <s v=" 4 CH PISCINE"/>
        <s v="1060 CH DU REY"/>
        <s v=" AV OCEAN"/>
        <s v="  RTE DE LUY DE FRANCE"/>
        <m/>
        <s v="510 route de herm" u="1"/>
        <s v="10 RUE DE LA TAUPE" u="1"/>
        <s v="1340 CH DES CAMINES" u="1"/>
        <s v="4 R DES CHASSEURS" u="1"/>
        <s v="95 CHE DE LARAUGAT" u="1"/>
        <s v="AVENUE DE CANENX" u="1"/>
        <s v="369 ROUTE DE BUGLOSE" u="1"/>
        <s v="295 RTE DAX" u="1"/>
        <s v=" 595 RTE DE MOUNIC" u="1"/>
        <s v="13 R GENDARMERIE" u="1"/>
        <s v="173 CHE FABERES" u="1"/>
      </sharedItems>
    </cacheField>
    <cacheField name="CAFF" numFmtId="0">
      <sharedItems containsNonDate="0" containsString="0" containsBlank="1"/>
    </cacheField>
    <cacheField name="DT" numFmtId="0">
      <sharedItems containsDate="1" containsString="0" containsBlank="1" containsMixedTypes="1" minDate="2025-03-03T00:00:00" maxDate="2025-07-27T00:00:00"/>
    </cacheField>
    <cacheField name="N°DT" numFmtId="0">
      <sharedItems containsBlank="1"/>
    </cacheField>
    <cacheField name="DTA" numFmtId="0">
      <sharedItems containsNonDate="0" containsString="0" containsBlank="1"/>
    </cacheField>
    <cacheField name="PV" numFmtId="0">
      <sharedItems containsNonDate="0" containsString="0" containsBlank="1"/>
    </cacheField>
    <cacheField name="CTC" numFmtId="0">
      <sharedItems containsNonDate="0" containsString="0" containsBlank="1"/>
    </cacheField>
    <cacheField name="COMMENTAIRES" numFmtId="0">
      <sharedItems containsBlank="1"/>
    </cacheField>
    <cacheField name="MOIS" numFmtId="0">
      <sharedItems containsString="0" containsBlank="1" containsNumber="1" containsInteger="1" minValue="1" maxValue="12" count="13">
        <n v="12"/>
        <n v="1"/>
        <m/>
        <n v="4"/>
        <n v="2"/>
        <n v="6"/>
        <n v="5"/>
        <n v="10"/>
        <n v="3"/>
        <n v="9"/>
        <n v="7"/>
        <n v="11"/>
        <n v="8"/>
      </sharedItems>
    </cacheField>
    <cacheField name="ANNEE" numFmtId="0">
      <sharedItems containsString="0" containsBlank="1" containsNumber="1" containsInteger="1" minValue="1900" maxValue="2025" count="9">
        <n v="2023"/>
        <n v="2025"/>
        <n v="1990"/>
        <n v="2024"/>
        <m/>
        <n v="1900"/>
        <n v="2021"/>
        <n v="2022"/>
        <n v="202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19.332899421293" createdVersion="8" refreshedVersion="8" minRefreshableVersion="3" recordCount="8" xr:uid="{9CCAADCE-D63E-4A6A-BA00-02301D882F2A}">
  <cacheSource type="worksheet">
    <worksheetSource ref="A1:T6" sheet="VUE GLOBAL"/>
  </cacheSource>
  <cacheFields count="18">
    <cacheField name="ND" numFmtId="0">
      <sharedItems containsBlank="1" count="10">
        <s v="MEN"/>
        <s v="ROD"/>
        <m/>
        <s v="GDP AQ"/>
        <s v="SPI AQ"/>
        <s v="QPR-CRO"/>
        <s v="SPI BRETAGNE "/>
        <s v="BAY" u="1"/>
        <s v="DAX / MDM" u="1"/>
        <s v="PAU" u="1"/>
      </sharedItems>
    </cacheField>
    <cacheField name="NB DE DOSSIERS" numFmtId="0">
      <sharedItems containsString="0" containsBlank="1" containsNumber="1" containsInteger="1" minValue="84" maxValue="255"/>
    </cacheField>
    <cacheField name="DRE KO" numFmtId="0">
      <sharedItems containsString="0" containsBlank="1" containsNumber="1" containsInteger="1" minValue="5" maxValue="36"/>
    </cacheField>
    <cacheField name="VT A FAIRE" numFmtId="0">
      <sharedItems containsString="0" containsBlank="1" containsNumber="1" containsInteger="1" minValue="0" maxValue="67"/>
    </cacheField>
    <cacheField name="RETOUR VT" numFmtId="0">
      <sharedItems containsString="0" containsBlank="1" containsNumber="1" containsInteger="1" minValue="0" maxValue="18"/>
    </cacheField>
    <cacheField name="DOSS A REPRENDRE" numFmtId="0">
      <sharedItems containsString="0" containsBlank="1" containsNumber="1" containsInteger="1" minValue="0" maxValue="9"/>
    </cacheField>
    <cacheField name="ATT INFOS CAF REF" numFmtId="0">
      <sharedItems containsString="0" containsBlank="1" containsNumber="1" containsInteger="1" minValue="0" maxValue="16"/>
    </cacheField>
    <cacheField name="DOSS A MONTER" numFmtId="0">
      <sharedItems containsString="0" containsBlank="1" containsNumber="1" containsInteger="1" minValue="0" maxValue="8"/>
    </cacheField>
    <cacheField name="ATT DEVIS ORANGE/RIP" numFmtId="0">
      <sharedItems containsBlank="1" containsMixedTypes="1" containsNumber="1" containsInteger="1" minValue="0" maxValue="59"/>
    </cacheField>
    <cacheField name="ATT DEVIS CLIENT" numFmtId="0">
      <sharedItems containsBlank="1" containsMixedTypes="1" containsNumber="1" containsInteger="1" minValue="2" maxValue="19"/>
    </cacheField>
    <cacheField name="ATT TRAVAUX CLIENT" numFmtId="0">
      <sharedItems containsBlank="1" containsMixedTypes="1" containsNumber="1" containsInteger="1" minValue="14" maxValue="46"/>
    </cacheField>
    <cacheField name="ATT PV" numFmtId="0">
      <sharedItems containsString="0" containsBlank="1" containsNumber="1" containsInteger="1" minValue="4" maxValue="14"/>
    </cacheField>
    <cacheField name="ATT DTA " numFmtId="0">
      <sharedItems containsBlank="1" containsMixedTypes="1" containsNumber="1" containsInteger="1" minValue="0" maxValue="3"/>
    </cacheField>
    <cacheField name="ATT COMAC/CAPFT" numFmtId="0">
      <sharedItems containsBlank="1" containsMixedTypes="1" containsNumber="1" containsInteger="1" minValue="0" maxValue="2"/>
    </cacheField>
    <cacheField name="ATT MAJ SI " numFmtId="0">
      <sharedItems containsBlank="1" containsMixedTypes="1" containsNumber="1" containsInteger="1" minValue="0" maxValue="5"/>
    </cacheField>
    <cacheField name="POI EN TRAVAUX" numFmtId="0">
      <sharedItems containsBlank="1" containsMixedTypes="1" containsNumber="1" containsInteger="1" minValue="23" maxValue="71"/>
    </cacheField>
    <cacheField name="POI EN FACTU " numFmtId="0">
      <sharedItems containsBlank="1" containsMixedTypes="1" containsNumber="1" containsInteger="1" minValue="4" maxValue="141"/>
    </cacheField>
    <cacheField name="ETAT 5" numFmtId="0">
      <sharedItems containsBlank="1" containsMixedTypes="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19.332899537039" createdVersion="8" refreshedVersion="8" minRefreshableVersion="3" recordCount="204" xr:uid="{F8485EDE-80B8-4804-96B4-DDB67A2843C5}">
  <cacheSource type="worksheet">
    <worksheetSource ref="A2:M1048576" sheet="QPR-CRO"/>
  </cacheSource>
  <cacheFields count="16">
    <cacheField name="EXPORT" numFmtId="0">
      <sharedItems containsBlank="1"/>
    </cacheField>
    <cacheField name="DATE" numFmtId="0">
      <sharedItems containsNonDate="0" containsDate="1" containsString="0" containsBlank="1" minDate="2025-09-08T00:00:00" maxDate="2025-12-27T00:00:00"/>
    </cacheField>
    <cacheField name="DRE" numFmtId="0">
      <sharedItems containsDate="1" containsBlank="1" containsMixedTypes="1" minDate="1899-12-30T00:00:00" maxDate="2025-12-27T00:00:00" count="73">
        <e v="#N/A"/>
        <d v="2025-09-18T00:00:00"/>
        <d v="2025-09-08T00:00:00"/>
        <d v="2025-09-19T00:00:00"/>
        <d v="2025-09-29T00:00:00"/>
        <d v="2025-09-16T00:00:00"/>
        <d v="2025-09-17T00:00:00"/>
        <d v="2025-09-22T00:00:00"/>
        <d v="2025-10-22T00:00:00"/>
        <d v="2025-10-06T00:00:00"/>
        <d v="2025-11-05T00:00:00"/>
        <d v="2025-09-30T00:00:00"/>
        <d v="2025-10-10T00:00:00"/>
        <d v="2025-10-17T00:00:00"/>
        <d v="2025-09-25T00:00:00"/>
        <d v="2025-09-26T00:00:00"/>
        <d v="2025-09-23T00:00:00"/>
        <d v="2025-09-24T00:00:00"/>
        <d v="2025-10-20T00:00:00"/>
        <d v="2025-09-12T00:00:00"/>
        <d v="2025-09-15T00:00:00"/>
        <d v="2025-11-17T00:00:00"/>
        <d v="2025-12-01T00:00:00"/>
        <d v="2025-10-09T00:00:00"/>
        <d v="2025-12-26T00:00:00"/>
        <d v="2025-10-01T00:00:00"/>
        <d v="2025-12-15T00:00:00"/>
        <d v="2025-12-22T00:00:00"/>
        <d v="2025-11-14T00:00:00"/>
        <d v="2025-12-08T00:00:00"/>
        <d v="2025-10-15T00:00:00"/>
        <d v="2025-10-07T00:00:00"/>
        <m/>
        <d v="2025-08-04T00:00:00" u="1"/>
        <d v="2025-08-06T00:00:00" u="1"/>
        <d v="2025-07-29T00:00:00" u="1"/>
        <d v="2025-08-05T00:00:00" u="1"/>
        <d v="2025-07-30T00:00:00" u="1"/>
        <d v="2025-08-18T00:00:00" u="1"/>
        <d v="2025-08-01T00:00:00" u="1"/>
        <d v="2025-07-28T00:00:00" u="1"/>
        <d v="2025-09-01T00:00:00" u="1"/>
        <d v="2025-08-11T00:00:00" u="1"/>
        <d v="2025-07-31T00:00:00" u="1"/>
        <d v="2025-08-13T00:00:00" u="1"/>
        <d v="2025-08-20T00:00:00" u="1"/>
        <d v="2025-08-08T00:00:00" u="1"/>
        <d v="2025-08-19T00:00:00" u="1"/>
        <d v="2025-08-22T00:00:00" u="1"/>
        <d v="2025-08-25T00:00:00" u="1"/>
        <d v="2025-08-12T00:00:00" u="1"/>
        <d v="2025-08-03T00:00:00" u="1"/>
        <d v="2025-07-25T00:00:00" u="1"/>
        <d v="2025-09-10T00:00:00" u="1"/>
        <d v="2025-07-22T00:00:00" u="1"/>
        <d v="2025-07-15T00:00:00" u="1"/>
        <d v="2025-07-11T00:00:00" u="1"/>
        <d v="2025-07-16T00:00:00" u="1"/>
        <d v="2025-07-18T00:00:00" u="1"/>
        <d v="2025-07-21T00:00:00" u="1"/>
        <d v="2025-07-17T00:00:00" u="1"/>
        <d v="2025-07-24T00:00:00" u="1"/>
        <d v="2025-06-23T00:00:00" u="1"/>
        <d v="2025-07-07T00:00:00" u="1"/>
        <d v="2025-06-21T00:00:00" u="1"/>
        <d v="2025-06-25T00:00:00" u="1"/>
        <d v="2025-06-30T00:00:00" u="1"/>
        <d v="2025-07-08T00:00:00" u="1"/>
        <s v="24/06/205" u="1"/>
        <d v="2025-10-30T00:00:00" u="1"/>
        <d v="2025-06-27T00:00:00" u="1"/>
        <d v="1899-12-30T00:00:00" u="1"/>
        <d v="2025-05-12T00:00:00" u="1"/>
      </sharedItems>
    </cacheField>
    <cacheField name="ETAT" numFmtId="0">
      <sharedItems containsBlank="1" count="26">
        <s v="15 POI FACTU"/>
        <s v="14.1 AT RETOUR DOE"/>
        <s v="14 POI EN TRAVAUX"/>
        <s v="13 ETAT 5"/>
        <s v="12 AT MAJ SI"/>
        <s v="10 AT PV"/>
        <s v="07 AT TRVX CLIENT"/>
        <s v="06 AT DEVIS CLIENT"/>
        <s v="05 AT INFO CAF REF"/>
        <s v="04 DOSSIER A MONTER"/>
        <s v="03 DOSSIER A REPRENDRE"/>
        <s v="02 RETOUR VT"/>
        <s v="01 AT VT"/>
        <m/>
        <s v="ATT DEVIS CLIENT" u="1"/>
        <s v="ATT DEVIS ORANGE/RIP" u="1"/>
        <s v="ATT INFOS CAF REF" u="1"/>
        <s v="ATT PV" u="1"/>
        <s v="ATT TRVX CLIENT" u="1"/>
        <s v="DOSSIER A MONTER" u="1"/>
        <s v="DOSSIER A REPRENDRE" u="1"/>
        <s v="ETAT 5" u="1"/>
        <s v="POI EN FACTU" u="1"/>
        <s v="POI EN TRAVAUX" u="1"/>
        <s v="RETOUR VT" u="1"/>
        <s v="VT A FAIRE" u="1"/>
      </sharedItems>
    </cacheField>
    <cacheField name="POI" numFmtId="0">
      <sharedItems containsBlank="1"/>
    </cacheField>
    <cacheField name="SJ" numFmtId="0">
      <sharedItems containsBlank="1" count="26">
        <s v="QL"/>
        <s v="QQ"/>
        <s v="SQ"/>
        <s v="5Y"/>
        <s v="5S"/>
        <s v="TP"/>
        <s v="F9"/>
        <s v="KA"/>
        <s v="JG"/>
        <s v="5Q"/>
        <m/>
        <s v="ZJ"/>
        <s v="WY"/>
        <s v="5Z"/>
        <s v="A5"/>
        <s v="HP"/>
        <s v="F6"/>
        <s v="JH"/>
        <s v="7C"/>
        <s v="UG"/>
        <s v="B3"/>
        <s v="KD"/>
        <s v="B6"/>
        <s v="BM"/>
        <s v="B2"/>
        <s v="BQ"/>
      </sharedItems>
    </cacheField>
    <cacheField name="VILLE" numFmtId="0">
      <sharedItems containsBlank="1" count="109">
        <s v="LE CROISTY"/>
        <s v="LANDEVANT"/>
        <s v="ARGENTRE DU PLESSIS"/>
        <s v="PLOUHINEC"/>
        <s v="GOUESNACH"/>
        <s v="MOELAN SUR MER"/>
        <s v="THORIGNE FOUILLARD"/>
        <s v="QUIMPER"/>
        <s v="BULEON"/>
        <s v="ELVEN"/>
        <s v="LANDUJAN"/>
        <s v="PLOBANNALEC LESCONIL"/>
        <s v="PLOGASTEL ST GERMAIN"/>
        <s v="PLONEOUR LANVERN"/>
        <s v="PLOZEVET"/>
        <m/>
        <s v="BRIEC"/>
        <s v="QUEMENEVEN"/>
        <s v="LOCTUDY"/>
        <s v="LORIENT"/>
        <s v="RENNES"/>
        <s v="PLUMELIAU BIEUZY"/>
        <s v="TOURCH"/>
        <s v="LANVEOC"/>
        <s v="CHATEAUGIRON"/>
        <s v="PLOMEUR"/>
        <s v="BERRIC"/>
        <s v="SAINT CARADEC TREGOMEL"/>
        <s v="QUIBERON"/>
        <s v="REGUINY"/>
        <s v="RIEC SUR BELON"/>
        <s v="TELGRUC SUR MER"/>
        <s v="GOURIN"/>
        <s v="GUILVINEC"/>
        <s v="PLUGUFFAN"/>
        <s v="COMBRIT"/>
        <s v="BAINS SUR OUST"/>
        <s v="NEVEZ"/>
        <s v="TREFFIAGAT"/>
        <s v="FOUESNANT"/>
        <s v="REDON"/>
        <s v="RETIERS"/>
        <s v="LOCMINE"/>
        <s v="PAIMPONT"/>
        <s v="CROZON"/>
        <s v="ORGERES"/>
        <s v="TREGUNC"/>
        <s v="RADENAC"/>
        <s v="PIRE CHANCE"/>
        <s v="PLOUHARNEL"/>
        <s v="VAL D IZE"/>
        <s v="MEILARS"/>
        <s v="ETRELLES"/>
        <s v="VITRE"/>
        <s v="CAST"/>
        <s v="PLOEMEUR"/>
        <s v="INZINZAC LOCHRIST"/>
        <s v="TREOGAT"/>
        <s v="LONGAULNAY"/>
        <s v="CAUDAN"/>
        <s v="SAINT GUYOMARD"/>
        <s v="PENMARCH"/>
        <s v="LANGONNET"/>
        <s v="GAEL"/>
        <s v="INGUINIEL"/>
        <s v="LANDEVENNEC"/>
        <s v="SAINT NIC"/>
        <s v="SAINT JEAN BREVELAY"/>
        <s v="SURZUR"/>
        <s v="LE COURS"/>
        <s v="QUERRIEN"/>
        <s v="PLEUMELEUC"/>
        <s v="GUIDEL"/>
        <s v="ARGOL"/>
        <s v="CHATEAULIN"/>
        <s v=" AVESSAC"/>
        <s v="AUDIERNE"/>
        <s v="BENODET"/>
        <s v="BRECH"/>
        <s v="MESLAN"/>
        <s v="MONTAUBAN DE BRETAGNE"/>
        <s v="THEIX NOYALO"/>
        <s v="TREAL"/>
        <s v="SAINT GRAVE"/>
        <s v="PLOUAY"/>
        <s v="QUEVEN"/>
        <s v="CALAN"/>
        <s v="PONT L ABBE"/>
        <s v="LARMOR PLAGE"/>
        <s v="TREMEOC"/>
        <s v="BRANDERION"/>
        <s v="PONT SCORFF"/>
        <s v="POULLAN SUR MER"/>
        <s v="SAINTE ANNE D AURAY"/>
        <s v="GUISCRIFF"/>
        <s v="MALGUENAC"/>
        <s v="LANGUIDIC"/>
        <s v="PLEUVEN"/>
        <s v="DOMALAIN"/>
        <s v="GUERN"/>
        <s v="LOCMALO"/>
        <s v="LE CROUAIS"/>
        <s v="BOURG DES COMPTES"/>
        <s v="BEUZEC CAP SIZUN" u="1"/>
        <s v="PLOEVEN" u="1"/>
        <s v="ROSPORDEN" u="1"/>
        <s v="MUZILLAC" u="1"/>
        <s v="PONT AVEN" u="1"/>
        <s v="TREGARVAN" u="1"/>
      </sharedItems>
    </cacheField>
    <cacheField name="ADRESSE" numFmtId="0">
      <sharedItems containsBlank="1" count="192">
        <s v="R DES SPORTS"/>
        <s v="RUE ANNE DE BRETAGNE"/>
        <s v="RUE BERTHE MORISOT"/>
        <s v="20 R DE LA CROIX DONNART"/>
        <s v="HAMEAU DE KER BLEUN"/>
        <s v="RUE DU DRIASKER"/>
        <s v="RUE DU PORT DU BELON"/>
        <s v="ALLEE DE BOURGOGNE "/>
        <s v="12 R BECQUEREL"/>
        <s v="KERGUIGNO"/>
        <s v="6 LD KERBLAY"/>
        <s v="3 RUE DE MAROC"/>
        <s v="2B RUE DE KARREK KREIZ"/>
        <s v="12 STAN KELERON"/>
        <s v="18B RUE LESTREVET POULOU"/>
        <s v="9B RUE DES VANNEAUX"/>
        <m/>
        <s v="KERVENNOU NEVEZ"/>
        <s v="TY FORN"/>
        <s v="25 RUE DU PORT"/>
        <s v="6 RUE EUGENE ANTHIOME"/>
        <s v="34 RUE VASSELOT "/>
        <s v="10 IMP DES NENUPHARS"/>
        <s v="R DE LA GARE"/>
        <s v="26 RUE DE TAL AR GROAS"/>
        <s v="7 BEAUJARDIN"/>
        <s v="RUE AR C HOAJOU"/>
        <s v="TREMOHAR"/>
        <s v="LANN ER MARECHAL"/>
        <s v="RUE DU PORT DE PECHE"/>
        <s v="R GUY ROPARTZ"/>
        <s v="RUE DE KERGOALABRE"/>
        <s v="23 RUE FEUNTEN VEN"/>
        <s v="33B RUE DU PETIT BOIS "/>
        <s v="CRANN PIPIDIC"/>
        <s v="4 QUA DE LA MARINE"/>
        <s v="30A RUE SANT TREVEL"/>
        <s v="ROUTE DE LEUBIN"/>
        <s v="_x0009_2B IMP DU MOGUER"/>
        <s v="1 LA LANDE DES 4 VENTS"/>
        <s v="11 T LD KERSTANG"/>
        <s v="16 AV DU 8 MAI 1945"/>
        <s v="2 LD MENGLEUX"/>
        <s v="4 RUE DE KERGOADIG"/>
        <s v="21 R DES GENETS"/>
        <s v="IMP ALOUETTES"/>
        <s v="LD ER VAMEN"/>
        <s v="6 RUE DE SAINT BARTHELEMY "/>
        <s v="6 LD LA GERARDAIS"/>
        <s v="1 RUE JACQUES CARTIER"/>
        <s v="GUE AUX MOINES "/>
        <s v="LD PERSUEL"/>
        <s v="26 RUE DU COTEAU "/>
        <s v="ROUTE DE KERSIDAN"/>
        <s v="_x0009_5 R DES SABOTIERS"/>
        <s v="HENT LESTREZIVIT"/>
        <s v="39 RUE AR MEINEIER"/>
        <s v=" 18 RUE DE CHATEAUGIRON "/>
        <s v="PL DE RUTHIN"/>
        <s v="RUE KERNIZAN"/>
        <s v="LD LES NACHARDAIS"/>
        <s v="295 IMP DE MENEZ BRAS"/>
        <s v="17  RUE NORMAND D ETRELLES"/>
        <s v="16 ALL DU MAIL "/>
        <s v="12 RUE DES JONQUILLES"/>
        <s v="19 RUE NORMAND D ETRELLES"/>
        <s v="7D RUE DE PEN AR PRAT"/>
        <s v="RUE DU MOULIN DU TER"/>
        <s v="MAIL FRANCOIS GIOVANELLI"/>
        <s v="LD KERGLEUHAN LAEZ"/>
        <s v="BD RENE LAENNEC"/>
        <s v="15 ALL RENE BAZIN"/>
        <s v="_x0009_LD LAHADIC"/>
        <s v="4B LD AUDRY "/>
        <s v="R DE LA CROIX DONNART"/>
        <s v="RUE MARIE HOUDE"/>
        <s v="13 RUE PASTEUR"/>
        <s v="1 RUE MARECHAL LECLERC"/>
        <s v="_x0009_LAUN BIJUS"/>
        <s v="12 RUE DE LA MARINE"/>
        <s v="5B R DE MEJOU VEIL"/>
        <s v="RESTANGOASGUEN"/>
        <s v="16 RUE DU LIEUTENANT GUILLARD"/>
        <s v="BOTSCAVE"/>
        <s v="RUE DES MESANGES"/>
        <s v="R DE BOISTRUDAN"/>
        <s v="1 R DU STADE"/>
        <s v="R DES TULIPES"/>
        <s v="LA FORET"/>
        <s v="2 RUE ABER"/>
        <s v="LIEU DIT PERSUEL"/>
        <s v="95 BD VOLTAIRE"/>
        <s v="12 BD SLIGO"/>
        <s v="1 R PLAGE"/>
        <s v="R BELLEVUE"/>
        <s v="4 VEN DE REIMS"/>
        <s v="1 IMP DES AJONCS"/>
        <s v="KERBRANQUET"/>
        <s v="KERVAGAT"/>
        <s v="6 RUE DE L EPINETTE"/>
        <s v="765 ROUTE DE COAT PIN"/>
        <s v="ROUTE DE KERNIVINEN"/>
        <s v="1 RUE DU LAEZRON"/>
        <s v="BD FRANCOIS MITTERRAND"/>
        <s v="A CROIX DU BILAIS "/>
        <s v="BOULEVARD JEAN MOULIN"/>
        <s v="RUE MARIE PASTEUR"/>
        <s v="2 LE GUERN"/>
        <s v="50 RUE PIERRE ALLIO"/>
        <s v="498 LD TY OULIN"/>
        <s v="KERVRECH NEVE"/>
        <s v="49 RUE DE ROMILLE"/>
        <s v="ZI PENDREFF"/>
        <s v="LD KERALLAN"/>
        <s v="_x0009_46 RUE DE PORT HALIGUEN"/>
        <s v="7 QU OCEAN"/>
        <s v="BD LA TOUR D AUVERGNE"/>
        <s v="RUE DE LA PAIX"/>
        <s v="12 ALL BRURAL"/>
        <s v="25  RUE NATIONALE 12"/>
        <s v="R DU COLLEGE"/>
        <s v="LA MARCHE"/>
        <s v="RUE DE RENNES"/>
        <s v="1 IMP DU KOH CAPIN"/>
        <s v="RUE BONNE FONTAINE"/>
        <s v="ZA LANVAUX"/>
        <s v="KERPRAT "/>
        <s v="1 R EDOUARD HERRIOT"/>
        <s v="HENT REUNIOU"/>
        <s v="2 PLACE DE L EGLISE"/>
        <s v="RUE JEANNE D ARC"/>
        <s v="38 RUE LA TOUR D AUVERGNE"/>
        <s v="11 RUE DES ARCHITECTES"/>
        <s v="ROSCELOU COZ"/>
        <s v="22 RUE GUILLAUME PERRON"/>
        <s v="26 RUE EDOUARD CADIC"/>
        <s v="RUE YVONNE CHAUFFIN"/>
        <s v="15 R DU VIEUX MOULIN"/>
        <s v="3Q RTE DE POULMIC"/>
        <s v="KERVIGNAC"/>
        <s v="R 5 AOUT 1944"/>
        <s v="5 CHEMINS"/>
        <s v="LE SENCE"/>
        <s v="RUE GEORGE SAND"/>
        <s v="37B RTE MELGVEN"/>
        <s v="7B CH DES TOURTERELLES"/>
        <s v="KERMIRIETTE"/>
        <s v="CHE KILOURIN"/>
        <s v="0 RUE YVONNE CHAUFFIN"/>
        <s v="KERGADORET"/>
        <s v="IMP KERMOR BIHAN"/>
        <s v="RUE DU PARADET"/>
        <s v="RUE NOTRE DAME DE LOURDES"/>
        <s v="KERANDRAON"/>
        <s v="BOTLEVENANT"/>
        <s v=" KERAURAY"/>
        <s v="PONT MEEN"/>
        <s v="_x0009_R DES ANEMONES"/>
        <s v="BEL AIR"/>
        <s v="LA GREE GUISSONNIERE"/>
        <s v="_x0009_6B RTE DE MENGLEUS" u="1"/>
        <s v="_x0009_2B RUE COROT" u="1"/>
        <s v="PL DE LA FORGE" u="1"/>
        <s v="8 LD KEROUE" u="1"/>
        <s v="RUE MARIE DORVAL" u="1"/>
        <s v="KERMANACH " u="1"/>
        <s v="RUE LANN ILIS" u="1"/>
        <s v="RTE DE MESTREZEC" u="1"/>
        <s v="RUE DE PORZ MOELAN" u="1"/>
        <s v="353 RUE PIERRE ET JEAN DUPOUY" u="1"/>
        <s v="27 COAT MET" u="1"/>
        <s v="_x0009_13A STRA LAGAD YAR" u="1"/>
        <s v="7 RUE DES SPORTS" u="1"/>
        <s v="253 LA HUTTE AUX RENARDS" u="1"/>
        <s v="_x0009_13 RUE PASTEUR" u="1"/>
        <s v="_x0009_R SORBIERS" u="1"/>
        <s v="our" u="1"/>
        <s v="_x0009_MOULIN DU CHAT" u="1"/>
        <s v="R DE SCAER" u="1"/>
        <s v="RUE DE L ODET" u="1"/>
        <s v="307 R DE KERBONNEVEZ" u="1"/>
        <s v="R DU 19 MARS" u="1"/>
        <s v="KERONTEC" u="1"/>
        <s v="_x0009_LD MENEZ KERGUELEN" u="1"/>
        <s v="R DES ABBES TANGUY" u="1"/>
        <s v="52 R DES BRUYERES" u="1"/>
        <s v="_x0009_PL DE LA FORGE" u="1"/>
        <s v="_x0009_8 PENDREV VIHAN" u="1"/>
        <s v="29 AV DE FOUESNANT" u="1"/>
        <s v="120 KERDUDAL" u="1"/>
        <s v="_x0009_38 R DE LA FONTAINE" u="1"/>
        <s v="4B RUE DE PENFEUNTEUN" u="1"/>
      </sharedItems>
    </cacheField>
    <cacheField name="DATE VT" numFmtId="14">
      <sharedItems containsDate="1" containsBlank="1" containsMixedTypes="1" minDate="2025-06-17T00:00:00" maxDate="2025-09-18T00:00:00"/>
    </cacheField>
    <cacheField name="COMMENATIRES" numFmtId="0">
      <sharedItems containsBlank="1" containsMixedTypes="1" containsNumber="1" containsInteger="1" minValue="2" maxValue="2"/>
    </cacheField>
    <cacheField name="DATE CREATION" numFmtId="0">
      <sharedItems containsNonDate="0" containsDate="1" containsString="0" containsBlank="1" minDate="2020-12-10T00:00:00" maxDate="2025-12-22T00:00:00"/>
    </cacheField>
    <cacheField name="DATE RECU" numFmtId="0">
      <sharedItems containsNonDate="0" containsDate="1" containsString="0" containsBlank="1" minDate="2025-06-12T00:00:00" maxDate="2025-09-18T00:00:00"/>
    </cacheField>
    <cacheField name="CTC" numFmtId="0">
      <sharedItems containsNonDate="0" containsString="0" containsBlank="1"/>
    </cacheField>
    <cacheField name="CAFF" numFmtId="0">
      <sharedItems containsBlank="1"/>
    </cacheField>
    <cacheField name="MOIS" numFmtId="0">
      <sharedItems containsString="0" containsBlank="1" containsNumber="1" containsInteger="1" minValue="1" maxValue="12" count="13">
        <n v="8"/>
        <n v="6"/>
        <n v="7"/>
        <n v="5"/>
        <n v="4"/>
        <n v="2"/>
        <n v="11"/>
        <n v="1"/>
        <n v="3"/>
        <n v="10"/>
        <n v="9"/>
        <n v="12"/>
        <m/>
      </sharedItems>
    </cacheField>
    <cacheField name="ANNEE" numFmtId="0">
      <sharedItems containsString="0" containsBlank="1" containsNumber="1" containsInteger="1" minValue="1900" maxValue="2025" count="6">
        <n v="2024"/>
        <n v="2023"/>
        <n v="2025"/>
        <n v="1900"/>
        <n v="2020"/>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19.332899537039" createdVersion="8" refreshedVersion="8" minRefreshableVersion="3" recordCount="229" xr:uid="{00000000-000A-0000-FFFF-FFFF90020000}">
  <cacheSource type="worksheet">
    <worksheetSource ref="A203:M203" sheet="MEN"/>
  </cacheSource>
  <cacheFields count="16">
    <cacheField name="EXPORT" numFmtId="0">
      <sharedItems containsBlank="1"/>
    </cacheField>
    <cacheField name="AGILIS" numFmtId="0">
      <sharedItems containsNonDate="0" containsDate="1" containsString="0" containsBlank="1" minDate="2025-09-17T00:00:00" maxDate="2026-07-21T00:00:00"/>
    </cacheField>
    <cacheField name="DRE" numFmtId="14">
      <sharedItems containsDate="1" containsBlank="1" containsMixedTypes="1" minDate="2025-01-10T00:00:00" maxDate="2026-07-21T00:00:00" count="157">
        <e v="#N/A"/>
        <d v="2025-09-30T00:00:00"/>
        <d v="2025-09-29T00:00:00"/>
        <d v="2025-09-26T00:00:00"/>
        <d v="2025-11-12T00:00:00"/>
        <d v="2025-10-27T00:00:00"/>
        <d v="2025-10-10T00:00:00"/>
        <d v="2025-09-19T00:00:00"/>
        <d v="2025-10-16T00:00:00"/>
        <d v="2026-02-04T00:00:00"/>
        <d v="2025-12-22T00:00:00"/>
        <d v="2026-02-05T00:00:00"/>
        <d v="2025-11-06T00:00:00"/>
        <d v="2025-10-15T00:00:00"/>
        <d v="2025-09-22T00:00:00"/>
        <d v="2025-10-06T00:00:00"/>
        <d v="2025-10-17T00:00:00"/>
        <d v="2025-10-13T00:00:00"/>
        <d v="2025-11-13T00:00:00"/>
        <d v="2025-12-30T00:00:00"/>
        <d v="2025-12-18T00:00:00"/>
        <d v="2025-09-25T00:00:00"/>
        <d v="2025-11-03T00:00:00"/>
        <d v="2025-10-21T00:00:00"/>
        <d v="2025-10-20T00:00:00"/>
        <d v="2025-10-29T00:00:00"/>
        <d v="2025-11-17T00:00:00"/>
        <d v="2025-12-05T00:00:00"/>
        <d v="2025-09-23T00:00:00"/>
        <d v="2025-11-18T00:00:00"/>
        <d v="2025-10-07T00:00:00"/>
        <d v="2025-12-01T00:00:00"/>
        <d v="2025-12-16T00:00:00"/>
        <d v="2026-07-20T00:00:00"/>
        <d v="2026-03-12T00:00:00"/>
        <d v="2025-09-17T00:00:00"/>
        <d v="2025-10-01T00:00:00"/>
        <m/>
        <d v="2025-08-05T00:00:00" u="1"/>
        <d v="2025-08-18T00:00:00" u="1"/>
        <d v="2025-07-30T00:00:00" u="1"/>
        <d v="2025-08-11T00:00:00" u="1"/>
        <d v="2025-08-25T00:00:00" u="1"/>
        <d v="2025-08-06T00:00:00" u="1"/>
        <d v="2025-07-31T00:00:00" u="1"/>
        <d v="2025-08-22T00:00:00" u="1"/>
        <d v="2025-09-05T00:00:00" u="1"/>
        <d v="2025-09-01T00:00:00" u="1"/>
        <d v="2025-08-20T00:00:00" u="1"/>
        <d v="2025-09-15T00:00:00" u="1"/>
        <d v="2025-08-04T00:00:00" u="1"/>
        <d v="2025-09-18T00:00:00" u="1"/>
        <d v="2025-07-24T00:00:00" u="1"/>
        <d v="2025-09-04T00:00:00" u="1"/>
        <d v="2025-08-01T00:00:00" u="1"/>
        <d v="2025-09-02T00:00:00" u="1"/>
        <d v="2025-08-26T00:00:00" u="1"/>
        <d v="2025-09-10T00:00:00" u="1"/>
        <d v="2025-08-28T00:00:00" u="1"/>
        <d v="2025-08-12T00:00:00" u="1"/>
        <d v="2026-01-29T00:00:00" u="1"/>
        <s v="-----" u="1"/>
        <d v="2025-08-08T00:00:00" u="1"/>
        <d v="2025-08-14T00:00:00" u="1"/>
        <d v="2025-08-07T00:00:00" u="1"/>
        <d v="2025-08-21T00:00:00" u="1"/>
        <d v="2025-08-10T00:00:00" u="1"/>
        <d v="2025-08-09T00:00:00" u="1"/>
        <d v="2025-07-25T00:00:00" u="1"/>
        <d v="2025-07-28T00:00:00" u="1"/>
        <d v="2025-07-15T00:00:00" u="1"/>
        <d v="2025-07-22T00:00:00" u="1"/>
        <d v="2025-07-29T00:00:00" u="1"/>
        <d v="2025-07-21T00:00:00" u="1"/>
        <d v="2025-07-16T00:00:00" u="1"/>
        <d v="2025-07-17T00:00:00" u="1"/>
        <d v="2025-07-11T00:00:00" u="1"/>
        <d v="2025-09-08T00:00:00" u="1"/>
        <d v="2025-07-18T00:00:00" u="1"/>
        <d v="2025-07-07T00:00:00" u="1"/>
        <d v="2025-07-03T00:00:00" u="1"/>
        <d v="2025-07-08T00:00:00" u="1"/>
        <d v="2025-06-24T00:00:00" u="1"/>
        <d v="2025-07-10T00:00:00" u="1"/>
        <d v="2025-06-30T00:00:00" u="1"/>
        <d v="2025-06-23T00:00:00" u="1"/>
        <d v="2025-06-26T00:00:00" u="1"/>
        <d v="2025-07-04T00:00:00" u="1"/>
        <d v="2025-06-20T00:00:00" u="1"/>
        <d v="2025-06-16T00:00:00" u="1"/>
        <d v="2025-07-02T00:00:00" u="1"/>
        <d v="2025-06-12T00:00:00" u="1"/>
        <d v="2025-06-27T00:00:00" u="1"/>
        <d v="2025-06-19T00:00:00" u="1"/>
        <d v="2025-06-25T00:00:00" u="1"/>
        <d v="2025-06-13T00:00:00" u="1"/>
        <d v="2025-06-18T00:00:00" u="1"/>
        <d v="2025-06-17T00:00:00" u="1"/>
        <d v="2025-05-02T00:00:00" u="1"/>
        <d v="2025-05-09T00:00:00" u="1"/>
        <d v="2025-06-22T00:00:00" u="1"/>
        <d v="2025-05-16T00:00:00" u="1"/>
        <d v="2025-06-10T00:00:00" u="1"/>
        <d v="2025-09-16T00:00:00" u="1"/>
        <d v="2025-06-06T00:00:00" u="1"/>
        <d v="2025-08-15T00:00:00" u="1"/>
        <d v="2025-05-20T00:00:00" u="1"/>
        <d v="2025-09-20T00:00:00" u="1"/>
        <d v="2025-06-11T00:00:00" u="1"/>
        <d v="2025-06-05T00:00:00" u="1"/>
        <d v="2025-05-30T00:00:00" u="1"/>
        <d v="2025-03-18T00:00:00" u="1"/>
        <d v="2025-06-09T00:00:00" u="1"/>
        <d v="2025-06-04T00:00:00" u="1"/>
        <d v="2025-06-03T00:00:00" u="1"/>
        <d v="2025-05-26T00:00:00" u="1"/>
        <d v="2025-05-23T00:00:00" u="1"/>
        <d v="2025-06-07T00:00:00" u="1"/>
        <d v="2025-06-02T00:00:00" u="1"/>
        <d v="2025-05-27T00:00:00" u="1"/>
        <d v="2025-05-28T00:00:00" u="1"/>
        <d v="2025-06-15T00:00:00" u="1"/>
        <d v="2025-04-30T00:00:00" u="1"/>
        <d v="2025-05-12T00:00:00" u="1"/>
        <d v="2025-05-22T00:00:00" u="1"/>
        <d v="2025-05-21T00:00:00" u="1"/>
        <d v="2025-07-13T00:00:00" u="1"/>
        <d v="2025-05-15T00:00:00" u="1"/>
        <d v="2025-05-19T00:00:00" u="1"/>
        <d v="2025-05-14T00:00:00" u="1"/>
        <d v="2025-08-29T00:00:00" u="1"/>
        <d v="2025-05-05T00:00:00" u="1"/>
        <d v="2025-05-13T00:00:00" u="1"/>
        <d v="2025-08-02T00:00:00" u="1"/>
        <d v="2025-05-07T00:00:00" u="1"/>
        <s v="1205/2025" u="1"/>
        <d v="2025-04-29T00:00:00" u="1"/>
        <d v="2025-04-25T00:00:00" u="1"/>
        <d v="2025-04-28T00:00:00" u="1"/>
        <d v="2025-04-22T00:00:00" u="1"/>
        <d v="2025-03-03T00:00:00" u="1"/>
        <d v="2025-04-15T00:00:00" u="1"/>
        <d v="2025-04-18T00:00:00" u="1"/>
        <d v="2025-03-05T00:00:00" u="1"/>
        <d v="2025-04-10T00:00:00" u="1"/>
        <d v="2025-04-07T00:00:00" u="1"/>
        <d v="2025-04-16T00:00:00" u="1"/>
        <d v="2025-04-11T00:00:00" u="1"/>
        <d v="2025-04-26T00:00:00" u="1"/>
        <d v="2025-04-17T00:00:00" u="1"/>
        <d v="2025-04-02T00:00:00" u="1"/>
        <d v="2025-03-28T00:00:00" u="1"/>
        <d v="2025-04-14T00:00:00" u="1"/>
        <d v="2025-03-31T00:00:00" u="1"/>
        <d v="2025-03-24T00:00:00" u="1"/>
        <d v="2025-01-10T00:00:00" u="1"/>
        <d v="2025-04-04T00:00:00" u="1"/>
      </sharedItems>
    </cacheField>
    <cacheField name="ETAT" numFmtId="0">
      <sharedItems containsBlank="1" count="30">
        <s v="15 POI FACTU"/>
        <s v="14.1 AT RETOUR DOE"/>
        <s v="14 POI EN TRAVAUX"/>
        <s v="13 ETAT 5"/>
        <s v="12 AT MAJ SI"/>
        <s v="10 AT PV"/>
        <s v="09 AT DEVIS ORANGE/RIP"/>
        <s v="08 AT COMAC/CAPFT"/>
        <s v="07 AT TRVX CLIENT"/>
        <s v="06 AT DEVIS CLIENT"/>
        <s v="05 AT INFO CAF REF"/>
        <s v="04 DOSSIER A MONTER"/>
        <s v="02 RETOUR VT"/>
        <s v="01 AT VT"/>
        <m/>
        <s v="ETAT 5" u="1"/>
        <s v="POI EN TRAVAUX" u="1"/>
        <s v="POI EN FACTU" u="1"/>
        <s v="ATT DEVIS CLIENT" u="1"/>
        <s v="ATT TRVX CLIENT" u="1"/>
        <s v="ATT MAJ SI" u="1"/>
        <s v="ATT COMAC/CAPFT" u="1"/>
        <s v="ATT INFOS CAF REF" u="1"/>
        <s v="ATT DEVIS ORANGE/RIP" u="1"/>
        <s v="RETOUR VT" u="1"/>
        <s v="ATT PV" u="1"/>
        <s v="DOSSIER A REPRENDRE" u="1"/>
        <s v="DOSSIER A MONTER" u="1"/>
        <s v="VT A FAIRE" u="1"/>
        <s v="ATT DTA" u="1"/>
      </sharedItems>
    </cacheField>
    <cacheField name="POI" numFmtId="0">
      <sharedItems containsBlank="1"/>
    </cacheField>
    <cacheField name="SJ" numFmtId="0">
      <sharedItems containsBlank="1" containsMixedTypes="1" containsNumber="1" containsInteger="1" minValue="72" maxValue="72" count="34">
        <s v="D3"/>
        <s v="FJ"/>
        <s v="DQ"/>
        <s v="OT"/>
        <s v="VX"/>
        <s v="VZ"/>
        <s v="5T"/>
        <s v="AC"/>
        <s v="5J"/>
        <s v="P0"/>
        <s v="AZ"/>
        <s v="JJ"/>
        <s v="MO"/>
        <s v="0G"/>
        <s v="LA"/>
        <s v="CC"/>
        <s v="CN"/>
        <s v="JI"/>
        <s v="5S"/>
        <s v="OI"/>
        <s v="V1"/>
        <s v="BH"/>
        <s v="E8"/>
        <s v="CR"/>
        <s v="RI"/>
        <s v="5I"/>
        <s v="I3"/>
        <s v="DL"/>
        <n v="72"/>
        <s v="OK"/>
        <m/>
        <s v="DO" u="1"/>
        <s v="O0" u="1"/>
        <s v="PO" u="1"/>
      </sharedItems>
    </cacheField>
    <cacheField name="VILLE" numFmtId="0">
      <sharedItems containsBlank="1" count="126">
        <s v="LES BESSONS"/>
        <s v="GREZES"/>
        <s v="ST CHELY D APCHER"/>
        <s v="PEYRE EN AUBRAC"/>
        <s v="JUVIGNAC"/>
        <s v=" NIMES"/>
        <s v="SAINT GILLES"/>
        <s v="GENERAC"/>
        <s v="MONTPELLIER"/>
        <s v="GRABELS"/>
        <s v="PIGNAN"/>
        <s v="CASTELNAU LE LEZ"/>
        <s v=" GRABELS"/>
        <s v="LE MALZIEU VILLE"/>
        <s v="SAINT GAL"/>
        <s v="LANGOGNE"/>
        <s v="SAINT GERMAIN DE CALBERTE"/>
        <s v="ARZENC DE RANDON"/>
        <s v="LA MALENE"/>
        <s v="BANASSAC-CANILHAC"/>
        <s v="BOURGS SUR COLAGNE"/>
        <s v="LES BONDONS"/>
        <s v="BALSIEGES"/>
        <s v="MENDE"/>
        <s v="SAINT ALBAN LIMAGNOLE"/>
        <s v="BORNE"/>
        <s v="BRENOUX"/>
        <s v="PONT DE MONVERT-SUD MT LOZERE"/>
        <s v="MONTS DE RANDON"/>
        <s v="TERMES"/>
        <s v="SAINT CHELY D APCHER"/>
        <s v="MARVEJOLS"/>
        <s v="POUCHASTRIN"/>
        <s v="SENT DE LA CALADE"/>
        <s v="LA CANOURGUE"/>
        <s v="MOLEZON"/>
        <s v="GRANDRIEU"/>
        <s v="SAINT SAUVEUR DE GINESTOU"/>
        <s v="NAUSSAC FONTANES"/>
        <s v="SAINTE CROIX VALLEE FRANCAISE"/>
        <s v="LA FAGE MONTIVERNOUX"/>
        <s v="CHASTEL NOUVEL"/>
        <s v="SAINT LAURENT DE MURET"/>
        <s v="PREVENCHERES"/>
        <s v="MEYRUEIS"/>
        <s v="BEZIERS"/>
        <s v="ALES"/>
        <s v=" ARZENC DE RANDON"/>
        <s v="ISPAGNAC"/>
        <s v="BADAROUX"/>
        <s v="NOALHAC"/>
        <s v="SAINT PRIVAT DU FAU"/>
        <s v="LACHAMP-RIBENNES"/>
        <s v="SAINT LAURENT DE VEYRES"/>
        <s v="VEBRON"/>
        <s v="ALLENC"/>
        <s v="MASSEGROS CAUSSES GORGES"/>
        <s v="SAINT MARTIN DE BOUBAUX"/>
        <s v="LA CANOURGUE "/>
        <s v="JULIANGES"/>
        <s v="FLORAC"/>
        <s v="ESCLANEDES"/>
        <s v="SAINT PIERRE DES TRIPIERS"/>
        <s v="SAINT ANDRE CAPCEZE"/>
        <s v="ALBARET SAINTE MARIE"/>
        <s v="GORGES DU TARN CAUSSES"/>
        <s v="BARJAC"/>
        <s v="CHADENET"/>
        <s v="SAINT ETIENNE VAL FRANC"/>
        <s v="NASBINALS"/>
        <s v="SAINT CHRISTOPHE D ALLIER"/>
        <s v="LA TIEULE"/>
        <s v="SAINT SAUVEUR DE GINESTOUX"/>
        <s v="LES LAUBIES"/>
        <s v="CANS ET CEVENNES"/>
        <s v="RIMEIZE"/>
        <s v="ALBARET STE MARIE"/>
        <s v="SERVERETTE"/>
        <s v="PIERREFICHE"/>
        <s v="CAUSSES"/>
        <s v="LAUBERT"/>
        <s v="SAINT GERMAIN DU TEIL"/>
        <s v="TERRANJOU"/>
        <s v="CHANAC"/>
        <s v="LA PANOUSE"/>
        <s v="ALBARET LE COMTAL"/>
        <s v="BEL-AIR-VAL-D'ANCE"/>
        <s v="AUROUX"/>
        <s v="COUCOURON"/>
        <s v="CHAULHAC"/>
        <s v="SAINT BONNET DE CHIRAC"/>
        <m/>
        <s v="AUMONT AUBRAC" u="1"/>
        <s v="VIALAS" u="1"/>
        <s v="NIMES" u="1"/>
        <s v="LANGLADE" u="1"/>
        <s v="PRIMEVERE" u="1"/>
        <s v="VAYRES" u="1"/>
        <s v="ISSARLES" u="1"/>
        <s v="PEYRE EN AUBRAC AUBRAC" u="1"/>
        <s v="LAVAL DU TARN" u="1"/>
        <s v="ALTIER" u="1"/>
        <s v="BALARUC LES BAINS" u="1"/>
        <s v="NASBINALS " u="1"/>
        <s v="CHATEAUNEUF DE RANDON" u="1"/>
        <s v="ST ETIENNE DU VALDONNEZ" u="1"/>
        <s v="ANTRENAS" u="1"/>
        <s v="SAINT HILAIRE DE LAVIT" u="1"/>
        <s v="FLORAC 3 RIVIERES" u="1"/>
        <s v="MONTRODAT" u="1"/>
        <s v="MAS SAINT CHELY" u="1"/>
        <s v="_x0009_ST CHELY D APCHER" u="1"/>
        <s v="PELOUSE" u="1"/>
        <s v=" MAS SAINT CHELY" u="1"/>
        <s v=" SAINT BONNET DE CHIRAC" u="1"/>
        <s v=" PEYRE EN AUBRAC" u="1"/>
        <s v=" MASSEGROS CAUSSES GORGES" u="1"/>
        <s v=" LA TIEULE" u="1"/>
        <s v=" ISPAGNAC" u="1"/>
        <s v=" BOURGS SUR COLAGNE" u="1"/>
        <s v=" SAINT CHELY D APCHER" u="1"/>
        <s v=" CHAUCHAILLES" u="1"/>
        <s v=" LES BONDONS" u="1"/>
        <s v="LE POMPIDOU" u="1"/>
        <s v="MONT LOZERE ET GOULE" u="1"/>
        <s v="TARBES" u="1"/>
      </sharedItems>
    </cacheField>
    <cacheField name="ADRESSE" numFmtId="0">
      <sharedItems containsBlank="1" count="213">
        <s v="LD LE CROS"/>
        <s v="0 LD LE CLOS DU NID"/>
        <s v="Rue Jean Chastel"/>
        <s v="2149 RTE DE JAVOLS"/>
        <s v="10 CH D AUBIGEYRES"/>
        <s v="_x0009_9 RUE JEAN MOULIN"/>
        <s v="_x0009_1 R DES ORANGERS"/>
        <s v="257 PCHE D ESPEYRAN"/>
        <s v="30T AVE DE LA CAMARGUE"/>
        <s v="47 R DE L AMANDIER"/>
        <s v="1227 RUE DE LA VALSIERE"/>
        <s v="60 IMPASSE ANTOINE SAPORTA"/>
        <s v="1 R DE L EGLISE"/>
        <s v="295 CHE DES MURIERS"/>
        <s v="7 RUE FON DE COMBE"/>
        <s v="_x0009_76 RTE SAUGUES"/>
        <s v="1 LD LE CHOISINES"/>
        <s v="4 RTE DE PIGNOL"/>
        <s v="LE VILLAGE"/>
        <s v="17 LD LE LIGEYRES"/>
        <s v="RUE DE LA PIGNEDE"/>
        <s v="LD CAUQUENAS"/>
        <s v="9 RTE DE NAUSSAC"/>
        <s v="Le Viala "/>
        <s v="Quartier Estradasses"/>
        <s v="5166 LD LE CROS"/>
        <s v="BRAMONAS "/>
        <s v="_x0009_3 R DE LA GARENNE"/>
        <s v="_x0009_24 RUE DE L ETRIER "/>
        <s v="LE VILLARET"/>
        <s v="5061 LD LES BADIEUX"/>
        <s v="1060 RTE DE LA CROIX DE BAUZON"/>
        <s v="90 RTE DE MONTMIRAT"/>
        <s v="RTE DU VIALA"/>
        <s v="21 RUE DU COULAS"/>
        <s v="5 LD LE CROS"/>
        <s v="RTE DE FENESTRES"/>
        <s v="RUE PARC DES SPORTS"/>
        <s v="2 R DES PENITENTS"/>
        <s v="ARZENC D APCHER"/>
        <s v="PONT DE MONVERT-SUD MT LOZERE"/>
        <s v="ROUGES PARETS"/>
        <s v="980 AV DE LA MERIDIENNE"/>
        <s v="LIEU DIT LE PUECH "/>
        <s v="CHEMIN DU PONT ROMAIN"/>
        <s v="LD PRAT SOUTEYRAN "/>
        <s v="9 R JULES DAUDE "/>
        <s v="VILLAGE"/>
        <s v="CHAUSSENILLES"/>
        <s v="CH DE LA GAZELLE"/>
        <s v="RTE DU POUGET"/>
        <s v="LD CIVERGOLS"/>
        <s v="LD LA FAGETTE"/>
        <s v="LD LE CROUZET"/>
        <s v="PLACE DE L EGLISE"/>
        <s v="585 AV EDOUARD ALFRED MARTEL"/>
        <s v="5 R PROF CALMETTE"/>
        <s v="1190 TRA DES ESPINEAUX A LA BEDOSSE"/>
        <s v="1345 ARTE BEDARIEUX"/>
        <s v="RTE DU MALZIEU"/>
        <s v="AV THEOPHILE ROUSSEL"/>
        <s v="320 R GEORGES AURIC"/>
        <s v="330 R GEORGES AURIC"/>
        <s v="12 LD LA FAGE"/>
        <s v="LD LA FAGE"/>
        <s v="LD SALANSON"/>
        <s v="MOULIN DE LA GOUTELLE"/>
        <s v="4 CHE DU MOULIN"/>
        <s v="IMP RUE HAUTE"/>
        <s v="LD LE CHOISINES"/>
        <s v="CH DE LA LECHE"/>
        <s v="BECUS"/>
        <s v="LE VILLARD GRAND"/>
        <s v=" CHASSAGNES"/>
        <s v="2 MOLINES"/>
        <s v="LD CORREJAC"/>
        <s v="VEYRES "/>
        <s v="MONTAGUT"/>
        <s v="LE PUECH"/>
        <s v="_x0009_CH DE LA VAYSSIERE"/>
        <s v="2540 RTE DES VIGNES ST GEORGES"/>
        <s v="LD LA PLANTADE BASSE"/>
        <s v="AV DES GORGES DU TARN"/>
        <s v="BRAMONAS"/>
        <s v="RUE BELLEVUE"/>
        <s v="Le Viala"/>
        <s v="VILLAGE "/>
        <s v="_x0009_37 RTE DE SAINT SAUVEUR "/>
        <s v="_x0009_1 RUE DE BELLEVUE"/>
        <s v="LD COULAGNES BASSES"/>
        <s v="LD LES FOUZES"/>
        <s v="1 RUE DE BELLEVUE"/>
        <s v="Trabassac"/>
        <s v="RTE DE LA ROCHEROUSSE"/>
        <s v="LD CASSAGNES  "/>
        <s v="Le Boulay - ENEDIS"/>
        <s v="ZONE ARTISANALE CAPJALAT"/>
        <s v="L ELZIERE"/>
        <s v="LD REVOLTE"/>
        <s v="PL DU FOIRAIL "/>
        <s v="LD ROUSSAC"/>
        <s v="RUE DE LA MONNAIE"/>
        <s v="20 RTE DE SAINTE COLOMBE DE PEYRE"/>
        <s v="Chemin de Bellevue "/>
        <s v="LD FERRUSSAC"/>
        <s v="_x0009_LD RIEUMAL"/>
        <s v="AV DE LA RESISTANCE"/>
        <s v="LD ESPINASSOUS "/>
        <s v="_x0009_CH DE MERDARIC"/>
        <s v="20 LE MENIAL"/>
        <s v="CH DE MERDARIC"/>
        <s v="Route de Brassac"/>
        <s v="RTE DU VAL DE COLAGNE"/>
        <s v="_x0009_PERTUZADES"/>
        <s v="4 QUA ESTRADASSES "/>
        <s v="Lieu Dit La Chaze"/>
        <s v="VERNAGUES"/>
        <s v="9 PONT DES ESTRETS"/>
        <s v="13B AV JEAN MONESTIER"/>
        <s v="Rue du Château"/>
        <s v="RUE DU BOULODROME"/>
        <s v="LD BIGOSE"/>
        <s v="34 RTE D AUBRAC "/>
        <s v="LASBROS"/>
        <s v="LE PLO"/>
        <s v="CHABESTRAS"/>
        <s v="RTE DU SEGALA"/>
        <s v="PRADES "/>
        <s v="Lieu dit Gourgons"/>
        <s v="R JEAN CHASTEL"/>
        <s v="RUE DES TILLEULS"/>
        <s v="9 CH DU SOUGAYO"/>
        <s v="Avenue des Gorges du Tarn"/>
        <s v="14 RUE ALBERT EINSTEIN"/>
        <s v="21 RUE JACQUES BREL"/>
        <s v="LD LE CROUZET "/>
        <s v="RTE DU LANGUEDOC "/>
        <s v="VERNAGUES "/>
        <s v="353 RTE DE LA MAIRIE"/>
        <s v="8 RUE DE LA GRAVE"/>
        <s v="LD LAVAL"/>
        <s v="5 IMP FAISANDIER"/>
        <s v="BARRAGE DE NAUSSAC"/>
        <s v="966 RTE DE CHAZEAUX "/>
        <s v="QUA MONTMOULARD"/>
        <s v="LD BECUS"/>
        <s v="NOZEROLLES"/>
        <s v="LD FOURNENS"/>
        <s v="RUE DU LAVOIR"/>
        <s v="4 MOULIN DE LA GOUTELLE "/>
        <s v="31 RTE D AUBRAC "/>
        <s v="RUE DES CHAUVETS"/>
        <s v="RUE DE LA CONDAMINE"/>
        <m/>
        <s v="LD CAUQUENAS " u="1"/>
        <s v="14 RUE DE LA REPUBLIQUE" u="1"/>
        <s v="2 PL JULES LAGET" u="1"/>
        <s v="5078 LD LIBOURETTE" u="1"/>
        <s v="CH DU SOUGAYO" u="1"/>
        <s v="RTE DU LANGUEDOC" u="1"/>
        <s v="37 RTE DE SAINT SAUVEUR" u="1"/>
        <s v="RUE PIERRE BROSSOLETTE" u="1"/>
        <s v="CHE DE PUITS NEUF " u="1"/>
        <s v=" IMP DU TILLEUL" u="1"/>
        <s v="Avenue du Gévaudan" u="1"/>
        <s v="LD LE CLOS DU NID" u="1"/>
        <s v="36 AV DU GEVAUDAN" u="1"/>
        <s v="LD PRADES " u="1"/>
        <s v="415 RTE DE LA ROUME" u="1"/>
        <s v="LAVAL" u="1"/>
        <s v="6 CH DE LA SOUS STATION" u="1"/>
        <s v="12 RUE EVARISTE GALOIS" u="1"/>
        <s v="LOT LA VIGNOLE " u="1"/>
        <s v="LD CIVERGOLS " u="1"/>
        <s v="RUE HAUTE" u="1"/>
        <s v="RUE DES CHANS" u="1"/>
        <s v="17 CH DES ROUVIERES " u="1"/>
        <s v="LA VIGNOLE" u="1"/>
        <s v="Chemin des Estious" u="1"/>
        <s v="133 RTE DE LA BOULADE" u="1"/>
        <s v="RTE DE LA RECHE" u="1"/>
        <s v="VEYRES" u="1"/>
        <s v="CH DE DOMINICOU" u="1"/>
        <s v="3 ROUTE DU PONT RODIER " u="1"/>
        <s v="Rue Traversiere" u="1"/>
        <s v="LD MIJAVOLS" u="1"/>
        <s v="LD FABREGES" u="1"/>
        <s v="R DES AIRES" u="1"/>
        <s v="Le Village - COMMUNE DE MONTS-DE-RANDON" u="1"/>
        <s v="340 RTE DE LA BRUGERE HAUTE" u="1"/>
        <s v="AVENUE DU 11 NOVEMBRE" u="1"/>
        <s v="VALBONNE " u="1"/>
        <s v="Lou Bos" u="1"/>
        <s v="Lieu dit Pierrefiche" u="1"/>
        <s v="_x0009_8 RTE DE MENDE " u="1"/>
        <s v="1527 ROUTE DU GEVAUDAN" u="1"/>
        <s v="_x0009_MAS DE VAL" u="1"/>
        <s v="RUE DE LA GINEZE" u="1"/>
        <s v="Chemin de Merdari" u="1"/>
        <s v="5 RTE CHARPAL" u="1"/>
        <s v="_x0009_6 CH DE LA SOUS STATION " u="1"/>
        <s v="480 CH DE LA GAZELLE" u="1"/>
        <s v="304 RTE DU MASSEGROS" u="1"/>
        <s v="_x0009_VILLAGE" u="1"/>
        <s v="LD PERRIERE" u="1"/>
        <s v="_x0009_LD LE CROUZET" u="1"/>
        <s v="LE MAS BONNET " u="1"/>
        <s v="TRAVERSEE DE SAINT JEAN DU BLE" u="1"/>
        <s v="ROUTE DE L ERMITAGE" u="1"/>
        <s v="1 LIEU DIT LA DRECHE" u="1"/>
        <s v="RUE DE LA TOUR" u="1"/>
        <s v="LIEU DIT LA DRECHE" u="1"/>
        <s v="CHAMPERBOUX " u="1"/>
      </sharedItems>
    </cacheField>
    <cacheField name="DATE VT" numFmtId="14">
      <sharedItems containsDate="1" containsBlank="1" containsMixedTypes="1" minDate="2025-01-03T00:00:00" maxDate="2025-09-16T00:00:00"/>
    </cacheField>
    <cacheField name="COMMENTAIRES" numFmtId="0">
      <sharedItems containsBlank="1" longText="1"/>
    </cacheField>
    <cacheField name="CAFF" numFmtId="0">
      <sharedItems containsBlank="1"/>
    </cacheField>
    <cacheField name="CTC" numFmtId="0">
      <sharedItems containsBlank="1" containsMixedTypes="1" containsNumber="1" containsInteger="1" minValue="466473331" maxValue="688547377"/>
    </cacheField>
    <cacheField name="DATE CREATION" numFmtId="0">
      <sharedItems containsNonDate="0" containsDate="1" containsString="0" containsBlank="1" minDate="1900-01-06T00:00:00" maxDate="2025-09-16T00:00:00"/>
    </cacheField>
    <cacheField name="DATE RECU" numFmtId="0">
      <sharedItems containsDate="1" containsBlank="1" containsMixedTypes="1" minDate="2024-08-21T00:00:00" maxDate="2025-09-16T00:00:00"/>
    </cacheField>
    <cacheField name="MOIS" numFmtId="0">
      <sharedItems containsString="0" containsBlank="1" containsNumber="1" containsInteger="1" minValue="1" maxValue="12" count="13">
        <n v="6"/>
        <n v="9"/>
        <n v="5"/>
        <n v="3"/>
        <n v="12"/>
        <n v="7"/>
        <n v="1"/>
        <n v="11"/>
        <m/>
        <n v="4"/>
        <n v="2"/>
        <n v="10"/>
        <n v="8"/>
      </sharedItems>
    </cacheField>
    <cacheField name="ANNEE" numFmtId="0">
      <sharedItems containsString="0" containsBlank="1" containsNumber="1" containsInteger="1" minValue="1900" maxValue="2025" count="6">
        <n v="2024"/>
        <n v="2025"/>
        <n v="1900"/>
        <n v="2023"/>
        <n v="2022"/>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19.332899768517" createdVersion="8" refreshedVersion="8" minRefreshableVersion="3" recordCount="138" xr:uid="{890C153E-7CE6-41D0-91CA-D4A310A85FCA}">
  <cacheSource type="worksheet">
    <worksheetSource ref="A3:L141" sheet="SPI Bretagne"/>
  </cacheSource>
  <cacheFields count="12">
    <cacheField name="ETAT" numFmtId="14">
      <sharedItems count="4">
        <s v="DOSSIER FACTURER"/>
        <s v="RETOUR ETUDE"/>
        <s v="DOSSIER BLOQUE"/>
        <s v="DOSSIER AFFECTE"/>
      </sharedItems>
    </cacheField>
    <cacheField name="Nom_Dossier" numFmtId="14">
      <sharedItems containsDate="1" containsBlank="1" containsMixedTypes="1" minDate="2025-06-30T00:00:00" maxDate="2025-07-16T00:00:00"/>
    </cacheField>
    <cacheField name="COG" numFmtId="0">
      <sharedItems/>
    </cacheField>
    <cacheField name="DRE" numFmtId="14">
      <sharedItems containsNonDate="0" containsDate="1" containsString="0" containsBlank="1" minDate="2025-02-11T00:00:00" maxDate="2025-06-18T00:00:00"/>
    </cacheField>
    <cacheField name="DATE CREATION" numFmtId="14">
      <sharedItems containsNonDate="0" containsDate="1" containsString="0" containsBlank="1" minDate="2025-02-11T00:00:00" maxDate="2025-04-30T00:00:00"/>
    </cacheField>
    <cacheField name="COD IMB" numFmtId="14">
      <sharedItems containsBlank="1"/>
    </cacheField>
    <cacheField name="INSEE" numFmtId="49">
      <sharedItems containsSemiMixedTypes="0" containsString="0" containsNumber="1" containsInteger="1" minValue="29051" maxValue="56260"/>
    </cacheField>
    <cacheField name="Ville" numFmtId="0">
      <sharedItems count="18">
        <s v="RENNES"/>
        <s v="CAUDAN"/>
        <s v="CLEGUER"/>
        <s v="HENNEBONT"/>
        <s v="LANESTER"/>
        <s v="LOCMIQUELIC"/>
        <s v="LORIENT"/>
        <s v="PLESCOP"/>
        <s v="PLOEMEUR"/>
        <s v="PORT LOUIS"/>
        <s v="QUEVEN"/>
        <s v="ST AVE"/>
        <s v="SENE"/>
        <s v="SURZUR"/>
        <s v="TREFFLEAN"/>
        <s v="VANNES"/>
        <s v="QUIMPER"/>
        <s v="ERGUE GABERIC"/>
      </sharedItems>
    </cacheField>
    <cacheField name="ADRESSE" numFmtId="14">
      <sharedItems count="123">
        <s v="AVENUE JEAN JANVIER"/>
        <s v="PLACE DE SERBIE"/>
        <s v="ALLEE DE LA GARAYE"/>
        <s v="SQUARE YVES MONTAND"/>
        <s v="SQUARE DU ROI ARTHUR"/>
        <s v="PLACE MARECHAL JUIN"/>
        <s v="RUE LOUIS POSTEL"/>
        <s v="RUE DE BREST"/>
        <s v="AVENUE GROS MALHON"/>
        <s v="QUAI DE LA PREVALAYE"/>
        <s v="RUE DES TRENTE"/>
        <s v="RUE LEGRAVEREND"/>
        <s v="RUE DE LA CRECHE"/>
        <s v="RUE DE LEON"/>
        <s v="PLACE DU MONTENEGRO"/>
        <s v="RUE FRANCOIS LANNO"/>
        <s v="BOULEVARD JEANNE D ARC"/>
        <s v="MAIL FRANCOIS MITTERRAND"/>
        <s v="RUE EDOUARD JORDAN"/>
        <s v="BOULEVARD DE LA TOUR D AUVERGNE"/>
        <s v="RUE JOSEPH SAUVEUR"/>
        <s v="RUE FRANCOIS BROUSSAIS"/>
        <s v="AVENUE JORGE SEMPRUN"/>
        <s v="BOULEVARD DE BULGARIE"/>
        <s v="RUE SAINT MALO"/>
        <s v="RUE ARTHUR FONTAINE"/>
        <s v="RUE DE LA SANTE"/>
        <s v="RUE DE NORMANDIE"/>
        <s v="BOULEVARD DE SEVIGNE"/>
        <s v="ALLEE JEAN DE LA VARENDE"/>
        <s v="RUE ETIENNE PINAULT"/>
        <s v="RUE D ANTRAIN"/>
        <s v="RUE LE GUEN DE KERANGAL"/>
        <s v="RUE XAVIER GRALL"/>
        <s v="RUE JEAN BRULELOU DIT BRITO"/>
        <s v="RUE SAINT HELIER"/>
        <s v="AVENUE ANDRE MALRAUX"/>
        <s v="BOULEVARD DE CHEZY"/>
        <s v="RUE AIMEE ANTIGNAC"/>
        <s v="RUE DE DINAN"/>
        <s v="RUE DE LORGERIL"/>
        <s v="RUE JOSEPH TURMEL"/>
        <s v="RUE DE PARIS"/>
        <s v="BOULEVARD DE LA GUERINAIS"/>
        <s v="SQUARE DU DOCTEUR GUERIN"/>
        <s v="PLACE DE PRAGUE"/>
        <s v="RUE DU NIVERNAIS"/>
        <s v="RUE GUY ROPARTZ"/>
        <s v="RUE ALPHONSE GUERIN"/>
        <s v="BOULEVARD ALEXIS CARREL"/>
        <s v="RUE PIERRE AMYS"/>
        <s v="BOULEVARD SAINT JEAN BAPTISTE DE LA SAL"/>
        <s v="PLACE EUGENE AULNETTE"/>
        <s v="RUE PAPU"/>
        <s v="RUE PAUL LOUIS COURIER"/>
        <s v="RUE RENE YVES CRESTON"/>
        <s v="SQUARE DE GALICIE"/>
        <s v="RUE CAPITAINE ALFRED DREYFUS"/>
        <s v="BOULEVARD ALBERT 1ER"/>
        <s v="RUE CARDINAL PAUL GOUYON"/>
        <s v="RUE DE RENNES"/>
        <s v="MAIL FELIX LECLERC"/>
        <s v="AVENUE AUGUSTE BRIZEUX"/>
        <s v="LE PLESSIX LOUVEL"/>
        <s v="RUE DE LA TERRE ADELIE"/>
        <s v="PLACE JULES VALLES"/>
        <s v="RUE DU PETIT BOIS"/>
        <s v="RUE DU CHATEAU"/>
        <s v="RUE DE LA ROSAIS"/>
        <s v="RUE GARENGEOT"/>
        <s v="RUE POULLAIN DUPARC"/>
        <s v="AVENUE DES PAYS BAS"/>
        <s v="RUE HOCHE"/>
        <s v="RUE DE LA MONNAIE"/>
        <s v="PLACE DU PARLEMENT DE BRETAGNE"/>
        <s v="RUE DOYEN DENIS LEROY"/>
        <s v="RUE NICOLAS COATANLEM"/>
        <s v="SQUARE LOUIS LE COURIAUD"/>
        <s v="RUE OUSMANE SOW"/>
        <s v="RUE STENDHAL"/>
        <s v="SAINT NIAU"/>
        <s v="RUE MARCEL CACHIN"/>
        <s v="ALLEE DES BRUANTS"/>
        <s v="RUE DE BELGIQUE"/>
        <s v="RUE FELICITE DE LAMENNAIS"/>
        <s v="BOULEVARD EUGENE COSMAO DUMANOIR"/>
        <s v="RUE GABRIEL FAURE"/>
        <s v="BOULEVARD DE NORMANDIE"/>
        <s v="RUE DE L EGLISE"/>
        <s v="RUE DU MOULIN DU GAILLEC"/>
        <s v="RUE DE LARMOR"/>
        <s v="AVENUE JEAN XXIII"/>
        <s v="LANN ER ROCH"/>
        <s v="GRANDE RUE"/>
        <s v="LIEU DIT SAINT NICODEME"/>
        <s v="RUE BRIZEUX"/>
        <s v="RUE DES 3 FRERES"/>
        <s v="RUE DU POULFANC"/>
        <s v="RUE DE KERBIHAN"/>
        <s v="LIEU DIT RANGOGO"/>
        <s v="ALLEE DES TOURTERELLES"/>
        <s v="RUE DE LA FONTAINE BUDO"/>
        <s v="RUE DU COMMERCE"/>
        <s v="6 Avenue de la Marne"/>
        <s v="RUE EUGENE BOUDIN"/>
        <s v="RUE BLAISE PASCAL"/>
        <s v="ALLEE DU HECHENO"/>
        <s v="AVENUE CHENAILLER"/>
        <s v="IMPASSE DE KERVILER"/>
        <s v="ALLEE ABBE GREGOIRE"/>
        <s v="RUE DES GENETS"/>
        <s v="RUE DU PERIGORD"/>
        <s v="RUE DE BENODET"/>
        <s v="CHEMIN DE LA PENTE"/>
        <s v="CITE DE KERGUELEN"/>
        <s v="ALEZ AN EOSTIGED"/>
        <s v="RUE DE DOUARNENEZ"/>
        <s v="AVENUE DE LA FRANCE LIBRE"/>
        <s v="RUE ANITA CONTI"/>
        <s v="ALLEE LOUIS FEUNTEUN"/>
        <s v="RUE ETIENNE GOURMELEN"/>
        <s v="6 Avenue de la Marne_x000a_" u="1"/>
        <s v="AVENUE DE LA MARNE" u="1"/>
      </sharedItems>
    </cacheField>
    <cacheField name="Commentaire" numFmtId="14">
      <sharedItems/>
    </cacheField>
    <cacheField name="MOIS" numFmtId="0">
      <sharedItems containsSemiMixedTypes="0" containsString="0" containsNumber="1" containsInteger="1" minValue="1" maxValue="4" count="4">
        <n v="2"/>
        <n v="3"/>
        <n v="4"/>
        <n v="1"/>
      </sharedItems>
    </cacheField>
    <cacheField name="ANNEE" numFmtId="0">
      <sharedItems containsSemiMixedTypes="0" containsString="0" containsNumber="1" containsInteger="1" minValue="1900" maxValue="2025" count="2">
        <n v="2025"/>
        <n v="190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19.33302928241" createdVersion="8" refreshedVersion="8" minRefreshableVersion="3" recordCount="262" xr:uid="{00000000-000A-0000-FFFF-FFFF9B020000}">
  <cacheSource type="worksheet">
    <worksheetSource ref="A60:M60" sheet="MEN-ROD"/>
  </cacheSource>
  <cacheFields count="16">
    <cacheField name="EXPORT" numFmtId="0">
      <sharedItems containsBlank="1"/>
    </cacheField>
    <cacheField name="DATE" numFmtId="0">
      <sharedItems containsNonDate="0" containsDate="1" containsString="0" containsBlank="1" minDate="2025-09-16T00:00:00" maxDate="2026-09-08T00:00:00"/>
    </cacheField>
    <cacheField name="DRE" numFmtId="0">
      <sharedItems containsDate="1" containsBlank="1" containsMixedTypes="1" minDate="2025-01-16T00:00:00" maxDate="2026-09-08T00:00:00" count="164">
        <e v="#N/A"/>
        <d v="2025-09-30T00:00:00"/>
        <d v="2025-09-29T00:00:00"/>
        <d v="2025-09-22T00:00:00"/>
        <d v="2025-10-16T00:00:00"/>
        <d v="2025-10-15T00:00:00"/>
        <d v="2025-09-26T00:00:00"/>
        <d v="2025-10-13T00:00:00"/>
        <d v="2025-09-25T00:00:00"/>
        <d v="2026-03-16T00:00:00"/>
        <d v="2026-03-02T00:00:00"/>
        <d v="2026-02-10T00:00:00"/>
        <d v="2025-10-20T00:00:00"/>
        <d v="2025-10-27T00:00:00"/>
        <d v="2025-10-06T00:00:00"/>
        <d v="2026-03-10T00:00:00"/>
        <d v="2025-10-09T00:00:00"/>
        <d v="2026-02-09T00:00:00"/>
        <d v="2025-11-03T00:00:00"/>
        <d v="2025-10-07T00:00:00"/>
        <d v="2026-01-26T00:00:00"/>
        <d v="2026-03-17T00:00:00"/>
        <d v="2025-10-03T00:00:00"/>
        <d v="2026-02-12T00:00:00"/>
        <d v="2026-03-09T00:00:00"/>
        <d v="2025-11-12T00:00:00"/>
        <d v="2025-10-24T00:00:00"/>
        <d v="2025-09-23T00:00:00"/>
        <d v="2025-11-06T00:00:00"/>
        <d v="2025-10-29T00:00:00"/>
        <d v="2025-12-01T00:00:00"/>
        <d v="2025-11-05T00:00:00"/>
        <d v="2025-10-30T00:00:00"/>
        <d v="2025-10-02T00:00:00"/>
        <d v="2025-10-10T00:00:00"/>
        <d v="2026-09-07T00:00:00"/>
        <d v="2025-09-16T00:00:00"/>
        <d v="2025-10-08T00:00:00"/>
        <d v="2025-10-22T00:00:00"/>
        <d v="2025-12-10T00:00:00"/>
        <d v="2026-02-20T00:00:00"/>
        <d v="2025-10-14T00:00:00"/>
        <d v="2025-11-19T00:00:00"/>
        <d v="2025-09-18T00:00:00"/>
        <d v="2025-09-19T00:00:00"/>
        <d v="2026-04-15T00:00:00"/>
        <m/>
        <d v="2025-08-18T00:00:00" u="1"/>
        <d v="2025-08-06T00:00:00" u="1"/>
        <d v="2025-08-11T00:00:00" u="1"/>
        <d v="2025-09-02T00:00:00" u="1"/>
        <d v="2025-09-08T00:00:00" u="1"/>
        <d v="2025-07-30T00:00:00" u="1"/>
        <d v="2025-08-05T00:00:00" u="1"/>
        <d v="2025-08-22T00:00:00" u="1"/>
        <d v="2025-09-05T00:00:00" u="1"/>
        <d v="2025-09-10T00:00:00" u="1"/>
        <d v="2025-07-31T00:00:00" u="1"/>
        <d v="2025-08-04T00:00:00" u="1"/>
        <d v="2025-08-20T00:00:00" u="1"/>
        <d v="2025-09-01T00:00:00" u="1"/>
        <d v="2025-09-15T00:00:00" u="1"/>
        <d v="2025-08-13T00:00:00" u="1"/>
        <d v="2025-08-01T00:00:00" u="1"/>
        <d v="2025-08-07T00:00:00" u="1"/>
        <d v="2025-09-03T00:00:00" u="1"/>
        <d v="2025-08-25T00:00:00" u="1"/>
        <d v="2025-08-09T00:00:00" u="1"/>
        <d v="2025-08-26T00:00:00" u="1"/>
        <d v="2025-09-12T00:00:00" u="1"/>
        <d v="2025-08-08T00:00:00" u="1"/>
        <d v="2025-09-11T00:00:00" u="1"/>
        <d v="2025-08-21T00:00:00" u="1"/>
        <d v="2025-07-29T00:00:00" u="1"/>
        <d v="2025-08-29T00:00:00" u="1"/>
        <d v="2025-08-30T00:00:00" u="1"/>
        <d v="2025-08-10T00:00:00" u="1"/>
        <d v="2025-07-28T00:00:00" u="1"/>
        <d v="2025-07-22T00:00:00" u="1"/>
        <d v="2025-07-17T00:00:00" u="1"/>
        <d v="2025-05-22T00:00:00" u="1"/>
        <d v="2025-07-15T00:00:00" u="1"/>
        <d v="2025-07-21T00:00:00" u="1"/>
        <d v="2025-07-18T00:00:00" u="1"/>
        <d v="2025-07-16T00:00:00" u="1"/>
        <d v="2025-07-24T00:00:00" u="1"/>
        <d v="2025-07-25T00:00:00" u="1"/>
        <d v="2025-07-10T00:00:00" u="1"/>
        <d v="2025-07-07T00:00:00" u="1"/>
        <d v="2025-06-20T00:00:00" u="1"/>
        <d v="2025-06-27T00:00:00" u="1"/>
        <d v="2025-06-25T00:00:00" u="1"/>
        <d v="2025-06-30T00:00:00" u="1"/>
        <d v="2025-06-18T00:00:00" u="1"/>
        <d v="2025-07-08T00:00:00" u="1"/>
        <d v="2025-07-03T00:00:00" u="1"/>
        <d v="2025-06-23T00:00:00" u="1"/>
        <d v="2025-06-26T00:00:00" u="1"/>
        <d v="2025-06-16T00:00:00" u="1"/>
        <d v="2025-06-24T00:00:00" u="1"/>
        <d v="2025-07-11T00:00:00" u="1"/>
        <d v="2025-08-27T00:00:00" u="1"/>
        <d v="2025-06-17T00:00:00" u="1"/>
        <d v="2025-06-13T00:00:00" u="1"/>
        <d v="2025-06-05T00:00:00" u="1"/>
        <d v="2025-06-12T00:00:00" u="1"/>
        <d v="2025-06-11T00:00:00" u="1"/>
        <d v="2025-06-10T00:00:00" u="1"/>
        <d v="2025-06-19T00:00:00" u="1"/>
        <d v="2025-07-02T00:00:00" u="1"/>
        <d v="2025-07-05T00:00:00" u="1"/>
        <d v="2025-06-06T00:00:00" u="1"/>
        <d v="2025-06-15T00:00:00" u="1"/>
        <d v="2025-05-21T00:00:00" u="1"/>
        <d v="2025-05-30T00:00:00" u="1"/>
        <d v="2025-06-03T00:00:00" u="1"/>
        <d v="2025-06-02T00:00:00" u="1"/>
        <d v="2025-05-26T00:00:00" u="1"/>
        <d v="2025-06-04T00:00:00" u="1"/>
        <d v="2025-05-27T00:00:00" u="1"/>
        <d v="2025-07-09T00:00:00" u="1"/>
        <d v="2025-05-28T00:00:00" u="1"/>
        <d v="2025-05-20T00:00:00" u="1"/>
        <d v="2025-05-02T00:00:00" u="1"/>
        <d v="2025-06-22T00:00:00" u="1"/>
        <d v="2025-06-28T00:00:00" u="1"/>
        <d v="2025-05-23T00:00:00" u="1"/>
        <d v="2025-08-12T00:00:00" u="1"/>
        <d v="2025-05-15T00:00:00" u="1"/>
        <d v="2025-05-29T00:00:00" u="1"/>
        <d v="2025-05-19T00:00:00" u="1"/>
        <d v="2025-05-14T00:00:00" u="1"/>
        <d v="2025-05-13T00:00:00" u="1"/>
        <d v="2025-05-16T00:00:00" u="1"/>
        <d v="2025-05-12T00:00:00" u="1"/>
        <d v="2025-05-09T00:00:00" u="1"/>
        <d v="2025-04-28T00:00:00" u="1"/>
        <d v="2025-04-29T00:00:00" u="1"/>
        <d v="2025-05-05T00:00:00" u="1"/>
        <d v="2025-05-07T00:00:00" u="1"/>
        <d v="2025-04-30T00:00:00" u="1"/>
        <d v="2025-05-06T00:00:00" u="1"/>
        <d v="2025-05-11T00:00:00" u="1"/>
        <d v="2025-04-23T00:00:00" u="1"/>
        <d v="2025-04-15T00:00:00" u="1"/>
        <d v="2025-04-22T00:00:00" u="1"/>
        <d v="2025-05-08T00:00:00" u="1"/>
        <d v="2025-05-25T00:00:00" u="1"/>
        <d v="2025-04-25T00:00:00" u="1"/>
        <d v="2025-05-10T00:00:00" u="1"/>
        <d v="2025-04-18T00:00:00" u="1"/>
        <d v="2025-02-07T00:00:00" u="1"/>
        <d v="2025-01-22T00:00:00" u="1"/>
        <d v="2025-04-10T00:00:00" u="1"/>
        <d v="2025-01-16T00:00:00" u="1"/>
        <d v="2025-04-14T00:00:00" u="1"/>
        <d v="2025-05-04T00:00:00" u="1"/>
        <d v="2025-04-16T00:00:00" u="1"/>
        <d v="2025-04-07T00:00:00" u="1"/>
        <d v="2025-04-09T00:00:00" u="1"/>
        <d v="2025-04-11T00:00:00" u="1"/>
        <d v="2025-04-24T00:00:00" u="1"/>
        <d v="2025-04-17T00:00:00" u="1"/>
        <d v="2025-04-04T00:00:00" u="1"/>
      </sharedItems>
    </cacheField>
    <cacheField name="ETAT" numFmtId="0">
      <sharedItems containsBlank="1" count="32">
        <s v="15 POI FACTU"/>
        <s v="14.1 AT RETOUR DOE"/>
        <s v="14 POI EN TRAVAUX"/>
        <s v="13 ETAT 5"/>
        <s v="12 AT MAJ SI"/>
        <s v="11 AT DTA"/>
        <s v="10 AT PV"/>
        <s v="09 AT DEVIS ORANGE/RIP"/>
        <s v="08 AT COMAC/CAPFT"/>
        <s v="07 AT TRVX CLIENT"/>
        <s v="06 AT DEVIS CLIENT"/>
        <s v="05 AT INFO CAF REF"/>
        <s v="04 DOSSIER A MONTER"/>
        <s v="03 DOSSIER A REPRENDRE"/>
        <s v="02 RETOUR VT"/>
        <s v="01 AT VT"/>
        <m/>
        <s v="ETAT 5" u="1"/>
        <s v="POI EN TRAVAUX" u="1"/>
        <s v="POI EN FACTU" u="1"/>
        <s v="ATT DEVIS CLIENT" u="1"/>
        <s v="ATT TRVX CLIENT" u="1"/>
        <s v="ATT MAJ SI" u="1"/>
        <s v="ATT DTA" u="1"/>
        <s v="ATT INFOS CAF REF" u="1"/>
        <s v="ATT DEVIS ORANGE/RIP" u="1"/>
        <s v="ATT PV" u="1"/>
        <s v="RETOUR VT" u="1"/>
        <s v="DOSSIER A MONTER" u="1"/>
        <s v="VT A FAIRE" u="1"/>
        <s v="ATT COMAC/CAPFT" u="1"/>
        <s v="DOSSIER A REPRENDRE" u="1"/>
      </sharedItems>
    </cacheField>
    <cacheField name="POI" numFmtId="0">
      <sharedItems containsBlank="1"/>
    </cacheField>
    <cacheField name="SJ" numFmtId="0">
      <sharedItems containsBlank="1" containsMixedTypes="1" containsNumber="1" containsInteger="1" minValue="72" maxValue="72" count="29">
        <s v="5S"/>
        <s v="D3"/>
        <s v="OT"/>
        <s v="AZ"/>
        <s v="OI"/>
        <s v="CC"/>
        <s v="VX"/>
        <s v="V1"/>
        <s v="RI"/>
        <s v="5T"/>
        <s v="CN"/>
        <s v="CR"/>
        <s v="DQ"/>
        <s v="R0"/>
        <s v="VZ"/>
        <n v="72"/>
        <s v="I3"/>
        <s v="5J"/>
        <s v="5I"/>
        <s v="L0"/>
        <s v="P0"/>
        <s v="JH"/>
        <s v="E8"/>
        <s v="BH"/>
        <s v="O0"/>
        <s v="D1"/>
        <s v="DI"/>
        <s v="UO"/>
        <m/>
      </sharedItems>
    </cacheField>
    <cacheField name="VILLE" numFmtId="0">
      <sharedItems containsBlank="1" count="156">
        <s v="SAINT JEAN ET SAINT PAUL"/>
        <s v="ALRANCE"/>
        <s v="SAINT SERNIN SUR RANCE"/>
        <s v="FLAVIN"/>
        <s v="NAUCELLE"/>
        <s v="CRANSAC"/>
        <s v="FONDAMENTE"/>
        <s v="SAINT HIPPOLYTE"/>
        <s v="CAMPUAC"/>
        <s v="COMPEYRE"/>
        <s v="MILLAU"/>
        <s v=" BALAGUIER SUR RANCE"/>
        <s v="CRESPIN"/>
        <s v="LA LOUVIERES"/>
        <s v="VEZINS DE LEVEZOU"/>
        <s v="THERONDELS"/>
        <s v="VILLEFRANCHE DE PANAT"/>
        <s v="SAINT AFFRIQUE"/>
        <s v="AGUESSAC"/>
        <s v="SALLES CURAN"/>
        <s v="SENERGUES"/>
        <s v="SAINT ETIENNE DE CARCENAC "/>
        <s v="LA COUVERTOIRADE"/>
        <s v="ROQUEFORT SUR SOULZON"/>
        <s v="SAINT JEAN DELNOUS"/>
        <s v="SEVERAC D'AYVERONS"/>
        <s v="ARVIEU"/>
        <s v="REQUISTA"/>
        <s v="COMBRET"/>
        <s v="SAINTE RADEGONDE"/>
        <s v="LA FOUILLADE "/>
        <s v="ONET LE CHATEAU "/>
        <s v="SAINT AMANS DES COTS"/>
        <s v="PONT DE SALARS"/>
        <s v="TAUSSAC"/>
        <s v="SAINT JEAN DU BRUEL"/>
        <s v="BERTHOLENE"/>
        <s v="ESPALION"/>
        <s v=" BROMMAT"/>
        <s v=" MILLAU"/>
        <s v="SEVERAC D AVEYRON"/>
        <s v="AURIAC-LAGAST"/>
        <s v="MONTLAUR"/>
        <s v="RODEZ"/>
        <s v="SEGUR"/>
        <s v="CURAN"/>
        <s v="SAINT HYPPOLYTE"/>
        <s v="MANHAC"/>
        <s v="LA CAVALERIE"/>
        <s v="ONET LE CHATEAU"/>
        <s v="QUINS"/>
        <s v="SONNAC"/>
        <s v="LES COSTES GOZON"/>
        <s v="SAINT COME D OLT"/>
        <s v="CASSUEJOULS"/>
        <s v="LIVINHAC LE HAUT"/>
        <s v="SYLVANES"/>
        <s v="VERRIERES"/>
        <s v="BROMMAT"/>
        <s v="LIOUJAS LA LOUBIERE"/>
        <s v="MARCILLAC VALLON"/>
        <s v="SAINT COME D'OLT"/>
        <s v="COUBISOU"/>
        <s v="NANT"/>
        <s v="DURENQUE"/>
        <s v="CALMONT"/>
        <s v="OLEMPS"/>
        <s v="LESTRADE ET THOUELS"/>
        <s v="SOULAGES BONNEVAL"/>
        <s v="CONQUES EN ROUERGUE"/>
        <s v="SAINT GEORGES DE LUZENCON"/>
        <s v="LE TRUEL"/>
        <s v="POUSTHOMY"/>
        <s v="SAINT ROME DE CERNON"/>
        <s v="ESPEYRAC"/>
        <s v="LESCURE JAOUL"/>
        <s v="BROUSSE LE CHATEAU"/>
        <s v="RIEUPEYROUX"/>
        <s v="BRANDONNET"/>
        <s v="LA CAPELLE BLEYS"/>
        <s v="LASSOUTS"/>
        <s v="TAURIAC DE NAUCELLE"/>
        <s v="MURET LE CHATEAU "/>
        <s v="LAGUIOLE"/>
        <s v="SAINT IZAINE"/>
        <s v="ARGENCE EN AUBRAC"/>
        <s v="LEDERGUES"/>
        <s v="MONTPEYROUX"/>
        <s v="LAVAT ROQUECEZIERE"/>
        <s v="SAINT ROME DE TARN"/>
        <s v="CASSAGNES BEGONHES"/>
        <s v="CORNUS"/>
        <s v="CAMJAC"/>
        <s v="SAINT GENIEZ D OLT ET D AUBRAC"/>
        <s v="CAMBOULAS"/>
        <s v="LA BASTIDE-SOLAGES"/>
        <s v="CASTELNAU DE MANDAILLES"/>
        <s v="BELMONT SUR RANCE"/>
        <s v="RIVIERE SUR TARN"/>
        <s v="BOZOULS"/>
        <s v=" VILLEFRANCHE DE PANAT"/>
        <s v="LE FEL"/>
        <s v="SALMIECH"/>
        <s v="VABRES L ABBAYE"/>
        <s v="CLAIRVAUX D AVEYRON"/>
        <s v="CAMBOULAZET"/>
        <s v="SAINT-MARTIN-DE-LENNE"/>
        <s v=" ESPALION"/>
        <s v="BASSE_x000a_ CURVALLE"/>
        <s v="GOLINHAC"/>
        <s v="SAINT LEONS"/>
        <s v="LAISSAC SEVERAC L EGLISE"/>
        <s v="CENTRES"/>
        <s v="PRUINES"/>
        <s v="BROMMET"/>
        <s v="RULLAC SAINT CRIQ "/>
        <s v="MONJAUX"/>
        <s v="MONTOZIER"/>
        <s v=" AURIAC-LAGAST"/>
        <s v="LE NAYRAC"/>
        <s v=" SAINT CHELY D AUBRAC"/>
        <s v="SAINTE EULALIE D OLT"/>
        <s v=" LESTRADE ET THOUELS"/>
        <s v="LUC LA PRIMAUBE"/>
        <s v="AUZITS"/>
        <s v="MOURET"/>
        <s v="CAMPAGNAC"/>
        <s v="ONQUES EN ROUERGUE"/>
        <s v="SAINT LAURENT D OLT"/>
        <s v="SAINT-LAURENT-DE-LEVEZOU"/>
        <s v="LA SELVE"/>
        <s v="NAJAC"/>
        <s v="AUBIN"/>
        <s v="PIERREFICHE"/>
        <s v="MONTROZIER"/>
        <s v="MOUNES PROHENCOU"/>
        <s v="VEYREAU"/>
        <s v="LES ALBRES"/>
        <s v=" VERRIERES"/>
        <s v="MELJAC"/>
        <m/>
        <s v="MOSTUEJOULS" u="1"/>
        <s v="LE NAYRAC " u="1"/>
        <s v="PEUX ET COUFFOULEUX" u="1"/>
        <s v="BARAQUEVILLE" u="1"/>
        <s v="GABRIAC" u="1"/>
        <s v="SAINT SEVER DU MOUSTIER" u="1"/>
        <s v="ENTRAYGUES SUR TRUYERE" u="1"/>
        <s v="SAINT JEAN D'ALCAPIES" u="1"/>
        <s v="ALMONT LES JUNIES" u="1"/>
        <s v="MONTEZIC" u="1"/>
        <s v=" LA SELVE" u="1"/>
        <s v="ESTAING" u="1"/>
        <s v="AGEN D AVEYRON" u="1"/>
        <s v="SEBAZAC CONCOURES" u="1"/>
        <s v="NAUELLE" u="1"/>
      </sharedItems>
    </cacheField>
    <cacheField name="ADRESSE" numFmtId="0">
      <sharedItems containsBlank="1" count="300">
        <s v="ST PAUL DES FONTS"/>
        <s v="2 CITE EDF"/>
        <s v="22 CHE DE LAVAL"/>
        <s v="497 RTE DE TREMOUILLES"/>
        <s v="LA BALAGE"/>
        <s v="CITE AUFFET"/>
        <s v="RUE DES FAYSSES"/>
        <s v="RUE DES ROSIERS"/>
        <s v="1 IMP DU CIMETIERRE"/>
        <s v="R DU RAVIN"/>
        <s v="756  Rue Irène Joliot Curie"/>
        <s v="LA BORIE DE POUJADE"/>
        <s v="169 RTE DE LESPINASSOLE"/>
        <s v="CHEMIN DU PLO"/>
        <s v=" BOUSSAC"/>
        <s v="27 NIGRESSERRE"/>
        <s v="2 RUE DES OISEAUX "/>
        <s v="RTE DE COUAT "/>
        <s v="LESTRADE"/>
        <s v="8 RUE DU COUVENT_x000a_SALLES CURAN"/>
        <s v="105 CHE DE PRACAMPS"/>
        <s v="8 RUE DU COUVENT"/>
        <s v="CHIVALDENQUE"/>
        <s v="SALMIECH"/>
        <s v="MAS DE MOULIS"/>
        <s v="L AIRE VIEILLE"/>
        <s v="CHE DES PRADES"/>
        <s v="38 PL SAINT JEAN"/>
        <s v="BESSODES LE SOURD"/>
        <s v="LD LA CAPELLE"/>
        <s v="280 RUE DES FAUVETTES"/>
        <s v="Route de la Retenue"/>
        <s v="BELLEVUE "/>
        <s v="LES BORIES"/>
        <s v="38 PL SAINT JEAN "/>
        <s v="12 R PATUS COMMUN"/>
        <s v="1 CHE DU CAMMAS"/>
        <s v="2 RUE DU THERON"/>
        <s v="FLOYRAC "/>
        <s v="AUSSUI"/>
        <s v="CAMBOULAS "/>
        <s v="1200 RTE DE PEYRAT"/>
        <s v="RTE DE SEINGLEYS"/>
        <s v="RUE PONTS "/>
        <s v="58 BD JOSEPH POULENC "/>
        <s v="21 ROUTE ST GERMAIN"/>
        <s v="_x0009_1 AVENUE DU SEGALA"/>
        <s v="11 LOT SAPINIER"/>
        <s v="_x0009_5 R SABLON"/>
        <s v="28 AV RESISTANTS SEVERAC LE CHATEAU"/>
        <s v="RUE PONTS BERTHOLENE"/>
        <s v="RTE DU LAGAST"/>
        <s v="Briols"/>
        <s v="4 R SARRUS"/>
        <s v="_x0009_5 RUE DU CLAUX"/>
        <s v="103 CHEMIN DE TREBONS"/>
        <s v="2 LIEU DIT LES GENEVRIERS"/>
        <s v="6033 PL DE LA SAINT LUNDI"/>
        <s v="_x0009_317 ROUTE DE NOYES"/>
        <s v="RUE DU RAVIN"/>
        <s v="603 AV SIMONE VEIL"/>
        <s v="5 R LORIOTS"/>
        <s v="2 R INDUSTRIE "/>
        <s v="1 IMPASSE DU CIMETIERE"/>
        <s v="6 RUE DU BERGER"/>
        <s v="409 CH DES VIGNES"/>
        <s v="LE BOURG"/>
        <s v="AV ESPALION"/>
        <s v="RUE DE LA MAIRIE"/>
        <s v="55 LOT LO CRUQUET II"/>
        <s v="Chemin de Maxels"/>
        <s v="11 RUE DE RASTIGNAC"/>
        <s v="RUE DE LA RAUNENQUE"/>
        <s v="31 RUE DU GENERAL"/>
        <s v="LA GRAILLERIE"/>
        <s v="Rue de la Grange"/>
        <s v="IMP DU COMBAL"/>
        <s v="1 IMP DU COMBAL"/>
        <s v="RUE IRENE JOLIOT CURIE"/>
        <s v="1 RUE DE LA SOURCE"/>
        <s v="23 RUE DE LA SOURCE"/>
        <s v="RUE DU BOIS"/>
        <s v="1 AVENUE DU SEGALA"/>
        <s v="COURRY"/>
        <s v="CHEMIN DES HAUTS DE PRIGNOLLES"/>
        <s v="1 PL VOULTRE"/>
        <s v="AVENUE ESPALION"/>
        <s v="ROUTE DE LACAZE"/>
        <s v="LA MOULINE"/>
        <s v="ST MAURICE"/>
        <s v="689 ROUTE DE CATUSSE"/>
        <s v="1 COURRY"/>
        <s v="425 RTE DE CAYSSIOLET"/>
        <s v="1 PRADELLES"/>
        <s v="RUE DES LOISIRS"/>
        <s v="CRESTELOU"/>
        <s v="CHEMIN DE LA PEYRE"/>
        <s v="CRAYSSAC"/>
        <s v="2 CHEMIN DES CLAUZELLOUS"/>
        <s v="LES CAZALS"/>
        <s v="8 RUE DU FOIRAIL"/>
        <s v="REVAYROL "/>
        <s v="981 AVENUE GEORGES POMPIDOU"/>
        <s v="535 RTE DES PUECHS à "/>
        <s v="PELINGRAS"/>
        <s v="LE MOULINET"/>
        <s v="PUECH CRAMAT"/>
        <s v="PASSERAT "/>
        <s v="MONTLOUBET "/>
        <s v="RTE COUPIAC"/>
        <s v="LD FERRIEZ"/>
        <s v="RTE DE SENICAN"/>
        <s v="LE LENIE"/>
        <s v="IMP DE MONTJOULE"/>
        <s v="LA SOURCE"/>
        <s v="COUDERC BANC"/>
        <s v="CH DE SOLAGES"/>
        <s v="LES INFRUTS"/>
        <s v="RTE BESSIERES"/>
        <s v="808 RTE DE LA MASSEYRIE"/>
        <s v="LE SARROS"/>
        <s v="RTE DE SOUBEYROLLES"/>
        <s v="RTE DES PERES"/>
        <s v="LA PALISSE"/>
        <s v="2 RUE JEAN BOUDOU"/>
        <s v="19 LOT SAINT FERREOLS"/>
        <s v="LE BOUYSSONIS"/>
        <s v="76 RUE DE LA TRIVALLE"/>
        <s v="1107 RTE DE LA BOULE"/>
        <s v="16B BD AYROLLE"/>
        <s v="ROUTE DE SARNHAC"/>
        <s v="PONT DE SALARS"/>
        <s v="23 AV REPUBLIQUE"/>
        <s v=" LE THERONDELS"/>
        <s v="78 CHEMIN DE LA SALESSE"/>
        <s v="1190 RTE DE LA COMBE"/>
        <s v="10 IMPASSE CAMBELIO"/>
        <s v="7 AV DE LA FONTBLANCHE"/>
        <s v="3 RUE PHILIPPE ROUTABOUL"/>
        <s v="6 AV DE LA PLAGE"/>
        <s v="380 CH DU PUECH DE CASSOS"/>
        <s v="1321 RTE DE VABRE"/>
        <s v="505 CH DES CERISIERS"/>
        <s v="RTE NANT"/>
        <s v="9 RTE DU VALLON"/>
        <s v="512 AV GEORGES DESIRAT"/>
        <s v="2 ROUTE DU SALES"/>
        <s v="166 CH DU MAS DE DAURELLE"/>
        <s v="RTE DE LA RIVIERE "/>
        <s v="2509 RTE DU TERRAL "/>
        <s v="IMP DE LAUZERAL"/>
        <s v="_x0009_RUE DU CHANOINE BREVIER"/>
        <m/>
        <s v="CH DE LA SALESSE  "/>
        <s v="LE BOUSQUET HAUT"/>
        <s v="10 LOT LE CAUSSE"/>
        <s v="RUE DU FOIRAIL"/>
        <s v="RTE DE TAURINES"/>
        <s v="LE CAMP GRAND"/>
        <s v="RTE DE SAINT ANTHIME"/>
        <s v="AV ROSIERS"/>
        <s v="5802 PL GEN DE GAULLE"/>
        <s v="RTE DE BORN"/>
        <s v="CANDAS "/>
        <s v="ROUTE DE LA VEZINGUE"/>
        <s v="CHEMIN DU CHAMP DES LOUPS"/>
        <s v="MAXELS "/>
        <s v="2171 RTE DU LAGAST"/>
        <s v="2 R EGLISE "/>
        <s v="CHE DE COMBEFOUILLOUSE"/>
        <s v="IMP DE COMBEFOUILLOUSE"/>
        <s v="LOT LES LANDES"/>
        <s v="_x0009_RUE DU PONT VIEUX"/>
        <s v="Avenue d'Espalion"/>
        <s v="Place Voultre"/>
        <s v="LES COMBES DE LA BORIE"/>
        <s v="8 AV ARSENE"/>
        <s v="RUE DU CHANOINE BREVIER"/>
        <s v="AV DE MOUSSAC"/>
        <s v="2 R EGLISE"/>
        <s v="8 AV ARSENE RATIER"/>
        <s v="RTE GORGES DU TARN"/>
        <s v="7 RUE DU LOT"/>
        <s v="RTE DE LA RIVIERE"/>
        <s v="12 PL MANDAROUS"/>
        <s v="1  RUE BARRA"/>
        <s v="LD TAYSSES"/>
        <s v="Route de Cros Viel"/>
        <s v="Place des Aludiers"/>
        <s v="RTE DE LA BOISSONNADE"/>
        <s v="_x0009_RTE DE VABRE"/>
        <s v="TRAPPES "/>
        <s v="LA DAYROLLE"/>
        <s v="1 FON ROZE"/>
        <s v="RTE DE SEVERAC"/>
        <s v="L HORTE"/>
        <s v="L'Horte"/>
        <s v="1 CH DU MOULINET"/>
        <s v="RUE DU SELZET"/>
        <s v="LOTISSEMENT LE CLAPEYROL"/>
        <s v="LESCURE "/>
        <s v="AV DE LA SALSE "/>
        <s v="2 RUE DE LA CROUZETTE"/>
        <s v="RTE DE VAYSSOUS"/>
        <s v="LE PUECH SAINT AMANS"/>
        <s v="1 PL SAINT BARTHELEMY"/>
        <s v="5 PL JEAN JAURES à AUBIN"/>
        <s v="LE CAMP DEL RIOU"/>
        <s v="LA REMISE"/>
        <s v="GALINIERES"/>
        <s v="645 CHEMIN DU CHAMP DES LOUPS"/>
        <s v="1 RUE BARRA"/>
        <s v="5 R SABLON"/>
        <s v="1 CH DE ROUZET"/>
        <s v="LD LES BOUZIGUES"/>
        <s v="AVENUE COMBE CROZES"/>
        <s v="RUE DU PORCHE"/>
        <s v="CHEMIN PIERRE BLANCHE"/>
        <s v="5 RUE DU CLAUX"/>
        <s v="BOURG"/>
        <s v="18 R SOUBAYROL"/>
        <s v="IMP DE LA COMBELLE"/>
        <s v="_x0009_1 CONCLUS"/>
        <s v="_x0009_CITE LA LANDETTE"/>
        <s v="RTE NOLORGUES"/>
        <s v="8 GRASCAZES BASSES"/>
        <s v="28 Avenue des Résistants" u="1"/>
        <s v="1 IMPASSE DU COMBAL" u="1"/>
        <s v="LE ROUCOUS" u="1"/>
        <s v="LE MALTRAITES" u="1"/>
        <s v="11 R STE CATHERINE" u="1"/>
        <s v="CH DU DEBARCADERE DE SAINT PAL" u="1"/>
        <s v="LE BOURG " u="1"/>
        <s v="IMP DU CLAUX" u="1"/>
        <s v="539 CH DE ROUSSY" u="1"/>
        <s v="MAYRES" u="1"/>
        <s v="Rue de l'Industrie" u="1"/>
        <s v="572 R BEAU SOLEIL" u="1"/>
        <s v="VILLEPLAINE" u="1"/>
        <s v="6 CH DES CAPUCINES" u="1"/>
        <s v="AV DE MOUSSAC_x000a_ " u="1"/>
        <s v="233 RTE DU CAYLA" u="1"/>
        <s v="468 CH DE LA BORIE DE SAINT MEEN" u="1"/>
        <s v="CHE BOUYSSE" u="1"/>
        <s v="598 RUE ARBRE DE LA GARDE" u="1"/>
        <s v="FRAYSSE" u="1"/>
        <s v="RTE SORGUES" u="1"/>
        <s v="LE PRE VIBAL" u="1"/>
        <s v="LA VAYSSIERE" u="1"/>
        <s v="3178 RTE DE LAX" u="1"/>
        <s v="LD MONTCHAUSSONS" u="1"/>
        <s v="IMP CANTEMERLE" u="1"/>
        <s v="CH DE LA CALSADE" u="1"/>
        <s v="1 CH DE LA MONTADE" u="1"/>
        <s v="LA GARDELLE BASSE" u="1"/>
        <s v="1369 COMBRIERES" u="1"/>
        <s v="ALCAPIES" u="1"/>
        <s v="_x0009_Le Bourg" u="1"/>
        <s v="21 RUE PRINCIPALE" u="1"/>
        <s v="6 R DES ECOLES" u="1"/>
        <s v="346 RTE LACROIX BARREZ" u="1"/>
        <s v="230 RTE DE LA LANDETTE" u="1"/>
        <s v="_x0009_1 IMP DU CAYROU" u="1"/>
        <s v="HAM LES BRUNES" u="1"/>
        <s v="5 LD LA CAPELLE" u="1"/>
        <s v="RUE DES COUDEDIOLS " u="1"/>
        <s v="603 RTE DE CEOR" u="1"/>
        <s v="6 RUE DE L EGLISE" u="1"/>
        <s v="Avenue d'Espalion - AVEYRON HABITAT" u="1"/>
        <s v="Briols - CARVEL / MME HUCHET" u="1"/>
        <s v="Place Voultre - SCI CHAMOUR" u="1"/>
        <s v="Rue de la Grange - MAIRIE DE BROMMAT" u="1"/>
        <s v="LD LES BALIERES à THERONDELS" u="1"/>
        <s v="3801 RTE D ANNAT" u="1"/>
        <s v="AV RODEZ" u="1"/>
        <s v="112 CH DES CERISIERS" u="1"/>
        <s v="PELINGRAS_x000a_" u="1"/>
        <s v="11 RUE DE FONTENAY" u="1"/>
        <s v="559 RTE DE FRAYSSINHES" u="1"/>
        <s v="AV AUBRAC" u="1"/>
        <s v="1 CHEMIN AL GARRIC" u="1"/>
        <s v="ZR CAYLUS 2 " u="1"/>
        <s v="_x0009_PEYRELADE" u="1"/>
        <s v="Avenue des Résistants" u="1"/>
        <s v="6 RUE DU THERON" u="1"/>
        <s v="9 CH DU CROUP" u="1"/>
        <s v="981 AVENUE GEORGES_x000a_POMPIDOU " u="1"/>
        <s v="LD LE CASSE" u="1"/>
        <s v="ROUASSAS " u="1"/>
        <s v="81 RTE DU CHARROUZECH" u="1"/>
        <s v="14 IMP DU CAYROU" u="1"/>
        <s v="TALOU" u="1"/>
        <s v="R DES ECOLES" u="1"/>
        <s v="RUE DES CAVES" u="1"/>
        <s v="RUE DE PEYROLEBADE" u="1"/>
        <s v="19 RUE DE SAINT JEAN LE FROID" u="1"/>
        <s v="5025 AVENUE JOEL PILON" u="1"/>
        <s v="PL GEN DE GAULLE" u="1"/>
        <s v="CLAUX DE MERDANS" u="1"/>
        <s v="485 BD GANDALOU" u="1"/>
      </sharedItems>
    </cacheField>
    <cacheField name="DATE VT" numFmtId="0">
      <sharedItems containsDate="1" containsBlank="1" containsMixedTypes="1" minDate="2025-01-15T00:00:00" maxDate="2025-09-19T00:00:00"/>
    </cacheField>
    <cacheField name="COMMENTAIRES" numFmtId="0">
      <sharedItems containsBlank="1"/>
    </cacheField>
    <cacheField name="CAFF" numFmtId="0">
      <sharedItems containsBlank="1"/>
    </cacheField>
    <cacheField name="CTC" numFmtId="0">
      <sharedItems containsString="0" containsBlank="1" containsNumber="1" containsInteger="1" minValue="565445012" maxValue="785973431"/>
    </cacheField>
    <cacheField name="DATE CREATION" numFmtId="0">
      <sharedItems containsNonDate="0" containsDate="1" containsString="0" containsBlank="1" minDate="2022-12-13T00:00:00" maxDate="2025-09-18T00:00:00"/>
    </cacheField>
    <cacheField name="DATE RECU" numFmtId="0">
      <sharedItems containsDate="1" containsBlank="1" containsMixedTypes="1" minDate="2021-08-30T00:00:00" maxDate="2025-09-18T00:00:00"/>
    </cacheField>
    <cacheField name="MOIS" numFmtId="0">
      <sharedItems containsString="0" containsBlank="1" containsNumber="1" containsInteger="1" minValue="1" maxValue="12" count="13">
        <n v="10"/>
        <n v="12"/>
        <n v="11"/>
        <n v="4"/>
        <n v="7"/>
        <n v="8"/>
        <n v="2"/>
        <n v="6"/>
        <n v="1"/>
        <n v="9"/>
        <n v="3"/>
        <n v="5"/>
        <m/>
      </sharedItems>
    </cacheField>
    <cacheField name="ANNEE" numFmtId="0">
      <sharedItems containsString="0" containsBlank="1" containsNumber="1" containsInteger="1" minValue="1900" maxValue="2025" count="6">
        <n v="2024"/>
        <n v="2023"/>
        <n v="2025"/>
        <n v="2022"/>
        <n v="190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m/>
    <m/>
    <x v="0"/>
    <m/>
    <x v="0"/>
    <s v="BAY300761"/>
    <x v="0"/>
    <m/>
    <m/>
    <x v="0"/>
    <x v="0"/>
    <m/>
    <m/>
    <x v="0"/>
    <m/>
    <m/>
    <m/>
    <m/>
    <x v="0"/>
    <x v="0"/>
  </r>
  <r>
    <m/>
    <m/>
    <x v="0"/>
    <m/>
    <x v="0"/>
    <s v="IMI-VA-64260/035J-1"/>
    <x v="0"/>
    <d v="1990-01-01T00:00:00"/>
    <m/>
    <x v="1"/>
    <x v="1"/>
    <m/>
    <m/>
    <x v="0"/>
    <m/>
    <m/>
    <m/>
    <m/>
    <x v="1"/>
    <x v="1"/>
  </r>
  <r>
    <s v="BAY201495"/>
    <d v="2025-09-30T00:00:00"/>
    <x v="0"/>
    <m/>
    <x v="1"/>
    <s v="BAY200287"/>
    <x v="1"/>
    <d v="2022-02-01T00:00:00"/>
    <d v="2025-04-20T00:00:00"/>
    <x v="2"/>
    <x v="2"/>
    <m/>
    <m/>
    <x v="0"/>
    <m/>
    <m/>
    <m/>
    <m/>
    <x v="0"/>
    <x v="0"/>
  </r>
  <r>
    <s v="BAY400496"/>
    <d v="2025-09-16T00:00:00"/>
    <x v="0"/>
    <d v="2025-03-07T00:00:00"/>
    <x v="1"/>
    <s v="BAY400250"/>
    <x v="2"/>
    <d v="2024-02-28T00:00:00"/>
    <d v="2024-07-10T00:00:00"/>
    <x v="3"/>
    <x v="3"/>
    <m/>
    <m/>
    <x v="0"/>
    <m/>
    <m/>
    <m/>
    <m/>
    <x v="2"/>
    <x v="2"/>
  </r>
  <r>
    <m/>
    <m/>
    <x v="0"/>
    <m/>
    <x v="1"/>
    <s v="IMI-VA-64024/04RO-2"/>
    <x v="0"/>
    <d v="1990-01-01T00:00:00"/>
    <m/>
    <x v="4"/>
    <x v="4"/>
    <m/>
    <d v="2025-07-07T00:00:00"/>
    <x v="1"/>
    <m/>
    <m/>
    <m/>
    <m/>
    <x v="1"/>
    <x v="1"/>
  </r>
  <r>
    <m/>
    <m/>
    <x v="0"/>
    <s v="en cours "/>
    <x v="1"/>
    <s v="IMI-VA-64024/0881-1"/>
    <x v="0"/>
    <d v="1990-01-02T00:00:00"/>
    <m/>
    <x v="4"/>
    <x v="5"/>
    <m/>
    <d v="2025-06-23T00:00:00"/>
    <x v="2"/>
    <m/>
    <m/>
    <m/>
    <m/>
    <x v="1"/>
    <x v="1"/>
  </r>
  <r>
    <m/>
    <m/>
    <x v="0"/>
    <m/>
    <x v="1"/>
    <s v="IMI-VA-64102/04XL-1"/>
    <x v="0"/>
    <d v="1990-01-01T00:00:00"/>
    <m/>
    <x v="5"/>
    <x v="6"/>
    <m/>
    <m/>
    <x v="0"/>
    <m/>
    <m/>
    <m/>
    <m/>
    <x v="1"/>
    <x v="1"/>
  </r>
  <r>
    <m/>
    <m/>
    <x v="0"/>
    <m/>
    <x v="1"/>
    <s v="IMI-VA-64122/00RM-1"/>
    <x v="0"/>
    <d v="2025-04-08T00:00:00"/>
    <m/>
    <x v="6"/>
    <x v="7"/>
    <m/>
    <m/>
    <x v="0"/>
    <m/>
    <m/>
    <m/>
    <m/>
    <x v="3"/>
    <x v="3"/>
  </r>
  <r>
    <m/>
    <m/>
    <x v="0"/>
    <d v="2025-03-20T00:00:00"/>
    <x v="1"/>
    <s v="IMI-VA-64122/02WK-1"/>
    <x v="0"/>
    <d v="1990-01-01T00:00:00"/>
    <m/>
    <x v="6"/>
    <x v="8"/>
    <m/>
    <d v="2025-05-15T00:00:00"/>
    <x v="3"/>
    <m/>
    <m/>
    <m/>
    <m/>
    <x v="1"/>
    <x v="1"/>
  </r>
  <r>
    <m/>
    <m/>
    <x v="0"/>
    <d v="2025-03-20T00:00:00"/>
    <x v="1"/>
    <s v="IMI-VA-64140/023B-1"/>
    <x v="0"/>
    <d v="1990-01-01T00:00:00"/>
    <m/>
    <x v="7"/>
    <x v="9"/>
    <m/>
    <m/>
    <x v="0"/>
    <m/>
    <m/>
    <m/>
    <m/>
    <x v="1"/>
    <x v="1"/>
  </r>
  <r>
    <m/>
    <m/>
    <x v="0"/>
    <m/>
    <x v="1"/>
    <s v="IMI-VA-64125/01NO-1"/>
    <x v="0"/>
    <d v="1990-01-01T00:00:00"/>
    <m/>
    <x v="8"/>
    <x v="10"/>
    <m/>
    <d v="2025-06-17T00:00:00"/>
    <x v="4"/>
    <m/>
    <m/>
    <m/>
    <m/>
    <x v="1"/>
    <x v="1"/>
  </r>
  <r>
    <m/>
    <m/>
    <x v="0"/>
    <m/>
    <x v="1"/>
    <s v="IMI-VA-64024/035M-1"/>
    <x v="0"/>
    <d v="1990-01-02T00:00:00"/>
    <m/>
    <x v="4"/>
    <x v="11"/>
    <m/>
    <d v="2025-06-16T00:00:00"/>
    <x v="5"/>
    <m/>
    <m/>
    <m/>
    <m/>
    <x v="1"/>
    <x v="1"/>
  </r>
  <r>
    <m/>
    <m/>
    <x v="0"/>
    <m/>
    <x v="1"/>
    <s v="IMI-VL-64102/00BT-1"/>
    <x v="0"/>
    <d v="1990-01-03T00:00:00"/>
    <m/>
    <x v="5"/>
    <x v="12"/>
    <m/>
    <d v="2025-07-07T00:00:00"/>
    <x v="6"/>
    <m/>
    <m/>
    <m/>
    <m/>
    <x v="1"/>
    <x v="1"/>
  </r>
  <r>
    <s v="BAY300706"/>
    <d v="2025-09-01T00:00:00"/>
    <x v="1"/>
    <m/>
    <x v="2"/>
    <s v="BAY400496"/>
    <x v="3"/>
    <d v="2024-05-02T00:00:00"/>
    <d v="2025-04-30T00:00:00"/>
    <x v="9"/>
    <x v="13"/>
    <m/>
    <m/>
    <x v="0"/>
    <m/>
    <m/>
    <m/>
    <m/>
    <x v="4"/>
    <x v="2"/>
  </r>
  <r>
    <m/>
    <m/>
    <x v="2"/>
    <m/>
    <x v="2"/>
    <s v="BAY400497"/>
    <x v="3"/>
    <d v="2024-05-02T00:00:00"/>
    <d v="2025-04-30T00:00:00"/>
    <x v="9"/>
    <x v="13"/>
    <m/>
    <m/>
    <x v="0"/>
    <m/>
    <m/>
    <m/>
    <m/>
    <x v="4"/>
    <x v="2"/>
  </r>
  <r>
    <m/>
    <m/>
    <x v="3"/>
    <m/>
    <x v="2"/>
    <s v="BAY400498"/>
    <x v="3"/>
    <d v="2024-05-02T00:00:00"/>
    <d v="2025-04-30T00:00:00"/>
    <x v="9"/>
    <x v="13"/>
    <m/>
    <m/>
    <x v="0"/>
    <m/>
    <m/>
    <m/>
    <m/>
    <x v="4"/>
    <x v="2"/>
  </r>
  <r>
    <s v="BAY400498"/>
    <d v="2025-08-19T00:00:00"/>
    <x v="4"/>
    <s v="20/03/2025 en cours"/>
    <x v="3"/>
    <s v="BAY300774"/>
    <x v="4"/>
    <d v="2023-08-03T00:00:00"/>
    <d v="2025-07-10T00:00:00"/>
    <x v="10"/>
    <x v="14"/>
    <m/>
    <d v="2025-07-25T00:00:00"/>
    <x v="7"/>
    <m/>
    <m/>
    <m/>
    <m/>
    <x v="5"/>
    <x v="4"/>
  </r>
  <r>
    <m/>
    <m/>
    <x v="5"/>
    <m/>
    <x v="3"/>
    <s v="BAY400536"/>
    <x v="4"/>
    <d v="2024-05-15T00:00:00"/>
    <d v="2025-07-10T00:00:00"/>
    <x v="11"/>
    <x v="15"/>
    <m/>
    <m/>
    <x v="0"/>
    <m/>
    <m/>
    <m/>
    <m/>
    <x v="4"/>
    <x v="2"/>
  </r>
  <r>
    <m/>
    <m/>
    <x v="0"/>
    <m/>
    <x v="3"/>
    <s v="IMI-VA-64024/02WH-1"/>
    <x v="0"/>
    <d v="2000-02-02T00:00:00"/>
    <m/>
    <x v="4"/>
    <x v="16"/>
    <m/>
    <d v="2025-06-17T00:00:00"/>
    <x v="8"/>
    <m/>
    <m/>
    <m/>
    <m/>
    <x v="0"/>
    <x v="0"/>
  </r>
  <r>
    <m/>
    <m/>
    <x v="0"/>
    <d v="2025-03-04T00:00:00"/>
    <x v="3"/>
    <s v="IMI-VA-64024/01YT-1"/>
    <x v="0"/>
    <d v="1990-01-01T00:00:00"/>
    <m/>
    <x v="4"/>
    <x v="17"/>
    <m/>
    <m/>
    <x v="0"/>
    <m/>
    <m/>
    <m/>
    <m/>
    <x v="1"/>
    <x v="1"/>
  </r>
  <r>
    <m/>
    <m/>
    <x v="0"/>
    <m/>
    <x v="3"/>
    <s v="IMI-VA-64102/049N-2"/>
    <x v="0"/>
    <d v="2025-04-09T00:00:00"/>
    <m/>
    <x v="5"/>
    <x v="18"/>
    <m/>
    <m/>
    <x v="0"/>
    <m/>
    <m/>
    <m/>
    <m/>
    <x v="3"/>
    <x v="3"/>
  </r>
  <r>
    <m/>
    <m/>
    <x v="0"/>
    <m/>
    <x v="3"/>
    <s v="IMI-VA-64125/02AH-1"/>
    <x v="0"/>
    <d v="1990-01-04T00:00:00"/>
    <m/>
    <x v="8"/>
    <x v="19"/>
    <m/>
    <d v="2025-06-16T00:00:00"/>
    <x v="9"/>
    <m/>
    <m/>
    <m/>
    <m/>
    <x v="1"/>
    <x v="1"/>
  </r>
  <r>
    <s v="BAY000397"/>
    <d v="2025-07-31T00:00:00"/>
    <x v="6"/>
    <m/>
    <x v="4"/>
    <s v="BAY000397"/>
    <x v="5"/>
    <d v="2020-02-04T00:00:00"/>
    <d v="2025-07-10T00:00:00"/>
    <x v="12"/>
    <x v="20"/>
    <m/>
    <m/>
    <x v="0"/>
    <m/>
    <m/>
    <m/>
    <m/>
    <x v="2"/>
    <x v="5"/>
  </r>
  <r>
    <s v="BAY400289"/>
    <d v="2025-09-22T00:00:00"/>
    <x v="7"/>
    <s v="30/06 à 14h"/>
    <x v="4"/>
    <s v="BAY300713"/>
    <x v="5"/>
    <d v="2023-07-18T00:00:00"/>
    <d v="2025-02-10T00:00:00"/>
    <x v="13"/>
    <x v="21"/>
    <m/>
    <m/>
    <x v="0"/>
    <m/>
    <m/>
    <m/>
    <m/>
    <x v="6"/>
    <x v="4"/>
  </r>
  <r>
    <s v="BAY300372"/>
    <d v="2025-09-30T00:00:00"/>
    <x v="8"/>
    <s v="inexistant sur sharepoint "/>
    <x v="5"/>
    <s v="BAY201495"/>
    <x v="5"/>
    <d v="2022-09-15T00:00:00"/>
    <d v="2025-05-21T00:00:00"/>
    <x v="14"/>
    <x v="22"/>
    <m/>
    <m/>
    <x v="0"/>
    <m/>
    <m/>
    <m/>
    <m/>
    <x v="0"/>
    <x v="0"/>
  </r>
  <r>
    <s v="BAY300536"/>
    <d v="2025-07-30T00:00:00"/>
    <x v="2"/>
    <s v="mardi"/>
    <x v="5"/>
    <s v="BAY300103"/>
    <x v="2"/>
    <d v="2023-01-26T00:00:00"/>
    <d v="2024-05-31T00:00:00"/>
    <x v="15"/>
    <x v="23"/>
    <m/>
    <m/>
    <x v="0"/>
    <m/>
    <m/>
    <m/>
    <m/>
    <x v="1"/>
    <x v="4"/>
  </r>
  <r>
    <s v="BAY300408"/>
    <d v="2025-07-30T00:00:00"/>
    <x v="9"/>
    <s v="VT OK"/>
    <x v="5"/>
    <s v="BAY300322"/>
    <x v="2"/>
    <d v="2023-03-21T00:00:00"/>
    <d v="2023-08-10T00:00:00"/>
    <x v="16"/>
    <x v="24"/>
    <m/>
    <m/>
    <x v="0"/>
    <m/>
    <m/>
    <m/>
    <m/>
    <x v="7"/>
    <x v="4"/>
  </r>
  <r>
    <s v="BAY300774"/>
    <d v="2025-07-29T00:00:00"/>
    <x v="8"/>
    <s v="besoin binome "/>
    <x v="5"/>
    <s v="BAY300372"/>
    <x v="2"/>
    <d v="2023-03-31T00:00:00"/>
    <d v="2023-06-29T00:00:00"/>
    <x v="17"/>
    <x v="25"/>
    <m/>
    <m/>
    <x v="0"/>
    <m/>
    <m/>
    <m/>
    <m/>
    <x v="7"/>
    <x v="4"/>
  </r>
  <r>
    <s v="BAY400374"/>
    <d v="2025-08-28T00:00:00"/>
    <x v="10"/>
    <d v="2025-06-30T00:00:00"/>
    <x v="5"/>
    <s v="BAY300408"/>
    <x v="2"/>
    <d v="2023-04-05T00:00:00"/>
    <d v="2025-04-30T00:00:00"/>
    <x v="18"/>
    <x v="26"/>
    <m/>
    <m/>
    <x v="0"/>
    <m/>
    <m/>
    <m/>
    <m/>
    <x v="3"/>
    <x v="4"/>
  </r>
  <r>
    <s v="BAY400536"/>
    <d v="2025-07-25T00:00:00"/>
    <x v="10"/>
    <s v="JEUDI"/>
    <x v="5"/>
    <s v="BAY300536"/>
    <x v="5"/>
    <d v="2023-05-15T00:00:00"/>
    <d v="2025-03-31T00:00:00"/>
    <x v="19"/>
    <x v="27"/>
    <m/>
    <m/>
    <x v="0"/>
    <m/>
    <m/>
    <m/>
    <m/>
    <x v="4"/>
    <x v="4"/>
  </r>
  <r>
    <s v="BAY300739"/>
    <d v="2025-09-22T00:00:00"/>
    <x v="11"/>
    <s v="besoin binome "/>
    <x v="5"/>
    <s v="BAY300706"/>
    <x v="2"/>
    <d v="2023-07-18T00:00:00"/>
    <d v="2023-10-20T00:00:00"/>
    <x v="20"/>
    <x v="28"/>
    <m/>
    <m/>
    <x v="0"/>
    <m/>
    <m/>
    <m/>
    <m/>
    <x v="6"/>
    <x v="4"/>
  </r>
  <r>
    <s v="BAY400342"/>
    <d v="2025-08-20T00:00:00"/>
    <x v="12"/>
    <d v="2025-06-30T00:00:00"/>
    <x v="5"/>
    <s v="BAY300739"/>
    <x v="2"/>
    <d v="2023-07-24T00:00:00"/>
    <d v="2023-11-27T00:00:00"/>
    <x v="13"/>
    <x v="29"/>
    <m/>
    <m/>
    <x v="0"/>
    <m/>
    <m/>
    <m/>
    <m/>
    <x v="6"/>
    <x v="4"/>
  </r>
  <r>
    <s v="BAY300103"/>
    <d v="2025-09-05T00:00:00"/>
    <x v="12"/>
    <d v="2025-07-01T00:00:00"/>
    <x v="5"/>
    <s v="BAY400289"/>
    <x v="2"/>
    <d v="2024-03-12T00:00:00"/>
    <d v="2024-09-02T00:00:00"/>
    <x v="21"/>
    <x v="30"/>
    <m/>
    <m/>
    <x v="0"/>
    <m/>
    <m/>
    <m/>
    <m/>
    <x v="7"/>
    <x v="2"/>
  </r>
  <r>
    <s v="BAY400497"/>
    <d v="2025-09-05T00:00:00"/>
    <x v="13"/>
    <s v="VT OK"/>
    <x v="5"/>
    <s v="BAY400342"/>
    <x v="2"/>
    <d v="2024-03-21T00:00:00"/>
    <d v="2024-12-02T00:00:00"/>
    <x v="10"/>
    <x v="31"/>
    <m/>
    <m/>
    <x v="0"/>
    <m/>
    <m/>
    <m/>
    <m/>
    <x v="7"/>
    <x v="2"/>
  </r>
  <r>
    <s v="BAY400466"/>
    <d v="2025-08-05T00:00:00"/>
    <x v="0"/>
    <m/>
    <x v="5"/>
    <s v="BAY400353"/>
    <x v="2"/>
    <d v="2024-03-26T00:00:00"/>
    <d v="2025-04-30T00:00:00"/>
    <x v="22"/>
    <x v="32"/>
    <m/>
    <m/>
    <x v="0"/>
    <m/>
    <m/>
    <m/>
    <m/>
    <x v="7"/>
    <x v="2"/>
  </r>
  <r>
    <s v="BAY300322"/>
    <d v="2025-09-04T00:00:00"/>
    <x v="14"/>
    <d v="2025-03-07T00:00:00"/>
    <x v="5"/>
    <s v="BAY400374"/>
    <x v="2"/>
    <d v="2024-03-28T00:00:00"/>
    <d v="2024-12-10T00:00:00"/>
    <x v="23"/>
    <x v="33"/>
    <m/>
    <m/>
    <x v="0"/>
    <m/>
    <m/>
    <m/>
    <m/>
    <x v="7"/>
    <x v="2"/>
  </r>
  <r>
    <s v="BAY300713"/>
    <d v="2025-08-04T00:00:00"/>
    <x v="15"/>
    <s v="JEUDI"/>
    <x v="5"/>
    <s v="BAY400466"/>
    <x v="2"/>
    <d v="2024-04-23T00:00:00"/>
    <d v="2024-09-16T00:00:00"/>
    <x v="5"/>
    <x v="34"/>
    <m/>
    <m/>
    <x v="0"/>
    <m/>
    <m/>
    <m/>
    <m/>
    <x v="3"/>
    <x v="2"/>
  </r>
  <r>
    <m/>
    <m/>
    <x v="0"/>
    <d v="2025-07-16T00:00:00"/>
    <x v="5"/>
    <s v="IMI-VL-64102/02WO-1"/>
    <x v="0"/>
    <d v="2025-05-07T00:00:00"/>
    <d v="2025-07-15T00:00:00"/>
    <x v="5"/>
    <x v="35"/>
    <m/>
    <m/>
    <x v="0"/>
    <m/>
    <m/>
    <m/>
    <m/>
    <x v="4"/>
    <x v="3"/>
  </r>
  <r>
    <m/>
    <m/>
    <x v="16"/>
    <m/>
    <x v="5"/>
    <s v="IMI-VA-64125/01UK-1"/>
    <x v="0"/>
    <m/>
    <m/>
    <x v="8"/>
    <x v="36"/>
    <m/>
    <m/>
    <x v="0"/>
    <m/>
    <m/>
    <m/>
    <m/>
    <x v="0"/>
    <x v="0"/>
  </r>
  <r>
    <m/>
    <m/>
    <x v="16"/>
    <m/>
    <x v="5"/>
    <s v="IMI-VA-64483/02AY-1"/>
    <x v="0"/>
    <m/>
    <m/>
    <x v="24"/>
    <x v="37"/>
    <m/>
    <m/>
    <x v="0"/>
    <m/>
    <m/>
    <m/>
    <m/>
    <x v="0"/>
    <x v="0"/>
  </r>
  <r>
    <m/>
    <m/>
    <x v="16"/>
    <m/>
    <x v="6"/>
    <m/>
    <x v="0"/>
    <m/>
    <m/>
    <x v="25"/>
    <x v="38"/>
    <m/>
    <m/>
    <x v="0"/>
    <m/>
    <m/>
    <m/>
    <m/>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PAU301083"/>
    <d v="2025-09-01T00:00:00"/>
    <x v="0"/>
    <m/>
    <x v="0"/>
    <s v="PAU400366"/>
    <x v="0"/>
    <d v="2024-04-02T00:00:00"/>
    <d v="2025-06-02T00:00:00"/>
    <x v="0"/>
    <x v="0"/>
    <m/>
    <m/>
    <x v="0"/>
    <m/>
    <m/>
    <m/>
    <m/>
    <x v="0"/>
    <x v="0"/>
  </r>
  <r>
    <m/>
    <m/>
    <x v="0"/>
    <s v="VENDREDI"/>
    <x v="0"/>
    <s v="PAU400666"/>
    <x v="1"/>
    <d v="2024-07-08T00:00:00"/>
    <d v="2025-07-10T00:00:00"/>
    <x v="1"/>
    <x v="1"/>
    <m/>
    <m/>
    <x v="0"/>
    <m/>
    <m/>
    <m/>
    <m/>
    <x v="1"/>
    <x v="0"/>
  </r>
  <r>
    <s v="PAU400540"/>
    <d v="2025-07-23T00:00:00"/>
    <x v="0"/>
    <d v="2025-03-13T00:00:00"/>
    <x v="1"/>
    <s v="PAU300543"/>
    <x v="1"/>
    <d v="2023-04-19T00:00:00"/>
    <d v="2023-08-16T00:00:00"/>
    <x v="2"/>
    <x v="2"/>
    <m/>
    <m/>
    <x v="0"/>
    <m/>
    <m/>
    <m/>
    <m/>
    <x v="0"/>
    <x v="1"/>
  </r>
  <r>
    <s v="PAU301245"/>
    <d v="2025-11-03T00:00:00"/>
    <x v="0"/>
    <d v="2025-03-13T00:00:00"/>
    <x v="1"/>
    <s v="PAU400255"/>
    <x v="1"/>
    <d v="2024-03-08T00:00:00"/>
    <d v="2024-12-02T00:00:00"/>
    <x v="3"/>
    <x v="3"/>
    <m/>
    <m/>
    <x v="0"/>
    <m/>
    <m/>
    <m/>
    <m/>
    <x v="2"/>
    <x v="0"/>
  </r>
  <r>
    <m/>
    <m/>
    <x v="1"/>
    <s v="VENDREDI"/>
    <x v="2"/>
    <s v="PAU400711"/>
    <x v="1"/>
    <d v="2024-07-26T00:00:00"/>
    <d v="2025-07-10T00:00:00"/>
    <x v="4"/>
    <x v="4"/>
    <m/>
    <m/>
    <x v="0"/>
    <m/>
    <m/>
    <m/>
    <m/>
    <x v="1"/>
    <x v="0"/>
  </r>
  <r>
    <s v="PAU301084"/>
    <d v="2025-09-01T00:00:00"/>
    <x v="2"/>
    <s v="VENDREDI"/>
    <x v="3"/>
    <s v="PAU400369"/>
    <x v="2"/>
    <d v="2024-04-02T00:00:00"/>
    <d v="2025-02-10T00:00:00"/>
    <x v="5"/>
    <x v="5"/>
    <m/>
    <m/>
    <x v="0"/>
    <m/>
    <m/>
    <m/>
    <m/>
    <x v="0"/>
    <x v="0"/>
  </r>
  <r>
    <s v="PAU300741"/>
    <d v="2025-09-29T00:00:00"/>
    <x v="3"/>
    <s v="TVX FINIS"/>
    <x v="4"/>
    <s v="PAU101592"/>
    <x v="1"/>
    <d v="2021-04-27T00:00:00"/>
    <d v="2025-04-30T00:00:00"/>
    <x v="6"/>
    <x v="6"/>
    <m/>
    <m/>
    <x v="0"/>
    <m/>
    <m/>
    <m/>
    <m/>
    <x v="0"/>
    <x v="2"/>
  </r>
  <r>
    <s v="PAU103623"/>
    <d v="2025-09-11T00:00:00"/>
    <x v="4"/>
    <s v="mardi"/>
    <x v="4"/>
    <s v="PAU400195"/>
    <x v="2"/>
    <d v="2024-02-22T00:00:00"/>
    <d v="2025-03-31T00:00:00"/>
    <x v="7"/>
    <x v="7"/>
    <m/>
    <m/>
    <x v="0"/>
    <m/>
    <m/>
    <m/>
    <m/>
    <x v="3"/>
    <x v="0"/>
  </r>
  <r>
    <m/>
    <m/>
    <x v="3"/>
    <s v="à appeler apres le 21/07"/>
    <x v="2"/>
    <s v="PAU400058"/>
    <x v="3"/>
    <d v="2024-01-16T00:00:00"/>
    <m/>
    <x v="8"/>
    <x v="8"/>
    <m/>
    <m/>
    <x v="0"/>
    <m/>
    <m/>
    <m/>
    <s v="rappeller après le 21/07"/>
    <x v="4"/>
    <x v="0"/>
  </r>
  <r>
    <s v="PAU400369"/>
    <d v="2025-07-30T00:00:00"/>
    <x v="5"/>
    <s v="VENDREDI"/>
    <x v="2"/>
    <s v="PAU001373"/>
    <x v="1"/>
    <d v="2020-03-23T00:00:00"/>
    <d v="2024-09-26T00:00:00"/>
    <x v="9"/>
    <x v="9"/>
    <m/>
    <m/>
    <x v="0"/>
    <m/>
    <m/>
    <m/>
    <m/>
    <x v="2"/>
    <x v="3"/>
  </r>
  <r>
    <s v="PAU301246"/>
    <d v="2025-07-28T00:00:00"/>
    <x v="6"/>
    <m/>
    <x v="2"/>
    <s v="PAU103623"/>
    <x v="1"/>
    <d v="2021-10-13T00:00:00"/>
    <d v="2025-04-30T00:00:00"/>
    <x v="10"/>
    <x v="10"/>
    <m/>
    <m/>
    <x v="0"/>
    <m/>
    <m/>
    <m/>
    <m/>
    <x v="5"/>
    <x v="2"/>
  </r>
  <r>
    <s v="PAU300400"/>
    <d v="2025-08-27T00:00:00"/>
    <x v="7"/>
    <m/>
    <x v="2"/>
    <s v="PAU300390"/>
    <x v="4"/>
    <d v="2023-03-15T00:00:00"/>
    <d v="2025-05-21T00:00:00"/>
    <x v="11"/>
    <x v="11"/>
    <m/>
    <m/>
    <x v="0"/>
    <m/>
    <m/>
    <m/>
    <m/>
    <x v="2"/>
    <x v="1"/>
  </r>
  <r>
    <s v="PAU300390"/>
    <d v="2026-02-27T00:00:00"/>
    <x v="7"/>
    <m/>
    <x v="2"/>
    <s v="PAU300391"/>
    <x v="4"/>
    <d v="2023-03-15T00:00:00"/>
    <d v="2025-05-21T00:00:00"/>
    <x v="11"/>
    <x v="11"/>
    <m/>
    <m/>
    <x v="0"/>
    <m/>
    <m/>
    <m/>
    <m/>
    <x v="2"/>
    <x v="1"/>
  </r>
  <r>
    <s v="PAU300391"/>
    <d v="2026-02-27T00:00:00"/>
    <x v="7"/>
    <m/>
    <x v="2"/>
    <s v="PAU300392"/>
    <x v="4"/>
    <d v="2023-03-15T00:00:00"/>
    <d v="2025-05-21T00:00:00"/>
    <x v="11"/>
    <x v="11"/>
    <m/>
    <m/>
    <x v="0"/>
    <m/>
    <m/>
    <m/>
    <m/>
    <x v="2"/>
    <x v="1"/>
  </r>
  <r>
    <s v="PAU300392"/>
    <d v="2026-02-27T00:00:00"/>
    <x v="7"/>
    <m/>
    <x v="2"/>
    <s v="PAU300393"/>
    <x v="4"/>
    <d v="2023-03-15T00:00:00"/>
    <d v="2025-05-21T00:00:00"/>
    <x v="11"/>
    <x v="11"/>
    <m/>
    <m/>
    <x v="0"/>
    <m/>
    <m/>
    <m/>
    <m/>
    <x v="2"/>
    <x v="1"/>
  </r>
  <r>
    <s v="PAU300393"/>
    <d v="2026-02-27T00:00:00"/>
    <x v="7"/>
    <m/>
    <x v="2"/>
    <s v="PAU300394"/>
    <x v="4"/>
    <d v="2023-03-15T00:00:00"/>
    <d v="2025-05-21T00:00:00"/>
    <x v="11"/>
    <x v="11"/>
    <m/>
    <m/>
    <x v="0"/>
    <m/>
    <m/>
    <m/>
    <m/>
    <x v="2"/>
    <x v="1"/>
  </r>
  <r>
    <s v="PAU300394"/>
    <d v="2026-02-27T00:00:00"/>
    <x v="8"/>
    <m/>
    <x v="2"/>
    <s v="PAU300400"/>
    <x v="4"/>
    <d v="2023-03-15T00:00:00"/>
    <d v="2025-05-21T00:00:00"/>
    <x v="12"/>
    <x v="12"/>
    <m/>
    <m/>
    <x v="0"/>
    <m/>
    <m/>
    <m/>
    <m/>
    <x v="2"/>
    <x v="1"/>
  </r>
  <r>
    <s v="PAU300472"/>
    <d v="2025-08-25T00:00:00"/>
    <x v="9"/>
    <s v="à faire "/>
    <x v="2"/>
    <s v="PAU300472"/>
    <x v="1"/>
    <d v="2023-04-03T00:00:00"/>
    <d v="2024-06-10T00:00:00"/>
    <x v="13"/>
    <x v="13"/>
    <m/>
    <m/>
    <x v="0"/>
    <m/>
    <m/>
    <m/>
    <m/>
    <x v="0"/>
    <x v="1"/>
  </r>
  <r>
    <s v="PAU400195"/>
    <d v="2025-09-22T00:00:00"/>
    <x v="10"/>
    <d v="2025-07-03T00:00:00"/>
    <x v="2"/>
    <s v="PAU300741"/>
    <x v="1"/>
    <d v="2023-06-07T00:00:00"/>
    <d v="2023-10-02T00:00:00"/>
    <x v="14"/>
    <x v="14"/>
    <m/>
    <m/>
    <x v="0"/>
    <m/>
    <m/>
    <m/>
    <m/>
    <x v="6"/>
    <x v="1"/>
  </r>
  <r>
    <s v="PAU400491"/>
    <d v="2025-09-22T00:00:00"/>
    <x v="5"/>
    <s v="REPRIS"/>
    <x v="2"/>
    <s v="PAU300808"/>
    <x v="5"/>
    <d v="2023-06-19T00:00:00"/>
    <d v="2025-02-10T00:00:00"/>
    <x v="15"/>
    <x v="15"/>
    <m/>
    <m/>
    <x v="0"/>
    <m/>
    <m/>
    <m/>
    <m/>
    <x v="6"/>
    <x v="1"/>
  </r>
  <r>
    <s v="PAU400693"/>
    <d v="2025-09-22T00:00:00"/>
    <x v="3"/>
    <m/>
    <x v="2"/>
    <s v="PAU301083"/>
    <x v="6"/>
    <d v="2023-09-11T00:00:00"/>
    <d v="2025-05-21T00:00:00"/>
    <x v="16"/>
    <x v="16"/>
    <m/>
    <m/>
    <x v="0"/>
    <m/>
    <m/>
    <m/>
    <m/>
    <x v="7"/>
    <x v="1"/>
  </r>
  <r>
    <s v="PAU400711"/>
    <d v="2025-08-19T00:00:00"/>
    <x v="3"/>
    <m/>
    <x v="2"/>
    <s v="PAU301084"/>
    <x v="6"/>
    <d v="2023-09-11T00:00:00"/>
    <d v="2025-05-20T00:00:00"/>
    <x v="16"/>
    <x v="16"/>
    <m/>
    <m/>
    <x v="0"/>
    <m/>
    <m/>
    <m/>
    <m/>
    <x v="7"/>
    <x v="1"/>
  </r>
  <r>
    <s v="PAU001373"/>
    <d v="2025-09-15T00:00:00"/>
    <x v="11"/>
    <m/>
    <x v="2"/>
    <s v="PAU301245"/>
    <x v="6"/>
    <d v="2023-10-26T00:00:00"/>
    <d v="2025-05-20T00:00:00"/>
    <x v="17"/>
    <x v="17"/>
    <m/>
    <m/>
    <x v="0"/>
    <m/>
    <m/>
    <m/>
    <m/>
    <x v="5"/>
    <x v="1"/>
  </r>
  <r>
    <s v="PAU300808"/>
    <d v="2025-09-15T00:00:00"/>
    <x v="12"/>
    <m/>
    <x v="2"/>
    <s v="PAU301246"/>
    <x v="6"/>
    <d v="2023-10-26T00:00:00"/>
    <d v="2025-05-21T00:00:00"/>
    <x v="17"/>
    <x v="18"/>
    <m/>
    <m/>
    <x v="0"/>
    <m/>
    <m/>
    <m/>
    <m/>
    <x v="5"/>
    <x v="1"/>
  </r>
  <r>
    <s v="PAU400335"/>
    <d v="2025-08-13T00:00:00"/>
    <x v="3"/>
    <d v="2025-07-13T00:00:00"/>
    <x v="2"/>
    <s v="PAU400150"/>
    <x v="7"/>
    <d v="2024-02-09T00:00:00"/>
    <d v="2025-02-10T00:00:00"/>
    <x v="14"/>
    <x v="19"/>
    <m/>
    <m/>
    <x v="0"/>
    <m/>
    <m/>
    <m/>
    <m/>
    <x v="3"/>
    <x v="0"/>
  </r>
  <r>
    <s v="PAU101592"/>
    <d v="2025-09-01T00:00:00"/>
    <x v="13"/>
    <s v="mardi"/>
    <x v="2"/>
    <s v="PAU400335"/>
    <x v="1"/>
    <d v="2024-03-26T00:00:00"/>
    <d v="2025-04-30T00:00:00"/>
    <x v="18"/>
    <x v="20"/>
    <m/>
    <m/>
    <x v="0"/>
    <m/>
    <m/>
    <m/>
    <m/>
    <x v="2"/>
    <x v="0"/>
  </r>
  <r>
    <s v="PAU400058"/>
    <d v="2025-09-01T00:00:00"/>
    <x v="4"/>
    <s v="VT OK"/>
    <x v="2"/>
    <s v="PAU400491"/>
    <x v="1"/>
    <d v="2024-05-03T00:00:00"/>
    <d v="2024-09-30T00:00:00"/>
    <x v="19"/>
    <x v="21"/>
    <m/>
    <m/>
    <x v="0"/>
    <m/>
    <m/>
    <m/>
    <m/>
    <x v="8"/>
    <x v="0"/>
  </r>
  <r>
    <s v="PAU400150"/>
    <d v="2025-09-01T00:00:00"/>
    <x v="14"/>
    <s v="VENDREDI"/>
    <x v="2"/>
    <s v="PAU400540"/>
    <x v="8"/>
    <d v="2024-05-27T00:00:00"/>
    <d v="2025-04-30T00:00:00"/>
    <x v="20"/>
    <x v="22"/>
    <m/>
    <m/>
    <x v="0"/>
    <m/>
    <m/>
    <m/>
    <m/>
    <x v="8"/>
    <x v="0"/>
  </r>
  <r>
    <m/>
    <m/>
    <x v="4"/>
    <s v="VT OK"/>
    <x v="2"/>
    <s v="PAU400693"/>
    <x v="1"/>
    <d v="2024-07-18T00:00:00"/>
    <d v="2024-11-20T00:00:00"/>
    <x v="21"/>
    <x v="23"/>
    <m/>
    <m/>
    <x v="0"/>
    <m/>
    <m/>
    <m/>
    <m/>
    <x v="1"/>
    <x v="0"/>
  </r>
  <r>
    <m/>
    <m/>
    <x v="15"/>
    <m/>
    <x v="5"/>
    <m/>
    <x v="9"/>
    <m/>
    <m/>
    <x v="22"/>
    <x v="24"/>
    <m/>
    <m/>
    <x v="0"/>
    <m/>
    <m/>
    <m/>
    <m/>
    <x v="9"/>
    <x v="4"/>
  </r>
  <r>
    <m/>
    <m/>
    <x v="15"/>
    <m/>
    <x v="5"/>
    <m/>
    <x v="9"/>
    <m/>
    <m/>
    <x v="22"/>
    <x v="24"/>
    <m/>
    <m/>
    <x v="0"/>
    <m/>
    <m/>
    <m/>
    <m/>
    <x v="9"/>
    <x v="4"/>
  </r>
  <r>
    <m/>
    <m/>
    <x v="15"/>
    <m/>
    <x v="5"/>
    <m/>
    <x v="9"/>
    <m/>
    <m/>
    <x v="22"/>
    <x v="24"/>
    <m/>
    <m/>
    <x v="0"/>
    <m/>
    <m/>
    <m/>
    <m/>
    <x v="9"/>
    <x v="4"/>
  </r>
  <r>
    <m/>
    <m/>
    <x v="15"/>
    <m/>
    <x v="5"/>
    <m/>
    <x v="9"/>
    <m/>
    <m/>
    <x v="22"/>
    <x v="24"/>
    <m/>
    <m/>
    <x v="0"/>
    <m/>
    <m/>
    <m/>
    <m/>
    <x v="9"/>
    <x v="4"/>
  </r>
  <r>
    <m/>
    <m/>
    <x v="15"/>
    <m/>
    <x v="5"/>
    <m/>
    <x v="9"/>
    <m/>
    <m/>
    <x v="22"/>
    <x v="24"/>
    <m/>
    <m/>
    <x v="0"/>
    <m/>
    <m/>
    <m/>
    <m/>
    <x v="9"/>
    <x v="4"/>
  </r>
  <r>
    <m/>
    <m/>
    <x v="15"/>
    <m/>
    <x v="5"/>
    <m/>
    <x v="9"/>
    <m/>
    <m/>
    <x v="22"/>
    <x v="24"/>
    <m/>
    <m/>
    <x v="0"/>
    <m/>
    <m/>
    <m/>
    <m/>
    <x v="9"/>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MDM400512"/>
    <d v="2025-08-04T00:00:00"/>
    <x v="0"/>
    <m/>
    <s v="POI EN FACTU"/>
    <s v="DAX300720"/>
    <x v="0"/>
    <d v="2023-12-22T00:00:00"/>
    <d v="2025-03-10T00:00:00"/>
    <x v="0"/>
    <x v="0"/>
    <m/>
    <m/>
    <m/>
    <m/>
    <m/>
    <m/>
    <m/>
    <x v="0"/>
    <x v="0"/>
  </r>
  <r>
    <s v="MDM500310"/>
    <d v="2025-07-30T00:00:00"/>
    <x v="1"/>
    <m/>
    <s v="POI EN FACTU"/>
    <s v="IMI-VA-40114/018J-1"/>
    <x v="1"/>
    <d v="2025-01-03T00:00:00"/>
    <m/>
    <x v="1"/>
    <x v="1"/>
    <m/>
    <d v="2025-05-05T00:00:00"/>
    <s v="2025050501137TCT"/>
    <m/>
    <m/>
    <m/>
    <m/>
    <x v="1"/>
    <x v="1"/>
  </r>
  <r>
    <s v="MDM500305"/>
    <d v="2025-09-02T00:00:00"/>
    <x v="1"/>
    <s v="en cours"/>
    <s v="POI EN FACTU"/>
    <s v="IMI-VA-40123/01LK-1"/>
    <x v="1"/>
    <d v="1990-01-01T00:00:00"/>
    <m/>
    <x v="2"/>
    <x v="2"/>
    <m/>
    <m/>
    <m/>
    <m/>
    <m/>
    <m/>
    <s v="ATT RETOUR MAIRIE POUR PARCELLE PRIVEE"/>
    <x v="1"/>
    <x v="2"/>
  </r>
  <r>
    <s v="MDM202158"/>
    <d v="2025-09-23T00:00:00"/>
    <x v="1"/>
    <s v="en cours"/>
    <s v="POI EN FACTU"/>
    <s v="IMI-VA-40123/01LM-1"/>
    <x v="1"/>
    <d v="1990-01-01T00:00:00"/>
    <m/>
    <x v="2"/>
    <x v="3"/>
    <m/>
    <m/>
    <m/>
    <m/>
    <m/>
    <m/>
    <s v="ATT RETOUR MAIRIE POUR PARCELLE PRIVEE"/>
    <x v="1"/>
    <x v="2"/>
  </r>
  <r>
    <s v="MDM400323"/>
    <d v="2025-09-02T00:00:00"/>
    <x v="1"/>
    <s v="en cours"/>
    <s v="POI EN FACTU"/>
    <s v="IMI-VA-40123/01LN-1"/>
    <x v="1"/>
    <d v="1990-01-01T00:00:00"/>
    <m/>
    <x v="2"/>
    <x v="4"/>
    <m/>
    <m/>
    <m/>
    <m/>
    <m/>
    <m/>
    <s v="ATT RETOUR MAIRIE POUR PARCELLE PRIVEE"/>
    <x v="1"/>
    <x v="2"/>
  </r>
  <r>
    <s v="MDM500287"/>
    <d v="2025-10-10T00:00:00"/>
    <x v="1"/>
    <m/>
    <s v="POI EN FACTU"/>
    <s v="IMI-VA-40192/0A2N-1"/>
    <x v="1"/>
    <d v="2024-12-07T00:00:00"/>
    <m/>
    <x v="3"/>
    <x v="5"/>
    <m/>
    <m/>
    <m/>
    <m/>
    <m/>
    <m/>
    <s v="lycée non accessible, VT à faire aprés les vacances "/>
    <x v="0"/>
    <x v="3"/>
  </r>
  <r>
    <s v="MDM400978"/>
    <d v="2025-08-05T00:00:00"/>
    <x v="1"/>
    <d v="2025-07-09T00:00:00"/>
    <s v="POI EN FACTU"/>
    <s v="IMI-VA-40111/009R-1"/>
    <x v="1"/>
    <d v="2025-06-30T00:00:00"/>
    <d v="2025-07-01T00:00:00"/>
    <x v="4"/>
    <x v="6"/>
    <m/>
    <m/>
    <m/>
    <m/>
    <m/>
    <m/>
    <m/>
    <x v="2"/>
    <x v="4"/>
  </r>
  <r>
    <m/>
    <m/>
    <x v="1"/>
    <m/>
    <s v="POI EN FACTU"/>
    <s v="MDM500264"/>
    <x v="2"/>
    <d v="2025-04-16T00:00:00"/>
    <d v="2025-04-18T00:00:00"/>
    <x v="5"/>
    <x v="7"/>
    <m/>
    <m/>
    <m/>
    <m/>
    <m/>
    <m/>
    <m/>
    <x v="3"/>
    <x v="1"/>
  </r>
  <r>
    <m/>
    <m/>
    <x v="1"/>
    <s v="03/07 à 8h(doublon MDM500367)"/>
    <s v="POI EN FACTU"/>
    <s v="MDM500286"/>
    <x v="3"/>
    <d v="2025-04-24T00:00:00"/>
    <d v="2025-04-25T00:00:00"/>
    <x v="6"/>
    <x v="8"/>
    <m/>
    <m/>
    <m/>
    <m/>
    <m/>
    <m/>
    <m/>
    <x v="3"/>
    <x v="1"/>
  </r>
  <r>
    <m/>
    <m/>
    <x v="1"/>
    <d v="2025-03-08T00:00:00"/>
    <s v="POI EN TRAVAUX"/>
    <s v="DAX400041"/>
    <x v="4"/>
    <d v="2024-01-18T00:00:00"/>
    <d v="2025-03-02T00:00:00"/>
    <x v="7"/>
    <x v="9"/>
    <m/>
    <m/>
    <m/>
    <m/>
    <m/>
    <m/>
    <m/>
    <x v="1"/>
    <x v="3"/>
  </r>
  <r>
    <s v="MDM400978"/>
    <d v="2025-08-05T00:00:00"/>
    <x v="1"/>
    <m/>
    <s v="POI EN TRAVAUX"/>
    <s v="DAX400043"/>
    <x v="4"/>
    <d v="2024-01-18T00:00:00"/>
    <d v="2025-03-02T00:00:00"/>
    <x v="7"/>
    <x v="10"/>
    <m/>
    <m/>
    <m/>
    <m/>
    <m/>
    <m/>
    <m/>
    <x v="1"/>
    <x v="3"/>
  </r>
  <r>
    <s v="MDM201114"/>
    <d v="2025-07-31T00:00:00"/>
    <x v="1"/>
    <d v="2025-03-06T00:00:00"/>
    <s v="POI EN TRAVAUX"/>
    <s v="IMI-VA-40037/005W-1"/>
    <x v="1"/>
    <d v="1990-01-01T00:00:00"/>
    <m/>
    <x v="8"/>
    <x v="11"/>
    <m/>
    <m/>
    <m/>
    <m/>
    <m/>
    <m/>
    <m/>
    <x v="1"/>
    <x v="2"/>
  </r>
  <r>
    <s v="MDM301457"/>
    <d v="2025-07-31T00:00:00"/>
    <x v="1"/>
    <m/>
    <s v="POI EN TRAVAUX"/>
    <s v="IMI-VA-40088/06WQ-1 /IMI-VA-40088/06WQ-2"/>
    <x v="1"/>
    <d v="2025-02-25T00:00:00"/>
    <m/>
    <x v="9"/>
    <x v="12"/>
    <m/>
    <m/>
    <m/>
    <m/>
    <m/>
    <m/>
    <m/>
    <x v="4"/>
    <x v="1"/>
  </r>
  <r>
    <s v="MDM400210"/>
    <d v="2025-07-31T00:00:00"/>
    <x v="1"/>
    <m/>
    <s v="POI EN TRAVAUX"/>
    <s v="IMI-VA-40114/006F-1"/>
    <x v="1"/>
    <d v="2025-01-03T00:00:00"/>
    <m/>
    <x v="1"/>
    <x v="13"/>
    <m/>
    <d v="2025-05-05T00:00:00"/>
    <s v="2025050500873TCL"/>
    <m/>
    <m/>
    <m/>
    <m/>
    <x v="1"/>
    <x v="1"/>
  </r>
  <r>
    <s v="MDM400687"/>
    <d v="2025-07-31T00:00:00"/>
    <x v="1"/>
    <m/>
    <s v="POI EN TRAVAUX"/>
    <s v="IMI-VA-40123/01KM-1"/>
    <x v="1"/>
    <d v="1990-01-01T00:00:00"/>
    <m/>
    <x v="2"/>
    <x v="14"/>
    <m/>
    <n v="45728"/>
    <s v="2025031200996TIK"/>
    <m/>
    <m/>
    <m/>
    <m/>
    <x v="1"/>
    <x v="2"/>
  </r>
  <r>
    <s v="MDM400322"/>
    <d v="2025-08-25T00:00:00"/>
    <x v="1"/>
    <m/>
    <s v="POI EN TRAVAUX"/>
    <s v="IMI-VA-40123/01KO-1"/>
    <x v="1"/>
    <d v="1990-01-01T00:00:00"/>
    <m/>
    <x v="2"/>
    <x v="15"/>
    <m/>
    <d v="2025-03-12T00:00:00"/>
    <s v="2025031200952TU7"/>
    <m/>
    <m/>
    <m/>
    <m/>
    <x v="1"/>
    <x v="2"/>
  </r>
  <r>
    <s v="MDM500332"/>
    <d v="2025-08-25T00:00:00"/>
    <x v="1"/>
    <m/>
    <s v="POI EN TRAVAUX"/>
    <s v="IMI-VA-40123/01LD-1"/>
    <x v="1"/>
    <d v="1990-01-01T00:00:00"/>
    <m/>
    <x v="2"/>
    <x v="16"/>
    <m/>
    <d v="2025-03-19T00:00:00"/>
    <s v="2025031901074T3D"/>
    <m/>
    <m/>
    <m/>
    <m/>
    <x v="1"/>
    <x v="2"/>
  </r>
  <r>
    <s v="MDM300753"/>
    <d v="2025-08-14T00:00:00"/>
    <x v="1"/>
    <m/>
    <s v="POI EN TRAVAUX"/>
    <s v="IMI-VA-40123/01LF-1"/>
    <x v="1"/>
    <d v="1990-01-01T00:00:00"/>
    <m/>
    <x v="2"/>
    <x v="17"/>
    <m/>
    <m/>
    <m/>
    <m/>
    <m/>
    <m/>
    <m/>
    <x v="1"/>
    <x v="2"/>
  </r>
  <r>
    <s v="MDM200033"/>
    <d v="2025-08-12T00:00:00"/>
    <x v="1"/>
    <s v="VT OK"/>
    <s v="POI EN TRAVAUX"/>
    <s v="IMI-VA-40123/01MN-1"/>
    <x v="1"/>
    <d v="2025-06-13T00:00:00"/>
    <m/>
    <x v="2"/>
    <x v="18"/>
    <m/>
    <d v="2025-07-07T00:00:00"/>
    <s v="2025070700987TDS"/>
    <m/>
    <m/>
    <m/>
    <m/>
    <x v="5"/>
    <x v="1"/>
  </r>
  <r>
    <s v="MDM500379"/>
    <d v="2025-07-23T00:00:00"/>
    <x v="1"/>
    <m/>
    <s v="POI EN TRAVAUX"/>
    <s v="IMI-VA-40123/01O3-1"/>
    <x v="1"/>
    <d v="1990-01-01T00:00:00"/>
    <m/>
    <x v="2"/>
    <x v="19"/>
    <m/>
    <m/>
    <m/>
    <m/>
    <m/>
    <m/>
    <m/>
    <x v="1"/>
    <x v="2"/>
  </r>
  <r>
    <s v="MDM003509"/>
    <d v="2025-08-22T00:00:00"/>
    <x v="1"/>
    <m/>
    <s v="POI EN TRAVAUX"/>
    <s v="IMI-VA-40123/01O4-1"/>
    <x v="1"/>
    <d v="1990-01-01T00:00:00"/>
    <m/>
    <x v="2"/>
    <x v="20"/>
    <m/>
    <d v="2025-04-25T00:00:00"/>
    <s v="2025042500377TYV"/>
    <m/>
    <m/>
    <m/>
    <m/>
    <x v="1"/>
    <x v="2"/>
  </r>
  <r>
    <s v="MDM301158"/>
    <d v="2025-08-22T00:00:00"/>
    <x v="1"/>
    <d v="2025-03-21T00:00:00"/>
    <s v="POI EN TRAVAUX"/>
    <s v="IMI-VA-40123/01O5-1"/>
    <x v="1"/>
    <d v="1990-01-01T00:00:00"/>
    <m/>
    <x v="2"/>
    <x v="21"/>
    <m/>
    <m/>
    <m/>
    <m/>
    <m/>
    <m/>
    <m/>
    <x v="1"/>
    <x v="2"/>
  </r>
  <r>
    <s v="MDM400167"/>
    <d v="2025-08-28T00:00:00"/>
    <x v="1"/>
    <m/>
    <s v="POI EN TRAVAUX"/>
    <s v="IMI-VA-40123/01O6-1"/>
    <x v="1"/>
    <d v="2025-01-02T00:00:00"/>
    <d v="2025-04-08T00:00:00"/>
    <x v="2"/>
    <x v="22"/>
    <m/>
    <d v="2025-04-15T00:00:00"/>
    <s v="2025041500486T0D"/>
    <m/>
    <m/>
    <m/>
    <m/>
    <x v="1"/>
    <x v="1"/>
  </r>
  <r>
    <s v="MDM400372"/>
    <d v="2025-09-04T00:00:00"/>
    <x v="1"/>
    <m/>
    <s v="POI EN TRAVAUX"/>
    <s v="IMI-VA-40123/01OA-1"/>
    <x v="1"/>
    <d v="2025-01-02T00:00:00"/>
    <m/>
    <x v="2"/>
    <x v="23"/>
    <m/>
    <m/>
    <m/>
    <m/>
    <m/>
    <m/>
    <m/>
    <x v="1"/>
    <x v="1"/>
  </r>
  <r>
    <s v="MDM400427"/>
    <d v="2025-08-21T00:00:00"/>
    <x v="1"/>
    <s v="en cours"/>
    <s v="POI EN TRAVAUX"/>
    <s v="IMI-VA-40123/01OB-1"/>
    <x v="1"/>
    <d v="1990-01-01T00:00:00"/>
    <m/>
    <x v="2"/>
    <x v="24"/>
    <m/>
    <m/>
    <m/>
    <m/>
    <m/>
    <m/>
    <m/>
    <x v="1"/>
    <x v="2"/>
  </r>
  <r>
    <s v="MDM400434"/>
    <d v="2025-08-21T00:00:00"/>
    <x v="1"/>
    <m/>
    <s v="POI EN TRAVAUX"/>
    <s v="IMI-VA-40123/01PA-1"/>
    <x v="1"/>
    <d v="2025-01-02T00:00:00"/>
    <m/>
    <x v="2"/>
    <x v="25"/>
    <m/>
    <m/>
    <m/>
    <m/>
    <m/>
    <m/>
    <m/>
    <x v="1"/>
    <x v="1"/>
  </r>
  <r>
    <s v="MDM301371"/>
    <d v="2025-09-30T00:00:00"/>
    <x v="1"/>
    <m/>
    <s v="POI EN TRAVAUX"/>
    <s v="IMI-VA-40123/01PG-2"/>
    <x v="1"/>
    <d v="1990-01-01T00:00:00"/>
    <m/>
    <x v="2"/>
    <x v="26"/>
    <m/>
    <d v="2025-04-30T00:00:00"/>
    <s v="2025043001388TM9 "/>
    <m/>
    <m/>
    <m/>
    <s v="Pose de 2m de GC avec 1Ø45"/>
    <x v="1"/>
    <x v="2"/>
  </r>
  <r>
    <s v="MDM103892"/>
    <d v="2025-08-20T00:00:00"/>
    <x v="1"/>
    <m/>
    <s v="POI EN TRAVAUX"/>
    <s v="IMI-VA-40123/01PI-1"/>
    <x v="1"/>
    <d v="1990-01-01T00:00:00"/>
    <m/>
    <x v="2"/>
    <x v="27"/>
    <m/>
    <d v="2025-05-05T00:00:00"/>
    <s v="2025050501391TRV "/>
    <m/>
    <m/>
    <m/>
    <s v="Réalisation de 16m de GC pleine terre avec pose 1Ø45"/>
    <x v="1"/>
    <x v="2"/>
  </r>
  <r>
    <s v="MDM104202"/>
    <d v="2025-08-20T00:00:00"/>
    <x v="1"/>
    <m/>
    <s v="POI EN TRAVAUX"/>
    <s v="IMI-VA-40123/01PL-2"/>
    <x v="1"/>
    <d v="1990-01-01T00:00:00"/>
    <m/>
    <x v="2"/>
    <x v="28"/>
    <m/>
    <m/>
    <m/>
    <m/>
    <m/>
    <m/>
    <m/>
    <x v="1"/>
    <x v="2"/>
  </r>
  <r>
    <s v="MDM400484"/>
    <d v="2025-08-20T00:00:00"/>
    <x v="1"/>
    <m/>
    <s v="POI EN TRAVAUX"/>
    <s v="IMI-VA-40178/0076-1"/>
    <x v="1"/>
    <d v="1990-01-01T00:00:00"/>
    <m/>
    <x v="10"/>
    <x v="29"/>
    <m/>
    <d v="2025-04-30T00:00:00"/>
    <s v="2025043000698TKC"/>
    <m/>
    <m/>
    <m/>
    <m/>
    <x v="1"/>
    <x v="2"/>
  </r>
  <r>
    <s v="MDM400807"/>
    <d v="2025-08-18T00:00:00"/>
    <x v="1"/>
    <m/>
    <s v="POI EN TRAVAUX"/>
    <s v="IMI-VA-40179/00LQ-3"/>
    <x v="1"/>
    <d v="1990-01-01T00:00:00"/>
    <m/>
    <x v="11"/>
    <x v="30"/>
    <m/>
    <d v="2025-04-15T00:00:00"/>
    <s v="2025041501002T5E"/>
    <m/>
    <m/>
    <m/>
    <m/>
    <x v="1"/>
    <x v="2"/>
  </r>
  <r>
    <s v="MDM500123"/>
    <d v="2025-07-18T00:00:00"/>
    <x v="1"/>
    <m/>
    <s v="POI EN TRAVAUX"/>
    <s v="IMI-VA-40279/15Q0-1"/>
    <x v="1"/>
    <d v="2025-05-03T00:00:00"/>
    <m/>
    <x v="12"/>
    <x v="31"/>
    <m/>
    <d v="2025-06-18T00:00:00"/>
    <s v="2025061801224TDZ"/>
    <m/>
    <m/>
    <m/>
    <m/>
    <x v="6"/>
    <x v="1"/>
  </r>
  <r>
    <s v="MDM500366"/>
    <d v="2025-09-05T00:00:00"/>
    <x v="1"/>
    <m/>
    <s v="POI EN TRAVAUX"/>
    <s v="IMI-VA-40279/15SV-1"/>
    <x v="1"/>
    <d v="2024-12-06T00:00:00"/>
    <d v="2025-03-09T00:00:00"/>
    <x v="12"/>
    <x v="32"/>
    <m/>
    <d v="2025-04-14T00:00:00"/>
    <s v="2025041401387TVE"/>
    <m/>
    <m/>
    <m/>
    <m/>
    <x v="0"/>
    <x v="3"/>
  </r>
  <r>
    <s v="MDM400512"/>
    <d v="2025-08-04T00:00:00"/>
    <x v="1"/>
    <m/>
    <s v="POI EN TRAVAUX"/>
    <s v="IMI-VA-40281/028A-1"/>
    <x v="1"/>
    <d v="2025-02-03T00:00:00"/>
    <m/>
    <x v="13"/>
    <x v="33"/>
    <m/>
    <d v="2025-03-05T00:00:00"/>
    <s v="2025030501167TFI"/>
    <m/>
    <m/>
    <m/>
    <m/>
    <x v="4"/>
    <x v="1"/>
  </r>
  <r>
    <m/>
    <m/>
    <x v="1"/>
    <m/>
    <s v="POI EN TRAVAUX"/>
    <s v="IMI-VA-40283/11QI-2"/>
    <x v="1"/>
    <d v="2025-05-04T00:00:00"/>
    <m/>
    <x v="14"/>
    <x v="34"/>
    <m/>
    <d v="2025-06-17T00:00:00"/>
    <s v="2025061700683T4Q"/>
    <m/>
    <m/>
    <m/>
    <m/>
    <x v="6"/>
    <x v="1"/>
  </r>
  <r>
    <m/>
    <m/>
    <x v="1"/>
    <d v="2025-03-21T00:00:00"/>
    <s v="POI EN TRAVAUX"/>
    <s v="IMI-VA-40300/00AI-1"/>
    <x v="1"/>
    <m/>
    <m/>
    <x v="15"/>
    <x v="35"/>
    <m/>
    <m/>
    <m/>
    <m/>
    <m/>
    <m/>
    <m/>
    <x v="1"/>
    <x v="5"/>
  </r>
  <r>
    <m/>
    <m/>
    <x v="1"/>
    <m/>
    <s v="POI EN TRAVAUX"/>
    <s v="MDM103749"/>
    <x v="4"/>
    <d v="2021-10-20T00:00:00"/>
    <d v="2025-03-02T00:00:00"/>
    <x v="16"/>
    <x v="36"/>
    <m/>
    <m/>
    <m/>
    <m/>
    <m/>
    <m/>
    <m/>
    <x v="7"/>
    <x v="6"/>
  </r>
  <r>
    <m/>
    <m/>
    <x v="1"/>
    <d v="2025-03-06T00:00:00"/>
    <s v="POI EN TRAVAUX"/>
    <s v="MDM103755"/>
    <x v="4"/>
    <d v="2021-10-20T00:00:00"/>
    <d v="2025-03-02T00:00:00"/>
    <x v="6"/>
    <x v="37"/>
    <m/>
    <m/>
    <m/>
    <m/>
    <m/>
    <m/>
    <m/>
    <x v="7"/>
    <x v="6"/>
  </r>
  <r>
    <m/>
    <m/>
    <x v="1"/>
    <m/>
    <s v="POI EN TRAVAUX"/>
    <s v="MDM104205"/>
    <x v="4"/>
    <d v="2021-12-06T00:00:00"/>
    <d v="2025-03-02T00:00:00"/>
    <x v="17"/>
    <x v="38"/>
    <m/>
    <m/>
    <m/>
    <m/>
    <m/>
    <m/>
    <m/>
    <x v="0"/>
    <x v="6"/>
  </r>
  <r>
    <m/>
    <m/>
    <x v="1"/>
    <m/>
    <s v="POI EN TRAVAUX"/>
    <s v="MDM200689"/>
    <x v="4"/>
    <d v="2022-03-08T00:00:00"/>
    <d v="2025-03-02T00:00:00"/>
    <x v="18"/>
    <x v="39"/>
    <m/>
    <m/>
    <m/>
    <m/>
    <m/>
    <m/>
    <m/>
    <x v="8"/>
    <x v="7"/>
  </r>
  <r>
    <m/>
    <m/>
    <x v="1"/>
    <d v="2025-03-08T00:00:00"/>
    <s v="POI EN TRAVAUX"/>
    <s v="MDM202258"/>
    <x v="2"/>
    <d v="2022-09-13T00:00:00"/>
    <d v="2025-03-02T00:00:00"/>
    <x v="19"/>
    <x v="40"/>
    <m/>
    <m/>
    <m/>
    <m/>
    <m/>
    <m/>
    <m/>
    <x v="9"/>
    <x v="7"/>
  </r>
  <r>
    <m/>
    <m/>
    <x v="1"/>
    <m/>
    <s v="POI EN TRAVAUX"/>
    <s v="MDM300296"/>
    <x v="2"/>
    <d v="2023-02-15T00:00:00"/>
    <d v="2025-03-02T00:00:00"/>
    <x v="3"/>
    <x v="41"/>
    <m/>
    <m/>
    <m/>
    <m/>
    <m/>
    <m/>
    <m/>
    <x v="4"/>
    <x v="0"/>
  </r>
  <r>
    <m/>
    <m/>
    <x v="1"/>
    <m/>
    <s v="POI EN TRAVAUX"/>
    <s v="MDM301476"/>
    <x v="2"/>
    <d v="2023-12-05T00:00:00"/>
    <d v="2025-03-02T00:00:00"/>
    <x v="20"/>
    <x v="42"/>
    <m/>
    <m/>
    <m/>
    <m/>
    <m/>
    <m/>
    <m/>
    <x v="0"/>
    <x v="0"/>
  </r>
  <r>
    <m/>
    <m/>
    <x v="1"/>
    <d v="2025-03-06T00:00:00"/>
    <s v="POI EN TRAVAUX"/>
    <s v="MDM400362"/>
    <x v="2"/>
    <d v="2024-04-02T00:00:00"/>
    <d v="2025-03-02T00:00:00"/>
    <x v="3"/>
    <x v="43"/>
    <m/>
    <m/>
    <m/>
    <m/>
    <m/>
    <m/>
    <m/>
    <x v="3"/>
    <x v="3"/>
  </r>
  <r>
    <m/>
    <m/>
    <x v="1"/>
    <m/>
    <s v="POI EN TRAVAUX"/>
    <s v="MDM400673"/>
    <x v="2"/>
    <d v="2024-07-19T00:00:00"/>
    <d v="2025-03-02T00:00:00"/>
    <x v="21"/>
    <x v="44"/>
    <m/>
    <m/>
    <m/>
    <m/>
    <m/>
    <m/>
    <s v="POIRD=1"/>
    <x v="10"/>
    <x v="3"/>
  </r>
  <r>
    <m/>
    <m/>
    <x v="1"/>
    <m/>
    <s v="POI EN TRAVAUX"/>
    <s v="MDM400688"/>
    <x v="2"/>
    <d v="2024-07-29T00:00:00"/>
    <d v="2025-03-02T00:00:00"/>
    <x v="22"/>
    <x v="45"/>
    <m/>
    <m/>
    <m/>
    <m/>
    <m/>
    <m/>
    <m/>
    <x v="10"/>
    <x v="3"/>
  </r>
  <r>
    <m/>
    <m/>
    <x v="1"/>
    <m/>
    <s v="POI EN TRAVAUX"/>
    <s v="MDM400853"/>
    <x v="5"/>
    <d v="2024-10-01T00:00:00"/>
    <d v="2025-03-02T00:00:00"/>
    <x v="23"/>
    <x v="46"/>
    <m/>
    <m/>
    <m/>
    <m/>
    <m/>
    <m/>
    <m/>
    <x v="7"/>
    <x v="3"/>
  </r>
  <r>
    <m/>
    <m/>
    <x v="1"/>
    <m/>
    <s v="POI EN TRAVAUX"/>
    <s v="MDM400873"/>
    <x v="2"/>
    <d v="2024-10-03T00:00:00"/>
    <d v="2025-03-18T00:00:00"/>
    <x v="24"/>
    <x v="47"/>
    <m/>
    <d v="2025-06-18T00:00:00"/>
    <s v="2025061801537TIO"/>
    <m/>
    <m/>
    <m/>
    <m/>
    <x v="2"/>
    <x v="4"/>
  </r>
  <r>
    <m/>
    <m/>
    <x v="2"/>
    <d v="2025-06-26T00:00:00"/>
    <s v="POI EN TRAVAUX"/>
    <s v="MDM500123"/>
    <x v="6"/>
    <d v="2025-02-18T00:00:00"/>
    <d v="2025-06-25T00:00:00"/>
    <x v="25"/>
    <x v="48"/>
    <m/>
    <m/>
    <m/>
    <m/>
    <m/>
    <m/>
    <m/>
    <x v="2"/>
    <x v="4"/>
  </r>
  <r>
    <m/>
    <m/>
    <x v="1"/>
    <s v="VT OK"/>
    <s v="POI EN TRAVAUX"/>
    <s v="MDM500161"/>
    <x v="2"/>
    <d v="2025-03-04T00:00:00"/>
    <d v="2025-04-10T00:00:00"/>
    <x v="26"/>
    <x v="49"/>
    <m/>
    <d v="2025-06-26T00:00:00"/>
    <s v="2025062600813TIN"/>
    <m/>
    <m/>
    <m/>
    <m/>
    <x v="8"/>
    <x v="1"/>
  </r>
  <r>
    <m/>
    <m/>
    <x v="3"/>
    <d v="2025-07-01T00:00:00"/>
    <s v="POI EN TRAVAUX"/>
    <s v="MDM500379"/>
    <x v="7"/>
    <d v="2025-06-23T00:00:00"/>
    <d v="2025-06-24T00:00:00"/>
    <x v="27"/>
    <x v="50"/>
    <m/>
    <m/>
    <m/>
    <m/>
    <m/>
    <m/>
    <m/>
    <x v="5"/>
    <x v="1"/>
  </r>
  <r>
    <m/>
    <m/>
    <x v="4"/>
    <m/>
    <s v="ATT TRVX CLIENT"/>
    <s v="MDM102429"/>
    <x v="6"/>
    <d v="2021-06-14T00:00:00"/>
    <d v="2025-03-02T00:00:00"/>
    <x v="28"/>
    <x v="51"/>
    <m/>
    <m/>
    <m/>
    <m/>
    <m/>
    <m/>
    <m/>
    <x v="5"/>
    <x v="6"/>
  </r>
  <r>
    <m/>
    <m/>
    <x v="1"/>
    <d v="2025-03-10T00:00:00"/>
    <s v="ATT TRVX CLIENT"/>
    <s v="MDM203023"/>
    <x v="2"/>
    <d v="2022-12-15T00:00:00"/>
    <d v="2025-03-02T00:00:00"/>
    <x v="29"/>
    <x v="52"/>
    <m/>
    <m/>
    <m/>
    <m/>
    <m/>
    <m/>
    <m/>
    <x v="0"/>
    <x v="7"/>
  </r>
  <r>
    <m/>
    <m/>
    <x v="5"/>
    <m/>
    <s v="ATT TRVX CLIENT"/>
    <s v="MDM300689"/>
    <x v="4"/>
    <d v="2023-05-02T00:00:00"/>
    <d v="2025-03-02T00:00:00"/>
    <x v="22"/>
    <x v="53"/>
    <m/>
    <m/>
    <m/>
    <m/>
    <m/>
    <m/>
    <m/>
    <x v="6"/>
    <x v="0"/>
  </r>
  <r>
    <m/>
    <m/>
    <x v="6"/>
    <m/>
    <s v="ATT TRVX CLIENT"/>
    <s v="MDM301401"/>
    <x v="8"/>
    <d v="2023-11-10T00:00:00"/>
    <d v="2025-03-02T00:00:00"/>
    <x v="17"/>
    <x v="54"/>
    <m/>
    <m/>
    <m/>
    <m/>
    <m/>
    <m/>
    <m/>
    <x v="11"/>
    <x v="0"/>
  </r>
  <r>
    <m/>
    <m/>
    <x v="7"/>
    <d v="2025-03-06T00:00:00"/>
    <s v="ATT TRVX CLIENT"/>
    <s v="MDM400323"/>
    <x v="2"/>
    <d v="2024-03-21T00:00:00"/>
    <d v="2025-03-02T00:00:00"/>
    <x v="30"/>
    <x v="55"/>
    <m/>
    <m/>
    <m/>
    <m/>
    <m/>
    <m/>
    <m/>
    <x v="8"/>
    <x v="3"/>
  </r>
  <r>
    <m/>
    <m/>
    <x v="8"/>
    <d v="2025-03-07T00:00:00"/>
    <s v="ATT TRVX CLIENT"/>
    <s v="MDM400511"/>
    <x v="8"/>
    <d v="2024-05-23T00:00:00"/>
    <d v="2025-03-02T00:00:00"/>
    <x v="27"/>
    <x v="56"/>
    <m/>
    <m/>
    <m/>
    <m/>
    <m/>
    <m/>
    <m/>
    <x v="6"/>
    <x v="3"/>
  </r>
  <r>
    <m/>
    <m/>
    <x v="9"/>
    <m/>
    <s v="ATT TRVX CLIENT"/>
    <s v="MDM400530"/>
    <x v="9"/>
    <d v="2024-05-29T00:00:00"/>
    <d v="2025-03-02T00:00:00"/>
    <x v="31"/>
    <x v="57"/>
    <m/>
    <m/>
    <m/>
    <m/>
    <m/>
    <m/>
    <m/>
    <x v="6"/>
    <x v="3"/>
  </r>
  <r>
    <m/>
    <m/>
    <x v="10"/>
    <m/>
    <s v="ATT TRVX CLIENT"/>
    <s v="MDM500002"/>
    <x v="2"/>
    <d v="2025-01-02T00:00:00"/>
    <d v="2025-04-10T00:00:00"/>
    <x v="32"/>
    <x v="58"/>
    <m/>
    <d v="2025-06-19T00:00:00"/>
    <s v="2025061900553TW8"/>
    <m/>
    <m/>
    <m/>
    <m/>
    <x v="1"/>
    <x v="1"/>
  </r>
  <r>
    <m/>
    <m/>
    <x v="11"/>
    <m/>
    <s v="ATT TRVX CLIENT"/>
    <s v="MDM500287"/>
    <x v="2"/>
    <d v="2025-04-25T00:00:00"/>
    <d v="2025-04-28T00:00:00"/>
    <x v="33"/>
    <x v="59"/>
    <m/>
    <m/>
    <m/>
    <m/>
    <m/>
    <m/>
    <m/>
    <x v="3"/>
    <x v="1"/>
  </r>
  <r>
    <m/>
    <m/>
    <x v="12"/>
    <m/>
    <s v="ATT TRVX CLIENT"/>
    <s v="MDM500310"/>
    <x v="8"/>
    <d v="2025-05-13T00:00:00"/>
    <d v="2025-06-24T00:00:00"/>
    <x v="16"/>
    <x v="60"/>
    <m/>
    <m/>
    <m/>
    <m/>
    <m/>
    <m/>
    <m/>
    <x v="6"/>
    <x v="1"/>
  </r>
  <r>
    <m/>
    <m/>
    <x v="1"/>
    <m/>
    <s v="ATT DEVIS ORANGE/RIP"/>
    <s v="IMI-VA-40114/017S-1"/>
    <x v="1"/>
    <d v="2025-01-04T00:00:00"/>
    <m/>
    <x v="1"/>
    <x v="61"/>
    <m/>
    <d v="2025-05-02T00:00:00"/>
    <s v="2025050200259TWO"/>
    <m/>
    <m/>
    <m/>
    <m/>
    <x v="1"/>
    <x v="1"/>
  </r>
  <r>
    <s v="MDM400896"/>
    <d v="2025-09-30T00:00:00"/>
    <x v="1"/>
    <m/>
    <s v="ATT DEVIS ORANGE/RIP"/>
    <s v="IMI-VA-40114/017V-1"/>
    <x v="1"/>
    <d v="1990-01-01T00:00:00"/>
    <m/>
    <x v="1"/>
    <x v="62"/>
    <m/>
    <m/>
    <m/>
    <m/>
    <m/>
    <m/>
    <m/>
    <x v="1"/>
    <x v="2"/>
  </r>
  <r>
    <s v="MDM400373"/>
    <d v="2025-07-30T00:00:00"/>
    <x v="1"/>
    <m/>
    <s v="ATT DEVIS ORANGE/RIP"/>
    <s v="IMI-VA-40114/018J-2"/>
    <x v="1"/>
    <d v="1990-01-03T00:00:00"/>
    <m/>
    <x v="1"/>
    <x v="63"/>
    <m/>
    <d v="2025-06-19T00:00:00"/>
    <s v="2025061901253TC5"/>
    <m/>
    <m/>
    <m/>
    <m/>
    <x v="1"/>
    <x v="2"/>
  </r>
  <r>
    <s v="MDM400881"/>
    <d v="2025-08-18T00:00:00"/>
    <x v="1"/>
    <m/>
    <s v="ATT DEVIS ORANGE/RIP"/>
    <s v="IMI-VA-40123/01P3-1"/>
    <x v="1"/>
    <d v="2025-01-04T00:00:00"/>
    <m/>
    <x v="2"/>
    <x v="64"/>
    <m/>
    <d v="2025-05-12T00:00:00"/>
    <s v="2025051200394T4K "/>
    <m/>
    <m/>
    <m/>
    <m/>
    <x v="1"/>
    <x v="1"/>
  </r>
  <r>
    <s v="MDM500292"/>
    <d v="2025-08-21T00:00:00"/>
    <x v="1"/>
    <m/>
    <s v="ATT DEVIS ORANGE/RIP"/>
    <s v="IMI-VA-40179/02TF-1"/>
    <x v="1"/>
    <d v="2025-01-03T00:00:00"/>
    <m/>
    <x v="11"/>
    <x v="65"/>
    <m/>
    <d v="2025-07-02T00:00:00"/>
    <s v="2025070200834TJ2"/>
    <m/>
    <m/>
    <m/>
    <m/>
    <x v="1"/>
    <x v="1"/>
  </r>
  <r>
    <s v="MDM400530"/>
    <d v="2025-10-15T00:00:00"/>
    <x v="1"/>
    <m/>
    <s v="ATT DEVIS ORANGE/RIP"/>
    <s v="IMI-VA-40279/15MJ-1"/>
    <x v="1"/>
    <d v="2025-03-04T00:00:00"/>
    <d v="2025-03-25T00:00:00"/>
    <x v="12"/>
    <x v="66"/>
    <m/>
    <d v="2025-05-06T00:00:00"/>
    <s v="2025050600480TDS"/>
    <m/>
    <m/>
    <m/>
    <m/>
    <x v="8"/>
    <x v="1"/>
  </r>
  <r>
    <s v="MDM300394"/>
    <d v="2025-08-07T00:00:00"/>
    <x v="1"/>
    <m/>
    <s v="ATT DEVIS ORANGE/RIP"/>
    <s v="IMI-VA-40279/15O1-1"/>
    <x v="1"/>
    <d v="2025-03-05T00:00:00"/>
    <d v="2025-04-18T00:00:00"/>
    <x v="12"/>
    <x v="67"/>
    <m/>
    <d v="2025-06-17T00:00:00"/>
    <s v="2025061700597TL4"/>
    <m/>
    <m/>
    <m/>
    <m/>
    <x v="8"/>
    <x v="1"/>
  </r>
  <r>
    <s v="MDM300689"/>
    <d v="2025-09-05T00:00:00"/>
    <x v="1"/>
    <m/>
    <s v="ATT DEVIS ORANGE/RIP"/>
    <s v="IMI-VA-40283/11YK-1"/>
    <x v="1"/>
    <d v="2025-06-16T00:00:00"/>
    <m/>
    <x v="14"/>
    <x v="68"/>
    <m/>
    <d v="2025-06-23T00:00:00"/>
    <s v="2025062301141TSH"/>
    <m/>
    <m/>
    <m/>
    <m/>
    <x v="5"/>
    <x v="1"/>
  </r>
  <r>
    <m/>
    <m/>
    <x v="1"/>
    <m/>
    <s v="ATT DEVIS ORANGE/RIP"/>
    <s v="IMI-VA-40301/014A-1"/>
    <x v="1"/>
    <d v="2025-02-03T00:00:00"/>
    <m/>
    <x v="34"/>
    <x v="69"/>
    <m/>
    <d v="2025-06-19T00:00:00"/>
    <s v="2025061901129TBV"/>
    <m/>
    <m/>
    <m/>
    <m/>
    <x v="4"/>
    <x v="1"/>
  </r>
  <r>
    <m/>
    <m/>
    <x v="13"/>
    <d v="2025-03-06T00:00:00"/>
    <s v="ATT DEVIS ORANGE/RIP"/>
    <s v="MDM400881"/>
    <x v="10"/>
    <d v="2024-10-07T00:00:00"/>
    <d v="2025-03-02T00:00:00"/>
    <x v="16"/>
    <x v="70"/>
    <m/>
    <m/>
    <m/>
    <m/>
    <m/>
    <m/>
    <m/>
    <x v="7"/>
    <x v="3"/>
  </r>
  <r>
    <m/>
    <m/>
    <x v="1"/>
    <m/>
    <s v="ATT DEVIS ORANGE/RIP"/>
    <s v="IMI-VA-40088/0B6T-1"/>
    <x v="1"/>
    <d v="2025-03-05T00:00:00"/>
    <m/>
    <x v="9"/>
    <x v="71"/>
    <m/>
    <d v="2025-07-23T00:00:00"/>
    <s v="2025072300636TED"/>
    <m/>
    <m/>
    <m/>
    <m/>
    <x v="8"/>
    <x v="1"/>
  </r>
  <r>
    <s v="MDM400279"/>
    <d v="2025-07-31T00:00:00"/>
    <x v="1"/>
    <d v="2025-07-09T00:00:00"/>
    <s v="ATT DEVIS ORANGE/RIP"/>
    <s v="IMI-VA-40125/01VF-1"/>
    <x v="1"/>
    <d v="2025-06-17T00:00:00"/>
    <m/>
    <x v="35"/>
    <x v="72"/>
    <m/>
    <d v="2025-07-23T00:00:00"/>
    <s v="2025072300712T7L"/>
    <m/>
    <m/>
    <m/>
    <m/>
    <x v="2"/>
    <x v="4"/>
  </r>
  <r>
    <s v="MDM301155"/>
    <d v="2025-08-19T00:00:00"/>
    <x v="1"/>
    <m/>
    <s v="ATT PV"/>
    <s v="IMI-VA-40037/001R-1"/>
    <x v="1"/>
    <d v="1990-01-01T00:00:00"/>
    <m/>
    <x v="36"/>
    <x v="73"/>
    <m/>
    <d v="2025-06-09T00:00:00"/>
    <s v="2025060900129TXS"/>
    <m/>
    <m/>
    <m/>
    <m/>
    <x v="1"/>
    <x v="2"/>
  </r>
  <r>
    <s v="MDM301144"/>
    <d v="2025-07-31T00:00:00"/>
    <x v="1"/>
    <m/>
    <s v="ATT PV"/>
    <s v="IMI-VA-40123/01KZ-1"/>
    <x v="1"/>
    <d v="1990-01-01T00:00:00"/>
    <m/>
    <x v="2"/>
    <x v="74"/>
    <m/>
    <d v="2025-06-26T00:00:00"/>
    <s v="2025062600714TV9"/>
    <m/>
    <m/>
    <m/>
    <m/>
    <x v="1"/>
    <x v="2"/>
  </r>
  <r>
    <s v="MDM102429"/>
    <d v="2025-10-23T00:00:00"/>
    <x v="1"/>
    <m/>
    <s v="ATT PV"/>
    <s v="IMI-VA-40192/09AT-1"/>
    <x v="1"/>
    <d v="2024-12-07T00:00:00"/>
    <m/>
    <x v="3"/>
    <x v="75"/>
    <m/>
    <m/>
    <m/>
    <m/>
    <m/>
    <m/>
    <m/>
    <x v="0"/>
    <x v="3"/>
  </r>
  <r>
    <s v="MDM400511"/>
    <d v="2025-09-15T00:00:00"/>
    <x v="1"/>
    <m/>
    <s v="ATT PV"/>
    <s v="IMI-VA-40279/15MF-1"/>
    <x v="1"/>
    <d v="2025-03-26T00:00:00"/>
    <d v="2025-04-08T00:00:00"/>
    <x v="12"/>
    <x v="76"/>
    <m/>
    <d v="2025-05-06T00:00:00"/>
    <s v="2025050600306TK8"/>
    <m/>
    <m/>
    <m/>
    <m/>
    <x v="8"/>
    <x v="1"/>
  </r>
  <r>
    <s v="MDM300446"/>
    <d v="2025-08-08T00:00:00"/>
    <x v="1"/>
    <m/>
    <s v="ATT PV"/>
    <s v="IMI-VA-40279/15NT-1"/>
    <x v="1"/>
    <d v="2024-12-07T00:00:00"/>
    <m/>
    <x v="12"/>
    <x v="77"/>
    <m/>
    <d v="2025-05-12T00:00:00"/>
    <s v="2025051200738TNB "/>
    <m/>
    <m/>
    <m/>
    <m/>
    <x v="0"/>
    <x v="3"/>
  </r>
  <r>
    <s v="MDM500002"/>
    <d v="2025-10-06T00:00:00"/>
    <x v="1"/>
    <m/>
    <s v="ATT PV"/>
    <s v="IMI-VA-40279/169O-1"/>
    <x v="1"/>
    <d v="2025-05-03T00:00:00"/>
    <m/>
    <x v="12"/>
    <x v="78"/>
    <m/>
    <d v="2025-06-19T00:00:00"/>
    <s v="2025061900603TKZ"/>
    <m/>
    <m/>
    <m/>
    <m/>
    <x v="6"/>
    <x v="1"/>
  </r>
  <r>
    <s v="DAX300720"/>
    <d v="2025-08-08T00:00:00"/>
    <x v="1"/>
    <m/>
    <s v="ATT PV"/>
    <s v="IMI-VA-40280/00CB-1"/>
    <x v="1"/>
    <d v="2025-02-03T00:00:00"/>
    <m/>
    <x v="37"/>
    <x v="79"/>
    <m/>
    <d v="2025-06-13T00:00:00"/>
    <s v="2025061301057TXD"/>
    <m/>
    <m/>
    <m/>
    <m/>
    <x v="4"/>
    <x v="1"/>
  </r>
  <r>
    <m/>
    <m/>
    <x v="1"/>
    <m/>
    <s v="ATT PV"/>
    <s v="IMI-VA-40320/004X-1"/>
    <x v="1"/>
    <d v="2025-02-03T00:00:00"/>
    <m/>
    <x v="38"/>
    <x v="80"/>
    <m/>
    <d v="2025-07-04T00:00:00"/>
    <s v="2025070400554T97"/>
    <m/>
    <m/>
    <m/>
    <m/>
    <x v="4"/>
    <x v="1"/>
  </r>
  <r>
    <m/>
    <m/>
    <x v="1"/>
    <d v="2025-06-27T00:00:00"/>
    <s v="ATT PV"/>
    <s v="IMI-VA-40320/008P-1"/>
    <x v="1"/>
    <m/>
    <d v="2025-06-26T00:00:00"/>
    <x v="38"/>
    <x v="81"/>
    <m/>
    <d v="2025-07-04T00:00:00"/>
    <s v="2025070400777TBI"/>
    <m/>
    <m/>
    <m/>
    <m/>
    <x v="2"/>
    <x v="4"/>
  </r>
  <r>
    <m/>
    <m/>
    <x v="1"/>
    <d v="2025-07-09T00:00:00"/>
    <s v="ATT PV"/>
    <s v="IMI-VA-40244/021R-1"/>
    <x v="1"/>
    <d v="2025-06-30T00:00:00"/>
    <d v="2025-07-01T00:00:00"/>
    <x v="39"/>
    <x v="82"/>
    <m/>
    <d v="2025-07-21T00:00:00"/>
    <s v="2025072100588TKF"/>
    <m/>
    <m/>
    <m/>
    <m/>
    <x v="2"/>
    <x v="4"/>
  </r>
  <r>
    <m/>
    <m/>
    <x v="1"/>
    <d v="2025-07-09T00:00:00"/>
    <s v="ATT PV"/>
    <s v="IMI-VA-40294/023F-1"/>
    <x v="1"/>
    <d v="2025-06-30T00:00:00"/>
    <d v="2025-07-01T00:00:00"/>
    <x v="40"/>
    <x v="83"/>
    <m/>
    <d v="2025-07-18T00:00:00"/>
    <s v="2025071801080TXM"/>
    <m/>
    <m/>
    <m/>
    <m/>
    <x v="2"/>
    <x v="4"/>
  </r>
  <r>
    <m/>
    <m/>
    <x v="1"/>
    <s v="à faire"/>
    <s v="ATT PV"/>
    <s v="IMI-VA-40123/01O2-1"/>
    <x v="1"/>
    <d v="2025-07-08T00:00:00"/>
    <d v="2025-07-15T00:00:00"/>
    <x v="2"/>
    <x v="84"/>
    <m/>
    <d v="2025-07-21T00:00:00"/>
    <s v="2025072100488TUQ"/>
    <m/>
    <m/>
    <m/>
    <m/>
    <x v="2"/>
    <x v="4"/>
  </r>
  <r>
    <m/>
    <m/>
    <x v="14"/>
    <d v="2025-03-06T00:00:00"/>
    <s v="ATT PV"/>
    <s v="MDM200033"/>
    <x v="2"/>
    <d v="2022-01-06T00:00:00"/>
    <d v="2025-03-02T00:00:00"/>
    <x v="41"/>
    <x v="85"/>
    <m/>
    <m/>
    <m/>
    <m/>
    <m/>
    <m/>
    <m/>
    <x v="1"/>
    <x v="7"/>
  </r>
  <r>
    <m/>
    <m/>
    <x v="15"/>
    <s v="TVX OK (photos travaux sur share point)"/>
    <s v="ATT PV"/>
    <s v="MDM300753"/>
    <x v="10"/>
    <d v="2023-05-19T00:00:00"/>
    <d v="2025-03-02T00:00:00"/>
    <x v="42"/>
    <x v="86"/>
    <m/>
    <m/>
    <m/>
    <m/>
    <m/>
    <m/>
    <m/>
    <x v="6"/>
    <x v="0"/>
  </r>
  <r>
    <m/>
    <m/>
    <x v="16"/>
    <d v="2025-03-06T00:00:00"/>
    <s v="ATT PV"/>
    <s v="MDM301144"/>
    <x v="3"/>
    <d v="2023-08-25T00:00:00"/>
    <d v="2025-03-02T00:00:00"/>
    <x v="36"/>
    <x v="87"/>
    <m/>
    <m/>
    <m/>
    <m/>
    <m/>
    <m/>
    <m/>
    <x v="12"/>
    <x v="0"/>
  </r>
  <r>
    <m/>
    <m/>
    <x v="1"/>
    <d v="2025-03-10T00:00:00"/>
    <s v="ATT PV"/>
    <s v="MDM301222"/>
    <x v="2"/>
    <d v="2023-09-21T00:00:00"/>
    <d v="2025-03-02T00:00:00"/>
    <x v="43"/>
    <x v="88"/>
    <m/>
    <m/>
    <m/>
    <m/>
    <m/>
    <m/>
    <m/>
    <x v="9"/>
    <x v="0"/>
  </r>
  <r>
    <m/>
    <m/>
    <x v="16"/>
    <d v="2025-06-25T00:00:00"/>
    <s v="ATT PV"/>
    <s v="MDM400210"/>
    <x v="2"/>
    <d v="2024-02-26T00:00:00"/>
    <d v="2025-03-02T00:00:00"/>
    <x v="44"/>
    <x v="89"/>
    <m/>
    <m/>
    <m/>
    <m/>
    <m/>
    <m/>
    <m/>
    <x v="4"/>
    <x v="3"/>
  </r>
  <r>
    <m/>
    <m/>
    <x v="17"/>
    <s v="Voir avec borhen pour les photos VT OK"/>
    <s v="ATT PV"/>
    <s v="MDM400434"/>
    <x v="8"/>
    <d v="2024-04-22T00:00:00"/>
    <d v="2025-03-02T00:00:00"/>
    <x v="42"/>
    <x v="90"/>
    <m/>
    <d v="2025-07-26T00:00:00"/>
    <s v="2025072600049TSC"/>
    <m/>
    <m/>
    <m/>
    <m/>
    <x v="3"/>
    <x v="3"/>
  </r>
  <r>
    <m/>
    <m/>
    <x v="1"/>
    <m/>
    <s v="ATT INFOS CAF REF"/>
    <s v="IMI-VA-40283/11Q1-1"/>
    <x v="1"/>
    <d v="2025-02-03T00:00:00"/>
    <m/>
    <x v="45"/>
    <x v="91"/>
    <m/>
    <m/>
    <m/>
    <m/>
    <m/>
    <m/>
    <m/>
    <x v="4"/>
    <x v="1"/>
  </r>
  <r>
    <m/>
    <m/>
    <x v="18"/>
    <m/>
    <s v="ATT INFOS CAF REF"/>
    <s v="MDM300394"/>
    <x v="4"/>
    <d v="2023-03-07T00:00:00"/>
    <d v="2025-03-02T00:00:00"/>
    <x v="46"/>
    <x v="92"/>
    <m/>
    <m/>
    <m/>
    <m/>
    <m/>
    <m/>
    <m/>
    <x v="8"/>
    <x v="0"/>
  </r>
  <r>
    <m/>
    <m/>
    <x v="1"/>
    <m/>
    <s v="ATT INFOS CAF REF"/>
    <s v="MDM400398"/>
    <x v="8"/>
    <d v="2024-04-08T00:00:00"/>
    <d v="2025-03-02T00:00:00"/>
    <x v="47"/>
    <x v="93"/>
    <m/>
    <m/>
    <m/>
    <m/>
    <m/>
    <m/>
    <m/>
    <x v="3"/>
    <x v="3"/>
  </r>
  <r>
    <m/>
    <m/>
    <x v="16"/>
    <d v="2025-03-06T00:00:00"/>
    <s v="ATT INFOS CAF REF"/>
    <s v="MDM201114"/>
    <x v="2"/>
    <d v="2022-04-28T00:00:00"/>
    <d v="2025-03-02T00:00:00"/>
    <x v="30"/>
    <x v="94"/>
    <m/>
    <d v="2025-06-17T00:00:00"/>
    <s v="2025061701622TWP"/>
    <m/>
    <m/>
    <m/>
    <m/>
    <x v="3"/>
    <x v="7"/>
  </r>
  <r>
    <m/>
    <m/>
    <x v="1"/>
    <m/>
    <s v="RECOL A FAIRE"/>
    <s v="IMI-VA-40123/01PL-1"/>
    <x v="1"/>
    <d v="1990-01-01T00:00:00"/>
    <m/>
    <x v="2"/>
    <x v="28"/>
    <m/>
    <d v="2025-03-03T00:00:00"/>
    <s v="2025030301957TAA"/>
    <m/>
    <m/>
    <m/>
    <m/>
    <x v="1"/>
    <x v="2"/>
  </r>
  <r>
    <s v="MDM301401"/>
    <d v="2025-08-20T00:00:00"/>
    <x v="19"/>
    <d v="2025-03-07T00:00:00"/>
    <s v="DOSSIER A MONTER"/>
    <s v="MDM003509"/>
    <x v="6"/>
    <d v="2020-10-16T00:00:00"/>
    <d v="2025-03-02T00:00:00"/>
    <x v="46"/>
    <x v="95"/>
    <m/>
    <m/>
    <m/>
    <m/>
    <m/>
    <m/>
    <m/>
    <x v="7"/>
    <x v="8"/>
  </r>
  <r>
    <m/>
    <m/>
    <x v="16"/>
    <d v="2025-03-08T00:00:00"/>
    <s v="DOSSIER A MONTER"/>
    <s v="MDM400279"/>
    <x v="11"/>
    <d v="2024-03-13T00:00:00"/>
    <d v="2025-03-02T00:00:00"/>
    <x v="48"/>
    <x v="96"/>
    <m/>
    <m/>
    <m/>
    <m/>
    <m/>
    <m/>
    <m/>
    <x v="8"/>
    <x v="3"/>
  </r>
  <r>
    <m/>
    <m/>
    <x v="5"/>
    <s v="NE PAS PRENDRE"/>
    <s v="DOSSIER A MONTER"/>
    <s v="MDM500366"/>
    <x v="9"/>
    <d v="2025-06-17T00:00:00"/>
    <d v="2025-06-19T00:00:00"/>
    <x v="49"/>
    <x v="97"/>
    <m/>
    <m/>
    <m/>
    <m/>
    <m/>
    <m/>
    <m/>
    <x v="5"/>
    <x v="1"/>
  </r>
  <r>
    <m/>
    <m/>
    <x v="19"/>
    <s v="05/03/2025(Des équipe sont déjà venus pour localiser le câbles pour le réparer)"/>
    <s v="RETOUR VT"/>
    <s v="MDM301158"/>
    <x v="12"/>
    <d v="2023-08-31T00:00:00"/>
    <d v="2025-03-02T00:00:00"/>
    <x v="50"/>
    <x v="98"/>
    <m/>
    <m/>
    <m/>
    <m/>
    <m/>
    <m/>
    <m/>
    <x v="12"/>
    <x v="0"/>
  </r>
  <r>
    <m/>
    <m/>
    <x v="20"/>
    <s v="VT OK"/>
    <s v="RETOUR VT"/>
    <s v="MDM400978"/>
    <x v="5"/>
    <d v="2024-11-12T00:00:00"/>
    <d v="2025-05-07T00:00:00"/>
    <x v="31"/>
    <x v="99"/>
    <m/>
    <m/>
    <m/>
    <m/>
    <m/>
    <m/>
    <m/>
    <x v="11"/>
    <x v="3"/>
  </r>
  <r>
    <m/>
    <m/>
    <x v="7"/>
    <d v="2025-07-01T00:00:00"/>
    <s v="RETOUR VT"/>
    <s v="MDM500305"/>
    <x v="2"/>
    <d v="2025-05-09T00:00:00"/>
    <d v="2025-05-13T00:00:00"/>
    <x v="51"/>
    <x v="100"/>
    <m/>
    <m/>
    <m/>
    <m/>
    <m/>
    <m/>
    <m/>
    <x v="6"/>
    <x v="1"/>
  </r>
  <r>
    <m/>
    <m/>
    <x v="6"/>
    <s v="VT 25/06"/>
    <s v="DOSSIER A REPRENDRE"/>
    <s v="MDM103892"/>
    <x v="4"/>
    <d v="2021-11-02T00:00:00"/>
    <d v="2025-03-02T00:00:00"/>
    <x v="52"/>
    <x v="101"/>
    <m/>
    <m/>
    <m/>
    <m/>
    <m/>
    <m/>
    <m/>
    <x v="11"/>
    <x v="6"/>
  </r>
  <r>
    <m/>
    <m/>
    <x v="21"/>
    <d v="2025-03-10T00:00:00"/>
    <s v="DOSSIER A REPRENDRE"/>
    <s v="MDM301155"/>
    <x v="3"/>
    <d v="2023-08-30T00:00:00"/>
    <d v="2025-03-02T00:00:00"/>
    <x v="53"/>
    <x v="102"/>
    <m/>
    <m/>
    <m/>
    <m/>
    <m/>
    <m/>
    <m/>
    <x v="12"/>
    <x v="0"/>
  </r>
  <r>
    <m/>
    <m/>
    <x v="22"/>
    <d v="2025-06-26T00:00:00"/>
    <s v="DOSSIER A REPRENDRE"/>
    <s v="MDM400896"/>
    <x v="10"/>
    <d v="2024-10-11T00:00:00"/>
    <d v="2025-05-28T00:00:00"/>
    <x v="8"/>
    <x v="103"/>
    <m/>
    <m/>
    <m/>
    <m/>
    <m/>
    <m/>
    <m/>
    <x v="7"/>
    <x v="3"/>
  </r>
  <r>
    <m/>
    <m/>
    <x v="17"/>
    <s v="VT OK"/>
    <s v="DOSSIER A REPRENDRE"/>
    <s v="MDM500292"/>
    <x v="7"/>
    <d v="2025-04-30T00:00:00"/>
    <d v="2025-05-07T00:00:00"/>
    <x v="31"/>
    <x v="104"/>
    <m/>
    <m/>
    <m/>
    <m/>
    <m/>
    <m/>
    <m/>
    <x v="3"/>
    <x v="1"/>
  </r>
  <r>
    <m/>
    <m/>
    <x v="13"/>
    <s v="à traiter par afek"/>
    <s v="VT A FAIRE"/>
    <s v="MDM400807"/>
    <x v="2"/>
    <d v="2024-09-13T00:00:00"/>
    <d v="2025-03-02T00:00:00"/>
    <x v="54"/>
    <x v="105"/>
    <m/>
    <m/>
    <m/>
    <m/>
    <m/>
    <m/>
    <m/>
    <x v="9"/>
    <x v="3"/>
  </r>
  <r>
    <m/>
    <m/>
    <x v="23"/>
    <d v="2025-06-27T00:00:00"/>
    <s v="VT A FAIRE"/>
    <s v="MDM500332"/>
    <x v="2"/>
    <d v="2025-05-27T00:00:00"/>
    <d v="2025-05-28T00:00:00"/>
    <x v="55"/>
    <x v="106"/>
    <m/>
    <m/>
    <m/>
    <m/>
    <m/>
    <m/>
    <m/>
    <x v="6"/>
    <x v="1"/>
  </r>
  <r>
    <m/>
    <m/>
    <x v="1"/>
    <m/>
    <s v="VT A FAIRE"/>
    <s v="IMI-VA-40139/006Y-1"/>
    <x v="1"/>
    <m/>
    <m/>
    <x v="53"/>
    <x v="107"/>
    <m/>
    <m/>
    <m/>
    <m/>
    <m/>
    <m/>
    <m/>
    <x v="2"/>
    <x v="4"/>
  </r>
  <r>
    <m/>
    <m/>
    <x v="1"/>
    <m/>
    <s v="VT A FAIRE"/>
    <s v="IMI-VA-40234/007H-1"/>
    <x v="1"/>
    <m/>
    <m/>
    <x v="56"/>
    <x v="108"/>
    <m/>
    <m/>
    <m/>
    <m/>
    <m/>
    <m/>
    <m/>
    <x v="2"/>
    <x v="4"/>
  </r>
  <r>
    <m/>
    <m/>
    <x v="1"/>
    <m/>
    <s v="VT A FAIRE"/>
    <s v="IMI-VA-40037/004G-1"/>
    <x v="1"/>
    <m/>
    <m/>
    <x v="36"/>
    <x v="109"/>
    <m/>
    <m/>
    <m/>
    <m/>
    <m/>
    <m/>
    <m/>
    <x v="2"/>
    <x v="4"/>
  </r>
  <r>
    <m/>
    <m/>
    <x v="6"/>
    <s v="mardi"/>
    <s v="VT A FAIRE"/>
    <s v="MDM104202"/>
    <x v="4"/>
    <d v="2021-12-06T00:00:00"/>
    <d v="2025-03-02T00:00:00"/>
    <x v="17"/>
    <x v="110"/>
    <m/>
    <m/>
    <m/>
    <m/>
    <m/>
    <m/>
    <m/>
    <x v="0"/>
    <x v="6"/>
  </r>
  <r>
    <m/>
    <m/>
    <x v="24"/>
    <d v="2025-03-14T00:00:00"/>
    <s v="VT A FAIRE"/>
    <s v="MDM202158"/>
    <x v="2"/>
    <d v="2022-08-30T00:00:00"/>
    <d v="2025-03-02T00:00:00"/>
    <x v="57"/>
    <x v="111"/>
    <m/>
    <m/>
    <m/>
    <m/>
    <m/>
    <m/>
    <m/>
    <x v="12"/>
    <x v="7"/>
  </r>
  <r>
    <m/>
    <m/>
    <x v="0"/>
    <d v="2025-06-27T00:00:00"/>
    <s v="VT A FAIRE"/>
    <s v="MDM300446"/>
    <x v="2"/>
    <d v="2025-03-14T00:00:00"/>
    <d v="2025-05-27T00:00:00"/>
    <x v="58"/>
    <x v="112"/>
    <m/>
    <m/>
    <m/>
    <m/>
    <m/>
    <m/>
    <m/>
    <x v="8"/>
    <x v="1"/>
  </r>
  <r>
    <m/>
    <m/>
    <x v="22"/>
    <m/>
    <s v="VT A FAIRE"/>
    <s v="MDM301371"/>
    <x v="0"/>
    <d v="2023-10-25T00:00:00"/>
    <d v="2025-03-02T00:00:00"/>
    <x v="59"/>
    <x v="113"/>
    <m/>
    <d v="2025-06-10T00:00:00"/>
    <s v="2025061000570TH6"/>
    <m/>
    <m/>
    <m/>
    <m/>
    <x v="7"/>
    <x v="0"/>
  </r>
  <r>
    <m/>
    <m/>
    <x v="16"/>
    <s v="JEUDI"/>
    <s v="VT A FAIRE"/>
    <s v="MDM301457"/>
    <x v="4"/>
    <d v="2023-11-29T00:00:00"/>
    <d v="2025-03-02T00:00:00"/>
    <x v="60"/>
    <x v="114"/>
    <m/>
    <m/>
    <m/>
    <m/>
    <m/>
    <m/>
    <m/>
    <x v="11"/>
    <x v="0"/>
  </r>
  <r>
    <m/>
    <m/>
    <x v="25"/>
    <s v="DESSIM tvx pas terminés (client à contacter)"/>
    <s v="VT A FAIRE"/>
    <s v="MDM400167"/>
    <x v="8"/>
    <d v="2024-02-12T00:00:00"/>
    <d v="2025-03-02T00:00:00"/>
    <x v="61"/>
    <x v="115"/>
    <m/>
    <m/>
    <m/>
    <m/>
    <m/>
    <m/>
    <m/>
    <x v="4"/>
    <x v="3"/>
  </r>
  <r>
    <m/>
    <m/>
    <x v="23"/>
    <d v="2025-06-25T00:00:00"/>
    <s v="VT A FAIRE"/>
    <s v="MDM400322"/>
    <x v="2"/>
    <d v="2024-03-21T00:00:00"/>
    <d v="2025-03-02T00:00:00"/>
    <x v="62"/>
    <x v="116"/>
    <m/>
    <m/>
    <m/>
    <m/>
    <m/>
    <m/>
    <m/>
    <x v="8"/>
    <x v="3"/>
  </r>
  <r>
    <m/>
    <m/>
    <x v="26"/>
    <s v="RDV à fixer"/>
    <s v="VT A FAIRE"/>
    <s v="MDM400372"/>
    <x v="11"/>
    <d v="2024-04-03T00:00:00"/>
    <d v="2025-03-02T00:00:00"/>
    <x v="41"/>
    <x v="117"/>
    <m/>
    <m/>
    <m/>
    <m/>
    <m/>
    <m/>
    <m/>
    <x v="3"/>
    <x v="3"/>
  </r>
  <r>
    <m/>
    <m/>
    <x v="12"/>
    <s v="Toujours injoignable"/>
    <s v="VT A FAIRE"/>
    <s v="MDM400373"/>
    <x v="11"/>
    <d v="2024-04-03T00:00:00"/>
    <d v="2025-03-02T00:00:00"/>
    <x v="46"/>
    <x v="118"/>
    <m/>
    <m/>
    <m/>
    <m/>
    <m/>
    <m/>
    <m/>
    <x v="3"/>
    <x v="3"/>
  </r>
  <r>
    <m/>
    <m/>
    <x v="17"/>
    <m/>
    <s v="VT A FAIRE"/>
    <s v="MDM400427"/>
    <x v="10"/>
    <d v="2024-04-18T00:00:00"/>
    <d v="2025-03-02T00:00:00"/>
    <x v="63"/>
    <x v="119"/>
    <m/>
    <m/>
    <m/>
    <m/>
    <m/>
    <m/>
    <m/>
    <x v="3"/>
    <x v="3"/>
  </r>
  <r>
    <m/>
    <m/>
    <x v="6"/>
    <d v="2025-07-11T00:00:00"/>
    <s v="VT A FAIRE"/>
    <s v="MDM400484"/>
    <x v="2"/>
    <d v="2024-05-13T00:00:00"/>
    <d v="2025-03-02T00:00:00"/>
    <x v="64"/>
    <x v="120"/>
    <m/>
    <m/>
    <m/>
    <m/>
    <m/>
    <m/>
    <m/>
    <x v="6"/>
    <x v="3"/>
  </r>
  <r>
    <m/>
    <m/>
    <x v="27"/>
    <d v="2025-06-27T00:00:00"/>
    <s v="VT A FAIRE"/>
    <s v="MDM400512"/>
    <x v="8"/>
    <d v="2024-05-23T00:00:00"/>
    <d v="2025-03-02T00:00:00"/>
    <x v="27"/>
    <x v="56"/>
    <m/>
    <m/>
    <m/>
    <m/>
    <m/>
    <m/>
    <m/>
    <x v="6"/>
    <x v="3"/>
  </r>
  <r>
    <m/>
    <m/>
    <x v="16"/>
    <d v="2025-06-27T00:00:00"/>
    <s v="VT A FAIRE"/>
    <s v="MDM400687"/>
    <x v="2"/>
    <d v="2024-07-26T00:00:00"/>
    <d v="2025-03-02T00:00:00"/>
    <x v="65"/>
    <x v="121"/>
    <m/>
    <m/>
    <m/>
    <m/>
    <m/>
    <m/>
    <m/>
    <x v="10"/>
    <x v="3"/>
  </r>
  <r>
    <m/>
    <m/>
    <x v="28"/>
    <m/>
    <m/>
    <m/>
    <x v="1"/>
    <m/>
    <m/>
    <x v="66"/>
    <x v="122"/>
    <m/>
    <m/>
    <m/>
    <m/>
    <m/>
    <m/>
    <m/>
    <x v="2"/>
    <x v="4"/>
  </r>
  <r>
    <m/>
    <m/>
    <x v="28"/>
    <m/>
    <m/>
    <m/>
    <x v="1"/>
    <m/>
    <m/>
    <x v="66"/>
    <x v="122"/>
    <m/>
    <m/>
    <m/>
    <m/>
    <m/>
    <m/>
    <m/>
    <x v="2"/>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94"/>
    <n v="5"/>
    <n v="4"/>
    <n v="1"/>
    <n v="0"/>
    <n v="10"/>
    <n v="4"/>
    <n v="34"/>
    <n v="19"/>
    <n v="33"/>
    <n v="6"/>
    <n v="0"/>
    <n v="2"/>
    <n v="1"/>
    <n v="71"/>
    <n v="4"/>
    <n v="3"/>
  </r>
  <r>
    <x v="1"/>
    <n v="255"/>
    <n v="7"/>
    <n v="20"/>
    <n v="4"/>
    <n v="4"/>
    <n v="10"/>
    <n v="7"/>
    <n v="59"/>
    <n v="3"/>
    <n v="46"/>
    <n v="5"/>
    <n v="3"/>
    <n v="1"/>
    <n v="5"/>
    <n v="69"/>
    <n v="13"/>
    <n v="3"/>
  </r>
  <r>
    <x v="2"/>
    <m/>
    <m/>
    <m/>
    <m/>
    <m/>
    <m/>
    <m/>
    <m/>
    <m/>
    <m/>
    <m/>
    <m/>
    <m/>
    <m/>
    <m/>
    <m/>
    <m/>
  </r>
  <r>
    <x v="3"/>
    <n v="117"/>
    <n v="15"/>
    <n v="35"/>
    <n v="2"/>
    <n v="2"/>
    <n v="0"/>
    <n v="7"/>
    <n v="0"/>
    <n v="2"/>
    <n v="16"/>
    <n v="4"/>
    <n v="0"/>
    <n v="1"/>
    <n v="0"/>
    <n v="25"/>
    <n v="9"/>
    <n v="0"/>
  </r>
  <r>
    <x v="4"/>
    <n v="84"/>
    <m/>
    <n v="0"/>
    <n v="0"/>
    <n v="0"/>
    <n v="0"/>
    <n v="0"/>
    <e v="#REF!"/>
    <e v="#REF!"/>
    <e v="#REF!"/>
    <n v="14"/>
    <e v="#REF!"/>
    <e v="#REF!"/>
    <e v="#REF!"/>
    <e v="#REF!"/>
    <e v="#REF!"/>
    <e v="#REF!"/>
  </r>
  <r>
    <x v="2"/>
    <m/>
    <m/>
    <m/>
    <m/>
    <m/>
    <m/>
    <m/>
    <m/>
    <m/>
    <m/>
    <m/>
    <m/>
    <m/>
    <m/>
    <m/>
    <m/>
    <m/>
  </r>
  <r>
    <x v="5"/>
    <n v="176"/>
    <n v="36"/>
    <n v="67"/>
    <n v="18"/>
    <n v="9"/>
    <n v="16"/>
    <n v="8"/>
    <n v="0"/>
    <n v="2"/>
    <n v="14"/>
    <n v="9"/>
    <n v="0"/>
    <n v="0"/>
    <n v="2"/>
    <n v="23"/>
    <n v="8"/>
    <n v="3"/>
  </r>
  <r>
    <x v="6"/>
    <n v="188"/>
    <m/>
    <n v="47"/>
    <m/>
    <m/>
    <m/>
    <m/>
    <m/>
    <m/>
    <m/>
    <m/>
    <m/>
    <m/>
    <m/>
    <m/>
    <n v="141"/>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s v="BRS402663"/>
    <d v="2025-09-30T00:00:00"/>
    <x v="0"/>
    <x v="0"/>
    <s v="LOR401289"/>
    <x v="0"/>
    <x v="0"/>
    <x v="0"/>
    <m/>
    <m/>
    <d v="2024-08-22T00:00:00"/>
    <d v="2025-07-02T00:00:00"/>
    <m/>
    <m/>
    <x v="0"/>
    <x v="0"/>
  </r>
  <r>
    <s v="CRO400002"/>
    <d v="2025-09-29T00:00:00"/>
    <x v="0"/>
    <x v="0"/>
    <s v="VAN301512"/>
    <x v="1"/>
    <x v="1"/>
    <x v="1"/>
    <m/>
    <s v="à remonter par ghada"/>
    <d v="2023-06-16T00:00:00"/>
    <d v="2025-07-02T00:00:00"/>
    <m/>
    <m/>
    <x v="1"/>
    <x v="1"/>
  </r>
  <r>
    <s v="CRO500018"/>
    <d v="2025-09-18T00:00:00"/>
    <x v="0"/>
    <x v="0"/>
    <s v="RRE501343"/>
    <x v="2"/>
    <x v="2"/>
    <x v="2"/>
    <s v="x"/>
    <m/>
    <d v="2025-07-01T00:00:00"/>
    <d v="2025-08-05T00:00:00"/>
    <m/>
    <m/>
    <x v="2"/>
    <x v="2"/>
  </r>
  <r>
    <s v="CRO500021"/>
    <d v="2025-10-09T00:00:00"/>
    <x v="0"/>
    <x v="0"/>
    <s v="QPR501049"/>
    <x v="3"/>
    <x v="3"/>
    <x v="3"/>
    <s v="VT OK"/>
    <m/>
    <d v="2025-06-25T00:00:00"/>
    <d v="2025-07-02T00:00:00"/>
    <m/>
    <m/>
    <x v="1"/>
    <x v="2"/>
  </r>
  <r>
    <s v="CRO500037"/>
    <d v="2025-09-23T00:00:00"/>
    <x v="0"/>
    <x v="0"/>
    <s v="QPR501141"/>
    <x v="4"/>
    <x v="4"/>
    <x v="4"/>
    <m/>
    <m/>
    <d v="2025-07-09T00:00:00"/>
    <d v="2025-08-18T00:00:00"/>
    <m/>
    <m/>
    <x v="2"/>
    <x v="2"/>
  </r>
  <r>
    <s v="CRO500068"/>
    <d v="2025-09-19T00:00:00"/>
    <x v="0"/>
    <x v="0"/>
    <s v="LOR400794"/>
    <x v="5"/>
    <x v="3"/>
    <x v="5"/>
    <m/>
    <m/>
    <d v="2024-05-23T00:00:00"/>
    <d v="2025-07-11T00:00:00"/>
    <m/>
    <m/>
    <x v="3"/>
    <x v="0"/>
  </r>
  <r>
    <s v="CRO500116"/>
    <d v="2025-09-29T00:00:00"/>
    <x v="0"/>
    <x v="0"/>
    <s v="QPR501150"/>
    <x v="4"/>
    <x v="5"/>
    <x v="6"/>
    <m/>
    <s v=",Att remonte PIT"/>
    <d v="2025-07-10T00:00:00"/>
    <d v="2025-07-11T00:00:00"/>
    <m/>
    <m/>
    <x v="2"/>
    <x v="2"/>
  </r>
  <r>
    <s v="CRO500134"/>
    <d v="2025-09-30T00:00:00"/>
    <x v="0"/>
    <x v="0"/>
    <s v="RRE501566"/>
    <x v="3"/>
    <x v="6"/>
    <x v="7"/>
    <d v="2025-08-18T00:00:00"/>
    <m/>
    <d v="2025-07-29T00:00:00"/>
    <d v="2025-08-05T00:00:00"/>
    <m/>
    <m/>
    <x v="2"/>
    <x v="2"/>
  </r>
  <r>
    <s v="LOR500133"/>
    <d v="2025-09-08T00:00:00"/>
    <x v="0"/>
    <x v="1"/>
    <s v="QPR500660"/>
    <x v="6"/>
    <x v="7"/>
    <x v="8"/>
    <s v="VT faite le 09/07"/>
    <m/>
    <d v="2025-04-16T00:00:00"/>
    <d v="2025-07-08T00:00:00"/>
    <m/>
    <m/>
    <x v="4"/>
    <x v="2"/>
  </r>
  <r>
    <s v="CRO500153"/>
    <d v="2025-09-19T00:00:00"/>
    <x v="0"/>
    <x v="2"/>
    <s v="VAN501000"/>
    <x v="7"/>
    <x v="8"/>
    <x v="9"/>
    <d v="2025-07-10T00:00:00"/>
    <m/>
    <d v="2025-04-07T00:00:00"/>
    <d v="2025-07-02T00:00:00"/>
    <m/>
    <m/>
    <x v="4"/>
    <x v="2"/>
  </r>
  <r>
    <s v="CRO500184"/>
    <d v="2025-09-22T00:00:00"/>
    <x v="0"/>
    <x v="2"/>
    <s v="VAN501186"/>
    <x v="6"/>
    <x v="9"/>
    <x v="10"/>
    <s v="VT faite le 09/07"/>
    <m/>
    <d v="2025-05-14T00:00:00"/>
    <d v="2025-07-08T00:00:00"/>
    <m/>
    <m/>
    <x v="3"/>
    <x v="2"/>
  </r>
  <r>
    <s v="CRO500186"/>
    <d v="2025-09-25T00:00:00"/>
    <x v="0"/>
    <x v="2"/>
    <s v="RRE300399"/>
    <x v="8"/>
    <x v="10"/>
    <x v="11"/>
    <d v="2025-07-17T00:00:00"/>
    <m/>
    <d v="2023-02-14T00:00:00"/>
    <d v="2025-07-11T00:00:00"/>
    <m/>
    <m/>
    <x v="5"/>
    <x v="1"/>
  </r>
  <r>
    <s v="LOR201914"/>
    <d v="2025-09-19T00:00:00"/>
    <x v="0"/>
    <x v="2"/>
    <s v="QPR500679"/>
    <x v="3"/>
    <x v="11"/>
    <x v="12"/>
    <d v="2025-06-17T00:00:00"/>
    <m/>
    <d v="2025-04-21T00:00:00"/>
    <d v="2025-06-12T00:00:00"/>
    <m/>
    <m/>
    <x v="4"/>
    <x v="2"/>
  </r>
  <r>
    <s v="LOR201931"/>
    <d v="2025-12-01T00:00:00"/>
    <x v="0"/>
    <x v="2"/>
    <s v="QPR500654"/>
    <x v="3"/>
    <x v="12"/>
    <x v="13"/>
    <d v="2025-06-18T00:00:00"/>
    <m/>
    <d v="2025-04-15T00:00:00"/>
    <d v="2025-06-12T00:00:00"/>
    <m/>
    <m/>
    <x v="4"/>
    <x v="2"/>
  </r>
  <r>
    <s v="LOR400936"/>
    <d v="2025-12-01T00:00:00"/>
    <x v="0"/>
    <x v="2"/>
    <s v="QPR500782"/>
    <x v="3"/>
    <x v="13"/>
    <x v="14"/>
    <s v="RDV 25/06 à 11h"/>
    <m/>
    <d v="2025-05-08T00:00:00"/>
    <d v="2025-06-12T00:00:00"/>
    <m/>
    <m/>
    <x v="3"/>
    <x v="2"/>
  </r>
  <r>
    <s v="LOR400947"/>
    <d v="2025-10-06T00:00:00"/>
    <x v="0"/>
    <x v="2"/>
    <s v="QPR402427"/>
    <x v="9"/>
    <x v="14"/>
    <x v="15"/>
    <m/>
    <m/>
    <d v="2024-11-26T00:00:00"/>
    <d v="2025-06-12T00:00:00"/>
    <m/>
    <m/>
    <x v="6"/>
    <x v="0"/>
  </r>
  <r>
    <s v="LOR500237"/>
    <d v="2025-10-20T00:00:00"/>
    <x v="0"/>
    <x v="2"/>
    <s v="BRS402155"/>
    <x v="10"/>
    <x v="15"/>
    <x v="16"/>
    <m/>
    <m/>
    <m/>
    <m/>
    <m/>
    <m/>
    <x v="7"/>
    <x v="3"/>
  </r>
  <r>
    <s v="LOR500257"/>
    <d v="2025-09-30T00:00:00"/>
    <x v="0"/>
    <x v="2"/>
    <s v="QPR401457"/>
    <x v="10"/>
    <x v="15"/>
    <x v="16"/>
    <m/>
    <m/>
    <m/>
    <m/>
    <m/>
    <m/>
    <x v="7"/>
    <x v="3"/>
  </r>
  <r>
    <s v="LOR500348"/>
    <d v="2025-11-14T00:00:00"/>
    <x v="0"/>
    <x v="2"/>
    <s v="QPR401859"/>
    <x v="10"/>
    <x v="15"/>
    <x v="16"/>
    <m/>
    <m/>
    <m/>
    <m/>
    <m/>
    <m/>
    <x v="7"/>
    <x v="3"/>
  </r>
  <r>
    <s v="LOR500350"/>
    <d v="2025-09-12T00:00:00"/>
    <x v="0"/>
    <x v="2"/>
    <s v="QPR402292"/>
    <x v="10"/>
    <x v="15"/>
    <x v="16"/>
    <m/>
    <m/>
    <m/>
    <m/>
    <m/>
    <m/>
    <x v="7"/>
    <x v="3"/>
  </r>
  <r>
    <s v="LOR500379"/>
    <d v="2025-09-22T00:00:00"/>
    <x v="0"/>
    <x v="2"/>
    <s v="QPR501017"/>
    <x v="7"/>
    <x v="16"/>
    <x v="17"/>
    <d v="2025-08-07T00:00:00"/>
    <m/>
    <d v="2025-06-18T00:00:00"/>
    <d v="2025-07-31T00:00:00"/>
    <m/>
    <m/>
    <x v="1"/>
    <x v="2"/>
  </r>
  <r>
    <s v="LOR500385"/>
    <d v="2025-10-06T00:00:00"/>
    <x v="0"/>
    <x v="2"/>
    <s v="QPR501038"/>
    <x v="4"/>
    <x v="17"/>
    <x v="18"/>
    <m/>
    <s v="urgent mail envoyé concernant "/>
    <d v="2025-06-23T00:00:00"/>
    <d v="2025-07-08T00:00:00"/>
    <m/>
    <m/>
    <x v="1"/>
    <x v="2"/>
  </r>
  <r>
    <s v="LOR500508"/>
    <d v="2025-09-18T00:00:00"/>
    <x v="0"/>
    <x v="2"/>
    <s v="QPR500784"/>
    <x v="8"/>
    <x v="18"/>
    <x v="19"/>
    <s v="à remonter par ghada"/>
    <m/>
    <d v="2025-05-08T00:00:00"/>
    <d v="2025-07-08T00:00:00"/>
    <m/>
    <m/>
    <x v="3"/>
    <x v="2"/>
  </r>
  <r>
    <s v="LOR500509"/>
    <d v="2025-09-23T00:00:00"/>
    <x v="0"/>
    <x v="2"/>
    <s v="LOR500542"/>
    <x v="11"/>
    <x v="19"/>
    <x v="20"/>
    <d v="2025-07-11T00:00:00"/>
    <m/>
    <d v="2025-04-18T00:00:00"/>
    <d v="2025-07-08T00:00:00"/>
    <m/>
    <m/>
    <x v="4"/>
    <x v="2"/>
  </r>
  <r>
    <s v="LOR500511"/>
    <d v="2025-11-17T00:00:00"/>
    <x v="0"/>
    <x v="2"/>
    <s v="RRE501596"/>
    <x v="11"/>
    <x v="20"/>
    <x v="21"/>
    <d v="2025-08-18T00:00:00"/>
    <m/>
    <d v="2025-07-30T00:00:00"/>
    <d v="2025-08-05T00:00:00"/>
    <m/>
    <m/>
    <x v="2"/>
    <x v="2"/>
  </r>
  <r>
    <s v="LOR500657"/>
    <d v="2025-09-22T00:00:00"/>
    <x v="0"/>
    <x v="2"/>
    <s v="LOR400490"/>
    <x v="3"/>
    <x v="21"/>
    <x v="22"/>
    <m/>
    <m/>
    <d v="2024-03-28T00:00:00"/>
    <d v="2025-08-06T00:00:00"/>
    <m/>
    <m/>
    <x v="8"/>
    <x v="0"/>
  </r>
  <r>
    <s v="LOR500732"/>
    <d v="2025-10-06T00:00:00"/>
    <x v="0"/>
    <x v="2"/>
    <s v="QPR501034"/>
    <x v="8"/>
    <x v="22"/>
    <x v="23"/>
    <m/>
    <m/>
    <d v="2025-06-23T00:00:00"/>
    <d v="2025-07-08T00:00:00"/>
    <m/>
    <m/>
    <x v="1"/>
    <x v="2"/>
  </r>
  <r>
    <s v="LOR500806"/>
    <d v="2025-09-26T00:00:00"/>
    <x v="0"/>
    <x v="2"/>
    <s v="CRO500072"/>
    <x v="12"/>
    <x v="23"/>
    <x v="24"/>
    <s v="à refaire"/>
    <m/>
    <d v="2025-04-22T00:00:00"/>
    <d v="2025-06-12T00:00:00"/>
    <m/>
    <m/>
    <x v="4"/>
    <x v="2"/>
  </r>
  <r>
    <s v="LOR500820"/>
    <d v="2025-09-15T00:00:00"/>
    <x v="0"/>
    <x v="2"/>
    <s v="RRE402526"/>
    <x v="1"/>
    <x v="24"/>
    <x v="25"/>
    <m/>
    <m/>
    <d v="2024-11-26T00:00:00"/>
    <d v="2025-07-11T00:00:00"/>
    <m/>
    <m/>
    <x v="6"/>
    <x v="0"/>
  </r>
  <r>
    <s v="LOR500883"/>
    <d v="2025-09-23T00:00:00"/>
    <x v="0"/>
    <x v="2"/>
    <s v="QPR401355"/>
    <x v="13"/>
    <x v="25"/>
    <x v="26"/>
    <s v="à voir "/>
    <s v="VOIR INFO SOGETREL"/>
    <d v="2024-06-25T00:00:00"/>
    <d v="2025-06-12T00:00:00"/>
    <m/>
    <m/>
    <x v="1"/>
    <x v="0"/>
  </r>
  <r>
    <s v="LOR500901"/>
    <d v="2025-09-19T00:00:00"/>
    <x v="0"/>
    <x v="2"/>
    <s v="VAN500973"/>
    <x v="3"/>
    <x v="26"/>
    <x v="27"/>
    <d v="2025-07-10T00:00:00"/>
    <m/>
    <d v="2025-04-15T00:00:00"/>
    <d v="2025-07-02T00:00:00"/>
    <m/>
    <m/>
    <x v="4"/>
    <x v="2"/>
  </r>
  <r>
    <s v="LOR500925"/>
    <d v="2025-09-24T00:00:00"/>
    <x v="0"/>
    <x v="2"/>
    <s v="LOR500521"/>
    <x v="7"/>
    <x v="27"/>
    <x v="28"/>
    <m/>
    <s v="à remonter par khadher"/>
    <d v="2025-04-15T00:00:00"/>
    <d v="2025-07-02T00:00:00"/>
    <m/>
    <m/>
    <x v="4"/>
    <x v="2"/>
  </r>
  <r>
    <s v="LOR500933"/>
    <d v="2025-09-19T00:00:00"/>
    <x v="0"/>
    <x v="3"/>
    <s v="VAN501001"/>
    <x v="14"/>
    <x v="28"/>
    <x v="29"/>
    <m/>
    <m/>
    <d v="2025-04-14T00:00:00"/>
    <d v="2025-07-02T00:00:00"/>
    <m/>
    <m/>
    <x v="4"/>
    <x v="2"/>
  </r>
  <r>
    <s v="LOR501031"/>
    <d v="2025-09-18T00:00:00"/>
    <x v="0"/>
    <x v="3"/>
    <s v="LOR500538"/>
    <x v="14"/>
    <x v="29"/>
    <x v="30"/>
    <m/>
    <m/>
    <d v="2025-04-17T00:00:00"/>
    <d v="2025-07-02T00:00:00"/>
    <m/>
    <m/>
    <x v="4"/>
    <x v="2"/>
  </r>
  <r>
    <s v="LOR501040"/>
    <d v="2025-09-19T00:00:00"/>
    <x v="0"/>
    <x v="3"/>
    <s v="QPR500689"/>
    <x v="14"/>
    <x v="30"/>
    <x v="31"/>
    <m/>
    <m/>
    <d v="2025-04-23T00:00:00"/>
    <d v="2025-07-02T00:00:00"/>
    <m/>
    <m/>
    <x v="4"/>
    <x v="2"/>
  </r>
  <r>
    <s v="LOR501041"/>
    <d v="2025-09-24T00:00:00"/>
    <x v="1"/>
    <x v="4"/>
    <s v="CRO500018"/>
    <x v="3"/>
    <x v="31"/>
    <x v="32"/>
    <m/>
    <m/>
    <d v="2025-02-12T00:00:00"/>
    <d v="2025-07-02T00:00:00"/>
    <m/>
    <m/>
    <x v="5"/>
    <x v="2"/>
  </r>
  <r>
    <s v="LOR501050"/>
    <d v="2025-09-18T00:00:00"/>
    <x v="1"/>
    <x v="4"/>
    <s v="RRE501416"/>
    <x v="3"/>
    <x v="6"/>
    <x v="33"/>
    <d v="2025-08-18T00:00:00"/>
    <m/>
    <d v="2025-07-10T00:00:00"/>
    <d v="2025-08-05T00:00:00"/>
    <m/>
    <m/>
    <x v="2"/>
    <x v="2"/>
  </r>
  <r>
    <s v="LOR501066"/>
    <d v="2025-10-06T00:00:00"/>
    <x v="2"/>
    <x v="5"/>
    <s v="LOR500133"/>
    <x v="7"/>
    <x v="32"/>
    <x v="34"/>
    <d v="2025-07-15T00:00:00"/>
    <m/>
    <d v="2025-02-04T00:00:00"/>
    <d v="2025-07-11T00:00:00"/>
    <m/>
    <m/>
    <x v="5"/>
    <x v="2"/>
  </r>
  <r>
    <s v="LOR501070"/>
    <d v="2025-09-18T00:00:00"/>
    <x v="3"/>
    <x v="5"/>
    <s v="QPR500040"/>
    <x v="3"/>
    <x v="33"/>
    <x v="35"/>
    <d v="2025-07-16T00:00:00"/>
    <m/>
    <d v="2025-04-04T00:00:00"/>
    <d v="2025-06-12T00:00:00"/>
    <m/>
    <m/>
    <x v="4"/>
    <x v="2"/>
  </r>
  <r>
    <s v="LOR501073"/>
    <d v="2025-09-22T00:00:00"/>
    <x v="4"/>
    <x v="5"/>
    <s v="QPR402367"/>
    <x v="3"/>
    <x v="25"/>
    <x v="36"/>
    <s v="VT faite 17/06"/>
    <m/>
    <d v="2024-11-14T00:00:00"/>
    <d v="2025-06-12T00:00:00"/>
    <m/>
    <m/>
    <x v="6"/>
    <x v="0"/>
  </r>
  <r>
    <s v="LOR501142"/>
    <d v="2025-10-07T00:00:00"/>
    <x v="3"/>
    <x v="5"/>
    <s v="QPR500419"/>
    <x v="7"/>
    <x v="34"/>
    <x v="37"/>
    <d v="2025-07-16T00:00:00"/>
    <m/>
    <d v="2025-03-17T00:00:00"/>
    <d v="2025-06-12T00:00:00"/>
    <m/>
    <m/>
    <x v="8"/>
    <x v="2"/>
  </r>
  <r>
    <s v="LOR501149"/>
    <d v="2025-10-09T00:00:00"/>
    <x v="1"/>
    <x v="5"/>
    <s v="QPR500865"/>
    <x v="3"/>
    <x v="35"/>
    <x v="38"/>
    <m/>
    <s v="URGENT (aiguillage GC existant)"/>
    <d v="2025-05-22T00:00:00"/>
    <d v="2025-06-12T00:00:00"/>
    <m/>
    <m/>
    <x v="3"/>
    <x v="2"/>
  </r>
  <r>
    <s v="LOR501153"/>
    <d v="2025-10-06T00:00:00"/>
    <x v="1"/>
    <x v="5"/>
    <s v="RRE501498"/>
    <x v="12"/>
    <x v="36"/>
    <x v="39"/>
    <d v="2025-08-13T00:00:00"/>
    <m/>
    <d v="2025-07-22T00:00:00"/>
    <d v="2025-08-05T00:00:00"/>
    <m/>
    <m/>
    <x v="2"/>
    <x v="2"/>
  </r>
  <r>
    <s v="LOR501156"/>
    <d v="2025-10-06T00:00:00"/>
    <x v="5"/>
    <x v="5"/>
    <s v="QPR500994"/>
    <x v="6"/>
    <x v="37"/>
    <x v="40"/>
    <s v="07/08/2025 l'apres-midi"/>
    <m/>
    <d v="2025-06-16T00:00:00"/>
    <d v="2025-07-31T00:00:00"/>
    <m/>
    <m/>
    <x v="1"/>
    <x v="2"/>
  </r>
  <r>
    <s v="QPR302097"/>
    <d v="2025-09-22T00:00:00"/>
    <x v="6"/>
    <x v="5"/>
    <s v="QPR500752"/>
    <x v="3"/>
    <x v="38"/>
    <x v="41"/>
    <d v="2025-06-18T00:00:00"/>
    <m/>
    <d v="2025-05-05T00:00:00"/>
    <d v="2025-06-12T00:00:00"/>
    <m/>
    <m/>
    <x v="3"/>
    <x v="2"/>
  </r>
  <r>
    <s v="QPR401299"/>
    <d v="2025-09-30T00:00:00"/>
    <x v="7"/>
    <x v="5"/>
    <s v="QPR501010"/>
    <x v="12"/>
    <x v="14"/>
    <x v="42"/>
    <d v="2025-08-05T00:00:00"/>
    <m/>
    <d v="2025-06-17T00:00:00"/>
    <d v="2025-07-31T00:00:00"/>
    <m/>
    <m/>
    <x v="1"/>
    <x v="2"/>
  </r>
  <r>
    <s v="QPR401633"/>
    <d v="2025-09-26T00:00:00"/>
    <x v="7"/>
    <x v="6"/>
    <s v="QPR302097"/>
    <x v="0"/>
    <x v="39"/>
    <x v="43"/>
    <m/>
    <s v="à traiter par ghada"/>
    <d v="2023-10-23T00:00:00"/>
    <d v="2025-07-02T00:00:00"/>
    <m/>
    <m/>
    <x v="9"/>
    <x v="1"/>
  </r>
  <r>
    <s v="QPR402118"/>
    <d v="2025-09-19T00:00:00"/>
    <x v="8"/>
    <x v="6"/>
    <s v="VAN501393"/>
    <x v="3"/>
    <x v="28"/>
    <x v="44"/>
    <m/>
    <s v="TRV ENEDIS OCTOBRE 2025"/>
    <d v="2025-06-11T00:00:00"/>
    <d v="2025-07-02T00:00:00"/>
    <m/>
    <m/>
    <x v="1"/>
    <x v="2"/>
  </r>
  <r>
    <s v="QPR402367"/>
    <d v="2025-09-29T00:00:00"/>
    <x v="4"/>
    <x v="6"/>
    <s v="QPR500885"/>
    <x v="3"/>
    <x v="3"/>
    <x v="45"/>
    <d v="2025-06-25T00:00:00"/>
    <m/>
    <d v="2025-05-27T00:00:00"/>
    <d v="2025-06-12T00:00:00"/>
    <m/>
    <m/>
    <x v="3"/>
    <x v="2"/>
  </r>
  <r>
    <s v="QPR402533"/>
    <d v="2025-09-18T00:00:00"/>
    <x v="9"/>
    <x v="6"/>
    <s v="LOR500732"/>
    <x v="7"/>
    <x v="3"/>
    <x v="46"/>
    <m/>
    <s v="à remonter par khadher"/>
    <d v="2025-06-03T00:00:00"/>
    <d v="2025-07-02T00:00:00"/>
    <m/>
    <m/>
    <x v="1"/>
    <x v="2"/>
  </r>
  <r>
    <s v="QPR402536"/>
    <d v="2025-09-18T00:00:00"/>
    <x v="7"/>
    <x v="6"/>
    <s v="RRE501518"/>
    <x v="7"/>
    <x v="40"/>
    <x v="47"/>
    <d v="2025-08-13T00:00:00"/>
    <m/>
    <d v="2025-07-24T00:00:00"/>
    <d v="2025-08-05T00:00:00"/>
    <m/>
    <m/>
    <x v="2"/>
    <x v="2"/>
  </r>
  <r>
    <s v="QPR500040"/>
    <d v="2025-09-19T00:00:00"/>
    <x v="4"/>
    <x v="6"/>
    <s v="RRE500282"/>
    <x v="1"/>
    <x v="41"/>
    <x v="48"/>
    <s v="23/07 à 8h"/>
    <m/>
    <d v="2025-02-06T00:00:00"/>
    <d v="2025-07-10T00:00:00"/>
    <m/>
    <m/>
    <x v="5"/>
    <x v="2"/>
  </r>
  <r>
    <s v="QPR500129"/>
    <d v="2025-09-23T00:00:00"/>
    <x v="9"/>
    <x v="6"/>
    <s v="VAN402941"/>
    <x v="1"/>
    <x v="42"/>
    <x v="49"/>
    <m/>
    <s v="VT faite par stephane te louay "/>
    <d v="2024-11-04T00:00:00"/>
    <d v="2025-07-10T00:00:00"/>
    <m/>
    <m/>
    <x v="6"/>
    <x v="0"/>
  </r>
  <r>
    <s v="QPR500419"/>
    <d v="2025-09-19T00:00:00"/>
    <x v="9"/>
    <x v="6"/>
    <s v="RRE501554"/>
    <x v="7"/>
    <x v="43"/>
    <x v="50"/>
    <s v=","/>
    <m/>
    <d v="2025-07-28T00:00:00"/>
    <d v="2025-08-05T00:00:00"/>
    <m/>
    <m/>
    <x v="2"/>
    <x v="2"/>
  </r>
  <r>
    <s v="QPR500631"/>
    <d v="2025-09-19T00:00:00"/>
    <x v="3"/>
    <x v="6"/>
    <s v="CRO500068"/>
    <x v="15"/>
    <x v="44"/>
    <x v="51"/>
    <d v="2025-07-25T00:00:00"/>
    <n v="2"/>
    <d v="2025-04-16T00:00:00"/>
    <d v="2025-07-08T00:00:00"/>
    <m/>
    <m/>
    <x v="4"/>
    <x v="2"/>
  </r>
  <r>
    <s v="QPR500707"/>
    <d v="2025-10-17T00:00:00"/>
    <x v="10"/>
    <x v="6"/>
    <s v="RRE501563"/>
    <x v="16"/>
    <x v="45"/>
    <x v="52"/>
    <s v="x"/>
    <m/>
    <d v="2025-07-28T00:00:00"/>
    <d v="2025-08-05T00:00:00"/>
    <m/>
    <m/>
    <x v="2"/>
    <x v="2"/>
  </r>
  <r>
    <s v="QPR500726"/>
    <d v="2025-09-25T00:00:00"/>
    <x v="11"/>
    <x v="6"/>
    <s v="QPR501326"/>
    <x v="7"/>
    <x v="46"/>
    <x v="53"/>
    <d v="2025-09-03T00:00:00"/>
    <m/>
    <d v="2025-08-05T00:00:00"/>
    <d v="2025-08-18T00:00:00"/>
    <m/>
    <m/>
    <x v="0"/>
    <x v="2"/>
  </r>
  <r>
    <s v="QPR500752"/>
    <d v="2025-09-17T00:00:00"/>
    <x v="12"/>
    <x v="6"/>
    <s v="VAN500258"/>
    <x v="0"/>
    <x v="47"/>
    <x v="54"/>
    <m/>
    <s v="conseil et la réception"/>
    <d v="2025-02-03T00:00:00"/>
    <d v="2025-07-10T00:00:00"/>
    <m/>
    <m/>
    <x v="5"/>
    <x v="2"/>
  </r>
  <r>
    <s v="QPR500783"/>
    <d v="2025-09-30T00:00:00"/>
    <x v="13"/>
    <x v="6"/>
    <s v="QPR500707"/>
    <x v="7"/>
    <x v="39"/>
    <x v="55"/>
    <s v="à remonter par khadher"/>
    <m/>
    <d v="2025-04-25T00:00:00"/>
    <d v="2025-07-02T00:00:00"/>
    <m/>
    <m/>
    <x v="4"/>
    <x v="2"/>
  </r>
  <r>
    <s v="QPR500822"/>
    <d v="2025-09-30T00:00:00"/>
    <x v="12"/>
    <x v="6"/>
    <s v="VAN500259"/>
    <x v="17"/>
    <x v="47"/>
    <x v="54"/>
    <m/>
    <s v="Racco cuivre"/>
    <d v="2025-02-03T00:00:00"/>
    <d v="2025-07-10T00:00:00"/>
    <m/>
    <m/>
    <x v="5"/>
    <x v="2"/>
  </r>
  <r>
    <s v="QPR500841"/>
    <d v="2025-09-24T00:00:00"/>
    <x v="14"/>
    <x v="7"/>
    <s v="QPR500726"/>
    <x v="3"/>
    <x v="25"/>
    <x v="56"/>
    <d v="2025-06-17T00:00:00"/>
    <m/>
    <d v="2025-04-29T00:00:00"/>
    <d v="2025-06-12T00:00:00"/>
    <m/>
    <m/>
    <x v="4"/>
    <x v="2"/>
  </r>
  <r>
    <s v="QPR500865"/>
    <d v="2025-09-18T00:00:00"/>
    <x v="15"/>
    <x v="7"/>
    <s v="RRE501198"/>
    <x v="3"/>
    <x v="48"/>
    <x v="57"/>
    <s v="x"/>
    <m/>
    <d v="2025-06-09T00:00:00"/>
    <d v="2025-08-05T00:00:00"/>
    <m/>
    <m/>
    <x v="1"/>
    <x v="2"/>
  </r>
  <r>
    <s v="QPR500885"/>
    <d v="2025-09-29T00:00:00"/>
    <x v="11"/>
    <x v="8"/>
    <s v="QPR500887"/>
    <x v="16"/>
    <x v="16"/>
    <x v="58"/>
    <m/>
    <s v="mairie à contacter pour le clé "/>
    <d v="2025-05-27T00:00:00"/>
    <d v="2025-07-31T00:00:00"/>
    <m/>
    <m/>
    <x v="3"/>
    <x v="2"/>
  </r>
  <r>
    <s v="QPR500887"/>
    <d v="2025-09-30T00:00:00"/>
    <x v="14"/>
    <x v="8"/>
    <s v="VAN500982"/>
    <x v="7"/>
    <x v="49"/>
    <x v="59"/>
    <m/>
    <s v="TRV ENEDIS ENTRE 10/09 ET 22/09 "/>
    <d v="2025-04-16T00:00:00"/>
    <d v="2025-07-02T00:00:00"/>
    <m/>
    <m/>
    <x v="4"/>
    <x v="2"/>
  </r>
  <r>
    <s v="QPR500928"/>
    <d v="2025-12-08T00:00:00"/>
    <x v="1"/>
    <x v="8"/>
    <s v="RRE500820"/>
    <x v="7"/>
    <x v="50"/>
    <x v="60"/>
    <s v="Photos sur sharepoint "/>
    <m/>
    <d v="2025-04-15T00:00:00"/>
    <d v="2025-07-02T00:00:00"/>
    <m/>
    <m/>
    <x v="4"/>
    <x v="2"/>
  </r>
  <r>
    <s v="QPR500963"/>
    <d v="2025-09-18T00:00:00"/>
    <x v="11"/>
    <x v="8"/>
    <s v="QPR500822"/>
    <x v="6"/>
    <x v="51"/>
    <x v="61"/>
    <s v="VT faite le 09/07"/>
    <m/>
    <d v="2025-05-15T00:00:00"/>
    <d v="2025-07-08T00:00:00"/>
    <m/>
    <m/>
    <x v="3"/>
    <x v="2"/>
  </r>
  <r>
    <s v="QPR500964"/>
    <d v="2025-09-22T00:00:00"/>
    <x v="3"/>
    <x v="8"/>
    <s v="RRE501172"/>
    <x v="18"/>
    <x v="52"/>
    <x v="62"/>
    <s v="x"/>
    <m/>
    <d v="2025-06-05T00:00:00"/>
    <d v="2025-08-05T00:00:00"/>
    <m/>
    <m/>
    <x v="1"/>
    <x v="2"/>
  </r>
  <r>
    <s v="QPR500983"/>
    <d v="2025-09-29T00:00:00"/>
    <x v="4"/>
    <x v="8"/>
    <s v="RRE501484"/>
    <x v="16"/>
    <x v="53"/>
    <x v="63"/>
    <s v="x"/>
    <m/>
    <d v="2025-07-21T00:00:00"/>
    <d v="2025-08-05T00:00:00"/>
    <m/>
    <m/>
    <x v="2"/>
    <x v="2"/>
  </r>
  <r>
    <s v="QPR500992"/>
    <d v="2025-09-23T00:00:00"/>
    <x v="3"/>
    <x v="8"/>
    <s v="QPR402118"/>
    <x v="3"/>
    <x v="25"/>
    <x v="64"/>
    <d v="2025-07-16T00:00:00"/>
    <s v="client injoignable"/>
    <d v="2024-10-03T00:00:00"/>
    <d v="2025-06-12T00:00:00"/>
    <m/>
    <s v="C"/>
    <x v="9"/>
    <x v="0"/>
  </r>
  <r>
    <s v="QPR500994"/>
    <d v="2025-09-16T00:00:00"/>
    <x v="16"/>
    <x v="8"/>
    <s v="RRE500708"/>
    <x v="16"/>
    <x v="52"/>
    <x v="65"/>
    <m/>
    <m/>
    <d v="2025-03-31T00:00:00"/>
    <d v="2025-08-07T00:00:00"/>
    <m/>
    <m/>
    <x v="8"/>
    <x v="2"/>
  </r>
  <r>
    <s v="QPR501010"/>
    <d v="2025-09-22T00:00:00"/>
    <x v="4"/>
    <x v="8"/>
    <s v="CRO500116"/>
    <x v="3"/>
    <x v="54"/>
    <x v="66"/>
    <m/>
    <s v="à remonter par chaima"/>
    <d v="2025-06-13T00:00:00"/>
    <d v="2025-07-31T00:00:00"/>
    <m/>
    <s v="C"/>
    <x v="1"/>
    <x v="2"/>
  </r>
  <r>
    <s v="QPR501023"/>
    <d v="2025-09-29T00:00:00"/>
    <x v="17"/>
    <x v="8"/>
    <s v="LOR501041"/>
    <x v="19"/>
    <x v="55"/>
    <x v="67"/>
    <d v="2025-09-03T00:00:00"/>
    <m/>
    <d v="2025-08-09T00:00:00"/>
    <d v="2025-08-18T00:00:00"/>
    <m/>
    <m/>
    <x v="0"/>
    <x v="2"/>
  </r>
  <r>
    <s v="QPR501059"/>
    <d v="2025-09-29T00:00:00"/>
    <x v="9"/>
    <x v="8"/>
    <s v="LOR500385"/>
    <x v="20"/>
    <x v="56"/>
    <x v="68"/>
    <m/>
    <m/>
    <d v="2025-03-24T00:00:00"/>
    <d v="2025-08-12T00:00:00"/>
    <m/>
    <m/>
    <x v="8"/>
    <x v="2"/>
  </r>
  <r>
    <s v="QPR501065"/>
    <d v="2025-09-30T00:00:00"/>
    <x v="4"/>
    <x v="8"/>
    <s v="QPR501023"/>
    <x v="16"/>
    <x v="46"/>
    <x v="69"/>
    <d v="2025-08-07T00:00:00"/>
    <m/>
    <d v="2025-06-19T00:00:00"/>
    <d v="2025-07-31T00:00:00"/>
    <m/>
    <m/>
    <x v="1"/>
    <x v="2"/>
  </r>
  <r>
    <s v="QPR501171"/>
    <d v="2025-09-26T00:00:00"/>
    <x v="7"/>
    <x v="8"/>
    <s v="LOR500379"/>
    <x v="20"/>
    <x v="19"/>
    <x v="70"/>
    <m/>
    <m/>
    <d v="2025-03-24T00:00:00"/>
    <d v="2025-08-12T00:00:00"/>
    <m/>
    <m/>
    <x v="8"/>
    <x v="2"/>
  </r>
  <r>
    <s v="QPR501235"/>
    <d v="2025-09-30T00:00:00"/>
    <x v="17"/>
    <x v="8"/>
    <s v="RRE501490"/>
    <x v="3"/>
    <x v="20"/>
    <x v="71"/>
    <m/>
    <s v=" à remonter par chaima"/>
    <d v="2025-07-21T00:00:00"/>
    <d v="2025-08-05T00:00:00"/>
    <m/>
    <m/>
    <x v="2"/>
    <x v="2"/>
  </r>
  <r>
    <m/>
    <m/>
    <x v="11"/>
    <x v="8"/>
    <s v="QPR501481"/>
    <x v="21"/>
    <x v="57"/>
    <x v="72"/>
    <m/>
    <m/>
    <d v="2025-09-04T00:00:00"/>
    <d v="2025-09-17T00:00:00"/>
    <m/>
    <m/>
    <x v="10"/>
    <x v="2"/>
  </r>
  <r>
    <s v="RRE301276"/>
    <d v="2025-09-26T00:00:00"/>
    <x v="15"/>
    <x v="8"/>
    <s v="RRE501523"/>
    <x v="3"/>
    <x v="58"/>
    <x v="73"/>
    <m/>
    <s v="à traiter par chaima "/>
    <d v="2025-07-24T00:00:00"/>
    <d v="2025-08-05T00:00:00"/>
    <m/>
    <m/>
    <x v="2"/>
    <x v="2"/>
  </r>
  <r>
    <s v="QPR501290"/>
    <d v="2025-09-25T00:00:00"/>
    <x v="4"/>
    <x v="9"/>
    <s v="QPR501059"/>
    <x v="6"/>
    <x v="3"/>
    <x v="74"/>
    <s v="VT faite le 09/07"/>
    <m/>
    <d v="2025-06-26T00:00:00"/>
    <d v="2025-07-02T00:00:00"/>
    <m/>
    <m/>
    <x v="1"/>
    <x v="2"/>
  </r>
  <r>
    <s v="QPR501326"/>
    <d v="2025-09-30T00:00:00"/>
    <x v="3"/>
    <x v="9"/>
    <s v="LOR500901"/>
    <x v="19"/>
    <x v="55"/>
    <x v="75"/>
    <m/>
    <s v="A monter ensemble Cynthia et Stephane"/>
    <d v="2025-07-07T00:00:00"/>
    <d v="2025-08-18T00:00:00"/>
    <m/>
    <m/>
    <x v="2"/>
    <x v="2"/>
  </r>
  <r>
    <s v="QPR501355"/>
    <d v="2025-09-19T00:00:00"/>
    <x v="18"/>
    <x v="9"/>
    <s v="RRE500278"/>
    <x v="1"/>
    <x v="41"/>
    <x v="76"/>
    <m/>
    <m/>
    <d v="2025-02-06T00:00:00"/>
    <d v="2025-07-10T00:00:00"/>
    <m/>
    <m/>
    <x v="5"/>
    <x v="2"/>
  </r>
  <r>
    <s v="QPR501361"/>
    <d v="2025-09-30T00:00:00"/>
    <x v="19"/>
    <x v="9"/>
    <s v="LOR500350"/>
    <x v="20"/>
    <x v="59"/>
    <x v="77"/>
    <m/>
    <s v="à  assurer par stephane"/>
    <d v="2025-03-19T00:00:00"/>
    <d v="2025-07-31T00:00:00"/>
    <m/>
    <m/>
    <x v="8"/>
    <x v="2"/>
  </r>
  <r>
    <s v="QPR501380"/>
    <d v="2025-09-25T00:00:00"/>
    <x v="20"/>
    <x v="9"/>
    <s v="LOR500820"/>
    <x v="22"/>
    <x v="59"/>
    <x v="77"/>
    <m/>
    <s v="à  assurer par stephane"/>
    <d v="2025-06-19T00:00:00"/>
    <d v="2025-07-31T00:00:00"/>
    <m/>
    <m/>
    <x v="1"/>
    <x v="2"/>
  </r>
  <r>
    <s v="QPR501381"/>
    <d v="2025-09-19T00:00:00"/>
    <x v="16"/>
    <x v="9"/>
    <s v="VAN500330"/>
    <x v="8"/>
    <x v="60"/>
    <x v="78"/>
    <m/>
    <s v="à remonter par khadher "/>
    <d v="2025-02-07T00:00:00"/>
    <d v="2025-07-10T00:00:00"/>
    <m/>
    <m/>
    <x v="5"/>
    <x v="2"/>
  </r>
  <r>
    <s v="QPR501383"/>
    <d v="2025-09-22T00:00:00"/>
    <x v="21"/>
    <x v="9"/>
    <s v="LOR500511"/>
    <x v="23"/>
    <x v="56"/>
    <x v="68"/>
    <m/>
    <m/>
    <d v="2025-04-11T00:00:00"/>
    <d v="2025-08-28T00:00:00"/>
    <m/>
    <m/>
    <x v="4"/>
    <x v="2"/>
  </r>
  <r>
    <s v="QPR501403"/>
    <d v="2025-09-22T00:00:00"/>
    <x v="16"/>
    <x v="9"/>
    <s v="QPR500129"/>
    <x v="24"/>
    <x v="61"/>
    <x v="79"/>
    <d v="2025-08-18T00:00:00"/>
    <m/>
    <d v="2025-01-29T00:00:00"/>
    <d v="2025-07-23T00:00:00"/>
    <m/>
    <m/>
    <x v="7"/>
    <x v="2"/>
  </r>
  <r>
    <s v="QPR501406"/>
    <d v="2025-09-18T00:00:00"/>
    <x v="1"/>
    <x v="10"/>
    <s v="QPR500963"/>
    <x v="3"/>
    <x v="33"/>
    <x v="80"/>
    <d v="2025-08-05T00:00:00"/>
    <m/>
    <d v="2025-06-12T00:00:00"/>
    <d v="2025-07-31T00:00:00"/>
    <m/>
    <m/>
    <x v="1"/>
    <x v="2"/>
  </r>
  <r>
    <s v="QPR501481"/>
    <d v="2025-09-30T00:00:00"/>
    <x v="7"/>
    <x v="10"/>
    <s v="LOR500657"/>
    <x v="7"/>
    <x v="62"/>
    <x v="81"/>
    <s v="Retour le 17/09"/>
    <s v="à remonter par khadher"/>
    <d v="2025-05-19T00:00:00"/>
    <d v="2025-07-08T00:00:00"/>
    <m/>
    <m/>
    <x v="3"/>
    <x v="2"/>
  </r>
  <r>
    <s v="RRE301275"/>
    <d v="2025-09-26T00:00:00"/>
    <x v="7"/>
    <x v="10"/>
    <s v="RRE302596"/>
    <x v="17"/>
    <x v="63"/>
    <x v="82"/>
    <m/>
    <s v="lié à RRE302595"/>
    <d v="2023-11-21T00:00:00"/>
    <d v="2025-07-10T00:00:00"/>
    <m/>
    <m/>
    <x v="6"/>
    <x v="1"/>
  </r>
  <r>
    <s v="RRE301550"/>
    <d v="2025-09-26T00:00:00"/>
    <x v="1"/>
    <x v="10"/>
    <s v="LOR500508"/>
    <x v="7"/>
    <x v="64"/>
    <x v="83"/>
    <s v="Retour le 17/09"/>
    <s v="à remonter par Afek en cours"/>
    <d v="2025-04-11T00:00:00"/>
    <d v="2025-07-02T00:00:00"/>
    <m/>
    <m/>
    <x v="4"/>
    <x v="2"/>
  </r>
  <r>
    <s v="RRE302595"/>
    <d v="2025-09-25T00:00:00"/>
    <x v="16"/>
    <x v="10"/>
    <s v="QPR500992"/>
    <x v="9"/>
    <x v="14"/>
    <x v="84"/>
    <m/>
    <s v="à remonter par chaima"/>
    <d v="2025-06-16T00:00:00"/>
    <d v="2025-07-08T00:00:00"/>
    <m/>
    <m/>
    <x v="1"/>
    <x v="2"/>
  </r>
  <r>
    <s v="RRE302596"/>
    <d v="2025-09-22T00:00:00"/>
    <x v="7"/>
    <x v="10"/>
    <s v="RRE400997"/>
    <x v="0"/>
    <x v="48"/>
    <x v="85"/>
    <m/>
    <s v="besoin retour pour acceder au local technique "/>
    <d v="2024-05-06T00:00:00"/>
    <d v="2025-07-10T00:00:00"/>
    <m/>
    <m/>
    <x v="3"/>
    <x v="0"/>
  </r>
  <r>
    <s v="RRE400062"/>
    <d v="2025-09-22T00:00:00"/>
    <x v="11"/>
    <x v="10"/>
    <s v="QPR501065"/>
    <x v="6"/>
    <x v="55"/>
    <x v="86"/>
    <d v="2025-09-03T00:00:00"/>
    <m/>
    <d v="2025-06-27T00:00:00"/>
    <d v="2025-07-08T00:00:00"/>
    <m/>
    <m/>
    <x v="1"/>
    <x v="2"/>
  </r>
  <r>
    <s v="RRE400063"/>
    <d v="2025-09-30T00:00:00"/>
    <x v="1"/>
    <x v="10"/>
    <s v="LOR501050"/>
    <x v="8"/>
    <x v="21"/>
    <x v="87"/>
    <s v="Retour le 17/09"/>
    <s v="VT OK TRAVAUX PAS ENCORE TERMINES, BESOIN DE REVESITER"/>
    <d v="2025-08-14T00:00:00"/>
    <d v="2025-08-18T00:00:00"/>
    <m/>
    <m/>
    <x v="0"/>
    <x v="2"/>
  </r>
  <r>
    <m/>
    <m/>
    <x v="7"/>
    <x v="10"/>
    <s v="CRO500184"/>
    <x v="11"/>
    <x v="65"/>
    <x v="88"/>
    <d v="2025-09-16T00:00:00"/>
    <m/>
    <d v="2025-08-14T00:00:00"/>
    <d v="2025-08-18T00:00:00"/>
    <m/>
    <m/>
    <x v="0"/>
    <x v="2"/>
  </r>
  <r>
    <s v="QPR501423"/>
    <d v="2025-09-19T00:00:00"/>
    <x v="4"/>
    <x v="11"/>
    <s v="CRO400002"/>
    <x v="24"/>
    <x v="31"/>
    <x v="89"/>
    <s v="Retour le 16/09"/>
    <s v="Photos +vids sur sharepoint"/>
    <d v="2024-10-03T00:00:00"/>
    <d v="2025-07-02T00:00:00"/>
    <m/>
    <m/>
    <x v="9"/>
    <x v="0"/>
  </r>
  <r>
    <s v="QPR501501"/>
    <d v="2025-10-06T00:00:00"/>
    <x v="14"/>
    <x v="11"/>
    <s v="RRE302595"/>
    <x v="0"/>
    <x v="63"/>
    <x v="82"/>
    <m/>
    <s v="site pas accessible pas de contact client dans le dos"/>
    <d v="2023-11-21T00:00:00"/>
    <d v="2025-07-10T00:00:00"/>
    <m/>
    <m/>
    <x v="6"/>
    <x v="1"/>
  </r>
  <r>
    <s v="RRE400064"/>
    <d v="2025-09-22T00:00:00"/>
    <x v="3"/>
    <x v="11"/>
    <s v="CRO500153"/>
    <x v="7"/>
    <x v="44"/>
    <x v="90"/>
    <m/>
    <s v=" à remonter par khadher"/>
    <d v="2025-07-17T00:00:00"/>
    <d v="2025-08-05T00:00:00"/>
    <m/>
    <m/>
    <x v="2"/>
    <x v="2"/>
  </r>
  <r>
    <s v="RRE400997"/>
    <d v="2025-09-22T00:00:00"/>
    <x v="3"/>
    <x v="11"/>
    <s v="RRE501466"/>
    <x v="3"/>
    <x v="20"/>
    <x v="91"/>
    <d v="2025-09-11T00:00:00"/>
    <m/>
    <d v="2025-07-16T00:00:00"/>
    <d v="2025-08-05T00:00:00"/>
    <m/>
    <m/>
    <x v="2"/>
    <x v="2"/>
  </r>
  <r>
    <s v="RRE400998"/>
    <d v="2025-09-25T00:00:00"/>
    <x v="11"/>
    <x v="11"/>
    <s v="CRO500134"/>
    <x v="18"/>
    <x v="44"/>
    <x v="92"/>
    <m/>
    <s v="demande faite à louay de remonter le dossier "/>
    <d v="2025-06-30T00:00:00"/>
    <d v="2025-07-08T00:00:00"/>
    <m/>
    <m/>
    <x v="1"/>
    <x v="2"/>
  </r>
  <r>
    <s v="RRE400999"/>
    <d v="2025-09-25T00:00:00"/>
    <x v="11"/>
    <x v="11"/>
    <s v="BRS402663"/>
    <x v="20"/>
    <x v="66"/>
    <x v="93"/>
    <d v="2025-08-26T00:00:00"/>
    <m/>
    <d v="2024-07-31T00:00:00"/>
    <d v="2025-08-18T00:00:00"/>
    <m/>
    <m/>
    <x v="2"/>
    <x v="0"/>
  </r>
  <r>
    <s v="RRE500278"/>
    <d v="2025-10-20T00:00:00"/>
    <x v="22"/>
    <x v="11"/>
    <s v="VAN500911"/>
    <x v="20"/>
    <x v="67"/>
    <x v="94"/>
    <m/>
    <m/>
    <d v="2025-04-08T00:00:00"/>
    <d v="2025-08-18T00:00:00"/>
    <m/>
    <m/>
    <x v="4"/>
    <x v="2"/>
  </r>
  <r>
    <s v="RRE500282"/>
    <d v="2025-09-29T00:00:00"/>
    <x v="23"/>
    <x v="11"/>
    <s v="CRO500021"/>
    <x v="24"/>
    <x v="44"/>
    <x v="95"/>
    <d v="2025-08-26T00:00:00"/>
    <m/>
    <d v="2025-02-14T00:00:00"/>
    <d v="2025-08-18T00:00:00"/>
    <m/>
    <m/>
    <x v="5"/>
    <x v="2"/>
  </r>
  <r>
    <s v="RRE500708"/>
    <d v="2025-09-23T00:00:00"/>
    <x v="24"/>
    <x v="11"/>
    <s v="VAN501156"/>
    <x v="20"/>
    <x v="68"/>
    <x v="96"/>
    <m/>
    <m/>
    <d v="2025-05-12T00:00:00"/>
    <d v="2025-08-18T00:00:00"/>
    <m/>
    <m/>
    <x v="3"/>
    <x v="2"/>
  </r>
  <r>
    <s v="RRE500820"/>
    <d v="2025-09-18T00:00:00"/>
    <x v="5"/>
    <x v="11"/>
    <s v="VAN501004"/>
    <x v="14"/>
    <x v="69"/>
    <x v="97"/>
    <s v="à remonter par khadher"/>
    <m/>
    <d v="2025-04-18T00:00:00"/>
    <d v="2025-07-02T00:00:00"/>
    <m/>
    <m/>
    <x v="4"/>
    <x v="2"/>
  </r>
  <r>
    <s v="RRE501136"/>
    <d v="2025-12-15T00:00:00"/>
    <x v="3"/>
    <x v="11"/>
    <s v="QPR500631"/>
    <x v="7"/>
    <x v="70"/>
    <x v="98"/>
    <m/>
    <s v="à remonter par khadher"/>
    <d v="2025-04-14T00:00:00"/>
    <d v="2025-07-10T00:00:00"/>
    <m/>
    <m/>
    <x v="4"/>
    <x v="2"/>
  </r>
  <r>
    <s v="RRE501172"/>
    <d v="2025-09-19T00:00:00"/>
    <x v="15"/>
    <x v="11"/>
    <s v="RRE301275"/>
    <x v="1"/>
    <x v="71"/>
    <x v="99"/>
    <d v="2025-09-11T00:00:00"/>
    <m/>
    <d v="2023-05-30T00:00:00"/>
    <d v="2025-07-10T00:00:00"/>
    <m/>
    <m/>
    <x v="3"/>
    <x v="1"/>
  </r>
  <r>
    <s v="RRE501198"/>
    <d v="2025-09-26T00:00:00"/>
    <x v="15"/>
    <x v="11"/>
    <s v="RRE301276"/>
    <x v="17"/>
    <x v="71"/>
    <x v="99"/>
    <d v="2025-09-11T00:00:00"/>
    <m/>
    <d v="2023-05-30T00:00:00"/>
    <d v="2025-07-10T00:00:00"/>
    <m/>
    <m/>
    <x v="3"/>
    <x v="1"/>
  </r>
  <r>
    <s v="RRE501199"/>
    <d v="2025-10-01T00:00:00"/>
    <x v="15"/>
    <x v="11"/>
    <s v="RRE301550"/>
    <x v="1"/>
    <x v="71"/>
    <x v="99"/>
    <d v="2025-09-11T00:00:00"/>
    <m/>
    <d v="2023-06-30T00:00:00"/>
    <d v="2025-07-10T00:00:00"/>
    <m/>
    <m/>
    <x v="1"/>
    <x v="1"/>
  </r>
  <r>
    <s v="RRE501416"/>
    <d v="2025-09-18T00:00:00"/>
    <x v="17"/>
    <x v="11"/>
    <s v="LOR500925"/>
    <x v="19"/>
    <x v="72"/>
    <x v="1"/>
    <d v="2025-09-10T00:00:00"/>
    <m/>
    <d v="2025-07-14T00:00:00"/>
    <d v="2025-08-18T00:00:00"/>
    <m/>
    <m/>
    <x v="2"/>
    <x v="2"/>
  </r>
  <r>
    <s v="RRE501420"/>
    <d v="2025-09-29T00:00:00"/>
    <x v="7"/>
    <x v="11"/>
    <s v="QPR500964"/>
    <x v="25"/>
    <x v="46"/>
    <x v="100"/>
    <m/>
    <s v="à remonter par chaima "/>
    <d v="2025-06-12T00:00:00"/>
    <d v="2025-07-31T00:00:00"/>
    <m/>
    <m/>
    <x v="1"/>
    <x v="2"/>
  </r>
  <r>
    <s v="RRE501466"/>
    <d v="2025-09-19T00:00:00"/>
    <x v="14"/>
    <x v="11"/>
    <s v="CRO500186"/>
    <x v="7"/>
    <x v="73"/>
    <x v="101"/>
    <d v="2025-09-16T00:00:00"/>
    <s v="PAS DE TRAVAUX"/>
    <d v="2025-08-18T00:00:00"/>
    <d v="2025-08-18T00:00:00"/>
    <m/>
    <m/>
    <x v="0"/>
    <x v="2"/>
  </r>
  <r>
    <s v="VAN501241"/>
    <d v="2025-09-19T00:00:00"/>
    <x v="16"/>
    <x v="11"/>
    <s v="CRO500037"/>
    <x v="20"/>
    <x v="74"/>
    <x v="102"/>
    <d v="2025-09-16T00:00:00"/>
    <m/>
    <d v="2025-03-05T00:00:00"/>
    <d v="2025-08-18T00:00:00"/>
    <m/>
    <m/>
    <x v="8"/>
    <x v="2"/>
  </r>
  <r>
    <s v="RRE501480"/>
    <d v="2025-09-19T00:00:00"/>
    <x v="14"/>
    <x v="12"/>
    <s v="QPR501290"/>
    <x v="3"/>
    <x v="25"/>
    <x v="26"/>
    <m/>
    <m/>
    <d v="2025-07-30T00:00:00"/>
    <d v="2025-08-13T00:00:00"/>
    <m/>
    <m/>
    <x v="2"/>
    <x v="2"/>
  </r>
  <r>
    <s v="RRE501484"/>
    <d v="2025-09-29T00:00:00"/>
    <x v="3"/>
    <x v="12"/>
    <s v="LOR201914"/>
    <x v="1"/>
    <x v="55"/>
    <x v="103"/>
    <s v="RDV à prendre en urgence"/>
    <m/>
    <d v="2025-12-21T00:00:00"/>
    <d v="2025-07-08T00:00:00"/>
    <m/>
    <m/>
    <x v="11"/>
    <x v="2"/>
  </r>
  <r>
    <s v="RRE501490"/>
    <d v="2025-09-24T00:00:00"/>
    <x v="4"/>
    <x v="12"/>
    <s v="RRE501420"/>
    <x v="7"/>
    <x v="75"/>
    <x v="104"/>
    <s v="à remonter par khadher"/>
    <m/>
    <d v="2025-07-11T00:00:00"/>
    <d v="2025-08-05T00:00:00"/>
    <m/>
    <m/>
    <x v="2"/>
    <x v="2"/>
  </r>
  <r>
    <s v="RRE501498"/>
    <d v="2025-09-18T00:00:00"/>
    <x v="11"/>
    <x v="12"/>
    <s v="QPR401299"/>
    <x v="13"/>
    <x v="76"/>
    <x v="105"/>
    <s v=","/>
    <m/>
    <d v="2024-06-18T00:00:00"/>
    <d v="2025-06-12T00:00:00"/>
    <m/>
    <m/>
    <x v="1"/>
    <x v="0"/>
  </r>
  <r>
    <s v="RRE501518"/>
    <d v="2025-09-22T00:00:00"/>
    <x v="11"/>
    <x v="12"/>
    <s v="QPR500783"/>
    <x v="8"/>
    <x v="77"/>
    <x v="106"/>
    <s v="à remonter par khadher"/>
    <m/>
    <d v="2025-05-08T00:00:00"/>
    <d v="2025-07-08T00:00:00"/>
    <m/>
    <m/>
    <x v="3"/>
    <x v="2"/>
  </r>
  <r>
    <s v="RRE501523"/>
    <d v="2025-09-26T00:00:00"/>
    <x v="3"/>
    <x v="12"/>
    <s v="VAN501241"/>
    <x v="12"/>
    <x v="26"/>
    <x v="107"/>
    <m/>
    <s v="mail envoyé à propos dossier à cloturer"/>
    <d v="2025-05-21T00:00:00"/>
    <d v="2025-07-31T00:00:00"/>
    <m/>
    <m/>
    <x v="3"/>
    <x v="2"/>
  </r>
  <r>
    <s v="RRE501554"/>
    <d v="2025-10-06T00:00:00"/>
    <x v="22"/>
    <x v="12"/>
    <s v="VAN500993"/>
    <x v="1"/>
    <x v="78"/>
    <x v="108"/>
    <m/>
    <s v="client pas dispo avant le 01/09"/>
    <d v="2025-04-17T00:00:00"/>
    <d v="2025-08-07T00:00:00"/>
    <m/>
    <m/>
    <x v="4"/>
    <x v="2"/>
  </r>
  <r>
    <s v="RRE501563"/>
    <d v="2025-11-05T00:00:00"/>
    <x v="22"/>
    <x v="12"/>
    <s v="VAN500992"/>
    <x v="1"/>
    <x v="78"/>
    <x v="108"/>
    <m/>
    <s v="client pas dispo avant le 01/09"/>
    <d v="2025-04-17T00:00:00"/>
    <d v="2025-08-07T00:00:00"/>
    <m/>
    <m/>
    <x v="4"/>
    <x v="2"/>
  </r>
  <r>
    <s v="RRE501735"/>
    <d v="2025-10-15T00:00:00"/>
    <x v="11"/>
    <x v="12"/>
    <s v="LOR500257"/>
    <x v="18"/>
    <x v="32"/>
    <x v="109"/>
    <m/>
    <s v="Besoin escabeau "/>
    <d v="2025-03-03T00:00:00"/>
    <d v="2025-07-11T00:00:00"/>
    <m/>
    <m/>
    <x v="8"/>
    <x v="2"/>
  </r>
  <r>
    <s v="RRE501826"/>
    <d v="2025-09-30T00:00:00"/>
    <x v="16"/>
    <x v="12"/>
    <s v="LOR500509"/>
    <x v="7"/>
    <x v="79"/>
    <x v="110"/>
    <m/>
    <s v="à remonter par khadher"/>
    <d v="2025-04-11T00:00:00"/>
    <d v="2025-07-02T00:00:00"/>
    <m/>
    <m/>
    <x v="4"/>
    <x v="2"/>
  </r>
  <r>
    <s v="RRE501894"/>
    <d v="2025-10-06T00:00:00"/>
    <x v="7"/>
    <x v="12"/>
    <s v="RRE400062"/>
    <x v="0"/>
    <x v="80"/>
    <x v="111"/>
    <m/>
    <m/>
    <d v="2024-01-09T00:00:00"/>
    <d v="2025-07-10T00:00:00"/>
    <m/>
    <m/>
    <x v="7"/>
    <x v="0"/>
  </r>
  <r>
    <s v="RRE501899"/>
    <d v="2025-10-07T00:00:00"/>
    <x v="11"/>
    <x v="12"/>
    <s v="RRE400063"/>
    <x v="17"/>
    <x v="80"/>
    <x v="111"/>
    <s v="RDV à prendre"/>
    <m/>
    <d v="2024-01-09T00:00:00"/>
    <d v="2025-07-10T00:00:00"/>
    <m/>
    <m/>
    <x v="7"/>
    <x v="0"/>
  </r>
  <r>
    <s v="VAN004277"/>
    <d v="2025-09-24T00:00:00"/>
    <x v="7"/>
    <x v="12"/>
    <s v="RRE400064"/>
    <x v="1"/>
    <x v="80"/>
    <x v="111"/>
    <m/>
    <m/>
    <d v="2024-01-09T00:00:00"/>
    <d v="2025-07-10T00:00:00"/>
    <m/>
    <m/>
    <x v="7"/>
    <x v="0"/>
  </r>
  <r>
    <s v="VAN004278"/>
    <d v="2025-09-24T00:00:00"/>
    <x v="14"/>
    <x v="12"/>
    <s v="RRE400998"/>
    <x v="8"/>
    <x v="48"/>
    <x v="85"/>
    <m/>
    <s v="besoin retour pour acceder au local technique "/>
    <d v="2024-05-06T00:00:00"/>
    <d v="2025-07-10T00:00:00"/>
    <m/>
    <m/>
    <x v="3"/>
    <x v="0"/>
  </r>
  <r>
    <s v="VAN402941"/>
    <d v="2025-10-06T00:00:00"/>
    <x v="14"/>
    <x v="12"/>
    <s v="RRE400999"/>
    <x v="1"/>
    <x v="48"/>
    <x v="85"/>
    <m/>
    <s v="besoin retour pour acceder au local technique "/>
    <d v="2024-05-06T00:00:00"/>
    <d v="2025-07-10T00:00:00"/>
    <m/>
    <m/>
    <x v="3"/>
    <x v="0"/>
  </r>
  <r>
    <s v="VAN500258"/>
    <d v="2025-10-10T00:00:00"/>
    <x v="1"/>
    <x v="12"/>
    <s v="QPR402536"/>
    <x v="0"/>
    <x v="25"/>
    <x v="112"/>
    <m/>
    <m/>
    <d v="2024-12-17T00:00:00"/>
    <d v="2025-07-02T00:00:00"/>
    <m/>
    <m/>
    <x v="11"/>
    <x v="0"/>
  </r>
  <r>
    <s v="VAN500259"/>
    <d v="2025-10-10T00:00:00"/>
    <x v="17"/>
    <x v="12"/>
    <s v="QPR500841"/>
    <x v="7"/>
    <x v="13"/>
    <x v="113"/>
    <m/>
    <s v="à remonter par khadher"/>
    <d v="2025-05-19T00:00:00"/>
    <d v="2025-07-31T00:00:00"/>
    <m/>
    <m/>
    <x v="3"/>
    <x v="2"/>
  </r>
  <r>
    <s v="VAN500330"/>
    <d v="2025-09-23T00:00:00"/>
    <x v="17"/>
    <x v="12"/>
    <s v="VAN500469"/>
    <x v="0"/>
    <x v="28"/>
    <x v="114"/>
    <m/>
    <m/>
    <d v="2025-02-26T00:00:00"/>
    <d v="2025-07-10T00:00:00"/>
    <m/>
    <m/>
    <x v="5"/>
    <x v="2"/>
  </r>
  <r>
    <s v="VAN500469"/>
    <d v="2025-09-24T00:00:00"/>
    <x v="7"/>
    <x v="12"/>
    <s v="VAN500470"/>
    <x v="17"/>
    <x v="28"/>
    <x v="114"/>
    <m/>
    <m/>
    <d v="2025-02-26T00:00:00"/>
    <d v="2025-07-10T00:00:00"/>
    <m/>
    <m/>
    <x v="5"/>
    <x v="2"/>
  </r>
  <r>
    <s v="VAN500470"/>
    <d v="2025-09-22T00:00:00"/>
    <x v="17"/>
    <x v="12"/>
    <s v="VAN004277"/>
    <x v="8"/>
    <x v="28"/>
    <x v="115"/>
    <m/>
    <m/>
    <d v="2020-12-10T00:00:00"/>
    <d v="2025-07-02T00:00:00"/>
    <m/>
    <m/>
    <x v="11"/>
    <x v="4"/>
  </r>
  <r>
    <s v="VAN500872"/>
    <d v="2025-12-01T00:00:00"/>
    <x v="17"/>
    <x v="12"/>
    <s v="VAN004278"/>
    <x v="1"/>
    <x v="28"/>
    <x v="115"/>
    <m/>
    <m/>
    <d v="2020-12-10T00:00:00"/>
    <d v="2025-07-02T00:00:00"/>
    <m/>
    <m/>
    <x v="11"/>
    <x v="4"/>
  </r>
  <r>
    <s v="VAN500875"/>
    <d v="2025-12-01T00:00:00"/>
    <x v="3"/>
    <x v="12"/>
    <s v="RRE501480"/>
    <x v="3"/>
    <x v="20"/>
    <x v="116"/>
    <m/>
    <s v="urgent à remonter par sondos"/>
    <d v="2025-07-18T00:00:00"/>
    <d v="2025-08-05T00:00:00"/>
    <m/>
    <m/>
    <x v="2"/>
    <x v="2"/>
  </r>
  <r>
    <s v="VAN500908"/>
    <d v="2025-12-01T00:00:00"/>
    <x v="4"/>
    <x v="12"/>
    <s v="QPR500983"/>
    <x v="16"/>
    <x v="30"/>
    <x v="117"/>
    <m/>
    <s v="client dispo que apres 26/08"/>
    <d v="2025-06-13T00:00:00"/>
    <d v="2025-07-31T00:00:00"/>
    <m/>
    <m/>
    <x v="1"/>
    <x v="2"/>
  </r>
  <r>
    <s v="VAN500911"/>
    <d v="2025-12-01T00:00:00"/>
    <x v="15"/>
    <x v="12"/>
    <s v="VAN500960"/>
    <x v="16"/>
    <x v="81"/>
    <x v="118"/>
    <m/>
    <s v="contact dans le dossier en vacances "/>
    <d v="2025-04-14T00:00:00"/>
    <d v="2025-07-02T00:00:00"/>
    <m/>
    <m/>
    <x v="4"/>
    <x v="2"/>
  </r>
  <r>
    <s v="VAN500960"/>
    <d v="2025-09-26T00:00:00"/>
    <x v="25"/>
    <x v="12"/>
    <s v="RRE501199"/>
    <x v="16"/>
    <x v="6"/>
    <x v="119"/>
    <m/>
    <s v="dossier pas clair à voir avec stephane"/>
    <d v="2025-06-10T00:00:00"/>
    <d v="2025-08-05T00:00:00"/>
    <m/>
    <m/>
    <x v="1"/>
    <x v="2"/>
  </r>
  <r>
    <s v="VAN500982"/>
    <d v="2025-09-25T00:00:00"/>
    <x v="26"/>
    <x v="12"/>
    <s v="RRE501136"/>
    <x v="7"/>
    <x v="53"/>
    <x v="120"/>
    <m/>
    <s v="assuré par louay et stephane "/>
    <d v="2025-05-28T00:00:00"/>
    <d v="2025-08-01T00:00:00"/>
    <m/>
    <m/>
    <x v="3"/>
    <x v="2"/>
  </r>
  <r>
    <s v="VAN500992"/>
    <d v="2025-12-01T00:00:00"/>
    <x v="22"/>
    <x v="12"/>
    <s v="VAN500875"/>
    <x v="20"/>
    <x v="82"/>
    <x v="121"/>
    <m/>
    <s v="VT OK"/>
    <d v="2025-04-04T00:00:00"/>
    <d v="2025-08-18T00:00:00"/>
    <m/>
    <m/>
    <x v="4"/>
    <x v="2"/>
  </r>
  <r>
    <s v="VAN500993"/>
    <d v="2025-12-01T00:00:00"/>
    <x v="22"/>
    <x v="12"/>
    <s v="VAN500908"/>
    <x v="20"/>
    <x v="67"/>
    <x v="122"/>
    <m/>
    <m/>
    <d v="2025-04-08T00:00:00"/>
    <d v="2025-08-18T00:00:00"/>
    <m/>
    <m/>
    <x v="4"/>
    <x v="2"/>
  </r>
  <r>
    <s v="VAN501004"/>
    <d v="2025-09-16T00:00:00"/>
    <x v="27"/>
    <x v="12"/>
    <s v="VAN501069"/>
    <x v="20"/>
    <x v="68"/>
    <x v="123"/>
    <m/>
    <s v="VT OK"/>
    <d v="2025-04-28T00:00:00"/>
    <d v="2025-08-18T00:00:00"/>
    <m/>
    <m/>
    <x v="4"/>
    <x v="2"/>
  </r>
  <r>
    <s v="VAN501069"/>
    <d v="2025-12-22T00:00:00"/>
    <x v="4"/>
    <x v="12"/>
    <s v="VAN501432"/>
    <x v="20"/>
    <x v="28"/>
    <x v="124"/>
    <m/>
    <m/>
    <d v="2025-06-17T00:00:00"/>
    <d v="2025-08-18T00:00:00"/>
    <m/>
    <m/>
    <x v="1"/>
    <x v="2"/>
  </r>
  <r>
    <s v="VAN501156"/>
    <d v="2025-12-26T00:00:00"/>
    <x v="14"/>
    <x v="12"/>
    <s v="VAN501890"/>
    <x v="20"/>
    <x v="83"/>
    <x v="125"/>
    <m/>
    <s v="VT OK"/>
    <d v="2025-08-04T00:00:00"/>
    <d v="2025-08-18T00:00:00"/>
    <m/>
    <m/>
    <x v="0"/>
    <x v="2"/>
  </r>
  <r>
    <s v="VAN501393"/>
    <d v="2025-10-22T00:00:00"/>
    <x v="18"/>
    <x v="12"/>
    <s v="LOR500237"/>
    <x v="20"/>
    <x v="84"/>
    <x v="126"/>
    <d v="2025-09-10T00:00:00"/>
    <m/>
    <d v="2025-02-26T00:00:00"/>
    <d v="2025-08-18T00:00:00"/>
    <m/>
    <m/>
    <x v="5"/>
    <x v="2"/>
  </r>
  <r>
    <s v="VAN501432"/>
    <d v="2025-09-29T00:00:00"/>
    <x v="28"/>
    <x v="12"/>
    <s v="LOR500348"/>
    <x v="20"/>
    <x v="85"/>
    <x v="127"/>
    <d v="2025-09-10T00:00:00"/>
    <m/>
    <d v="2025-03-19T00:00:00"/>
    <d v="2025-08-18T00:00:00"/>
    <m/>
    <m/>
    <x v="8"/>
    <x v="2"/>
  </r>
  <r>
    <s v="VAN501848"/>
    <d v="2025-09-23T00:00:00"/>
    <x v="11"/>
    <x v="12"/>
    <s v="QPR501235"/>
    <x v="13"/>
    <x v="4"/>
    <x v="128"/>
    <m/>
    <m/>
    <d v="2025-07-23T00:00:00"/>
    <d v="2025-08-18T00:00:00"/>
    <m/>
    <m/>
    <x v="2"/>
    <x v="2"/>
  </r>
  <r>
    <s v="VAN501890"/>
    <d v="2025-09-25T00:00:00"/>
    <x v="3"/>
    <x v="12"/>
    <s v="LOR500933"/>
    <x v="25"/>
    <x v="86"/>
    <x v="129"/>
    <m/>
    <m/>
    <d v="2025-07-15T00:00:00"/>
    <d v="2025-08-18T00:00:00"/>
    <m/>
    <m/>
    <x v="2"/>
    <x v="2"/>
  </r>
  <r>
    <m/>
    <m/>
    <x v="15"/>
    <x v="12"/>
    <s v="QPR501171"/>
    <x v="8"/>
    <x v="87"/>
    <x v="130"/>
    <m/>
    <m/>
    <d v="2025-07-15T00:00:00"/>
    <d v="2025-08-18T00:00:00"/>
    <m/>
    <m/>
    <x v="2"/>
    <x v="2"/>
  </r>
  <r>
    <m/>
    <m/>
    <x v="15"/>
    <x v="12"/>
    <s v="QPR401633"/>
    <x v="0"/>
    <x v="0"/>
    <x v="0"/>
    <m/>
    <m/>
    <d v="2024-08-22T00:00:00"/>
    <d v="2025-08-18T00:00:00"/>
    <m/>
    <m/>
    <x v="0"/>
    <x v="0"/>
  </r>
  <r>
    <m/>
    <m/>
    <x v="14"/>
    <x v="12"/>
    <s v="QPR501380"/>
    <x v="7"/>
    <x v="7"/>
    <x v="131"/>
    <s v="VT OK"/>
    <m/>
    <d v="2025-08-18T00:00:00"/>
    <d v="2025-08-18T00:00:00"/>
    <m/>
    <m/>
    <x v="0"/>
    <x v="2"/>
  </r>
  <r>
    <m/>
    <m/>
    <x v="15"/>
    <x v="12"/>
    <s v="LOR500806"/>
    <x v="19"/>
    <x v="88"/>
    <x v="132"/>
    <m/>
    <m/>
    <d v="2025-06-18T00:00:00"/>
    <d v="2025-08-13T00:00:00"/>
    <m/>
    <m/>
    <x v="1"/>
    <x v="2"/>
  </r>
  <r>
    <m/>
    <m/>
    <x v="3"/>
    <x v="12"/>
    <s v="QPR501381"/>
    <x v="7"/>
    <x v="89"/>
    <x v="133"/>
    <m/>
    <m/>
    <d v="2025-08-18T00:00:00"/>
    <d v="2025-08-18T00:00:00"/>
    <m/>
    <m/>
    <x v="0"/>
    <x v="2"/>
  </r>
  <r>
    <m/>
    <m/>
    <x v="16"/>
    <x v="12"/>
    <s v="LOR500883"/>
    <x v="1"/>
    <x v="90"/>
    <x v="134"/>
    <m/>
    <m/>
    <d v="2025-07-02T00:00:00"/>
    <d v="2025-08-18T00:00:00"/>
    <m/>
    <m/>
    <x v="2"/>
    <x v="2"/>
  </r>
  <r>
    <m/>
    <m/>
    <x v="0"/>
    <x v="12"/>
    <s v="LOR500860"/>
    <x v="19"/>
    <x v="72"/>
    <x v="135"/>
    <m/>
    <s v="ne plus prendre en compte"/>
    <d v="2025-06-25T00:00:00"/>
    <d v="2025-08-18T00:00:00"/>
    <m/>
    <m/>
    <x v="1"/>
    <x v="2"/>
  </r>
  <r>
    <m/>
    <m/>
    <x v="22"/>
    <x v="12"/>
    <s v="LOR400936"/>
    <x v="19"/>
    <x v="91"/>
    <x v="136"/>
    <d v="2025-09-17T00:00:00"/>
    <s v="Liée à la LOR201931"/>
    <d v="2024-06-17T00:00:00"/>
    <d v="2025-08-18T00:00:00"/>
    <m/>
    <m/>
    <x v="1"/>
    <x v="0"/>
  </r>
  <r>
    <m/>
    <m/>
    <x v="3"/>
    <x v="12"/>
    <s v="LOR501040"/>
    <x v="19"/>
    <x v="88"/>
    <x v="137"/>
    <d v="2025-09-03T00:00:00"/>
    <m/>
    <d v="2025-08-09T00:00:00"/>
    <d v="2025-08-18T00:00:00"/>
    <m/>
    <m/>
    <x v="0"/>
    <x v="2"/>
  </r>
  <r>
    <m/>
    <m/>
    <x v="11"/>
    <x v="12"/>
    <s v="QPR501361"/>
    <x v="3"/>
    <x v="77"/>
    <x v="138"/>
    <m/>
    <m/>
    <d v="2025-08-12T00:00:00"/>
    <d v="2025-08-18T00:00:00"/>
    <m/>
    <m/>
    <x v="0"/>
    <x v="2"/>
  </r>
  <r>
    <m/>
    <m/>
    <x v="7"/>
    <x v="12"/>
    <s v="QPR501383"/>
    <x v="7"/>
    <x v="92"/>
    <x v="139"/>
    <m/>
    <m/>
    <d v="2025-08-18T00:00:00"/>
    <d v="2025-08-18T00:00:00"/>
    <m/>
    <m/>
    <x v="0"/>
    <x v="2"/>
  </r>
  <r>
    <m/>
    <m/>
    <x v="16"/>
    <x v="12"/>
    <s v="VAN501848"/>
    <x v="9"/>
    <x v="93"/>
    <x v="140"/>
    <m/>
    <m/>
    <d v="2025-07-29T00:00:00"/>
    <d v="2025-08-18T00:00:00"/>
    <m/>
    <m/>
    <x v="2"/>
    <x v="2"/>
  </r>
  <r>
    <m/>
    <m/>
    <x v="9"/>
    <x v="12"/>
    <s v="LOR501066"/>
    <x v="7"/>
    <x v="94"/>
    <x v="141"/>
    <m/>
    <m/>
    <d v="2025-08-21T00:00:00"/>
    <d v="2025-08-26T00:00:00"/>
    <m/>
    <m/>
    <x v="0"/>
    <x v="2"/>
  </r>
  <r>
    <m/>
    <m/>
    <x v="1"/>
    <x v="12"/>
    <s v="LOR501031"/>
    <x v="7"/>
    <x v="95"/>
    <x v="142"/>
    <d v="2025-09-17T00:00:00"/>
    <m/>
    <d v="2025-08-05T00:00:00"/>
    <d v="2025-08-26T00:00:00"/>
    <m/>
    <m/>
    <x v="0"/>
    <x v="2"/>
  </r>
  <r>
    <m/>
    <m/>
    <x v="1"/>
    <x v="12"/>
    <s v="LOR501070"/>
    <x v="3"/>
    <x v="91"/>
    <x v="143"/>
    <d v="2025-09-17T00:00:00"/>
    <m/>
    <d v="2025-08-22T00:00:00"/>
    <d v="2025-08-26T00:00:00"/>
    <m/>
    <m/>
    <x v="0"/>
    <x v="2"/>
  </r>
  <r>
    <m/>
    <m/>
    <x v="7"/>
    <x v="12"/>
    <s v="QPR501403"/>
    <x v="3"/>
    <x v="46"/>
    <x v="144"/>
    <m/>
    <m/>
    <d v="2025-08-22T00:00:00"/>
    <d v="2025-08-26T00:00:00"/>
    <m/>
    <m/>
    <x v="0"/>
    <x v="2"/>
  </r>
  <r>
    <m/>
    <m/>
    <x v="1"/>
    <x v="12"/>
    <s v="QPR501406"/>
    <x v="3"/>
    <x v="3"/>
    <x v="145"/>
    <m/>
    <m/>
    <d v="2025-08-22T00:00:00"/>
    <d v="2025-08-26T00:00:00"/>
    <m/>
    <m/>
    <x v="0"/>
    <x v="2"/>
  </r>
  <r>
    <m/>
    <m/>
    <x v="7"/>
    <x v="12"/>
    <s v="LOR501073"/>
    <x v="7"/>
    <x v="96"/>
    <x v="146"/>
    <d v="2025-09-10T00:00:00"/>
    <m/>
    <d v="2025-08-25T00:00:00"/>
    <d v="2025-08-26T00:00:00"/>
    <m/>
    <m/>
    <x v="0"/>
    <x v="2"/>
  </r>
  <r>
    <m/>
    <m/>
    <x v="29"/>
    <x v="12"/>
    <s v="QPR500928"/>
    <x v="8"/>
    <x v="97"/>
    <x v="147"/>
    <m/>
    <m/>
    <d v="2025-06-09T00:00:00"/>
    <d v="2025-08-26T00:00:00"/>
    <m/>
    <m/>
    <x v="1"/>
    <x v="2"/>
  </r>
  <r>
    <m/>
    <m/>
    <x v="22"/>
    <x v="12"/>
    <s v="LOR201931"/>
    <x v="19"/>
    <x v="91"/>
    <x v="148"/>
    <d v="2025-09-17T00:00:00"/>
    <s v="Liée à la LOR400936"/>
    <d v="2024-06-17T00:00:00"/>
    <d v="2025-08-27T00:00:00"/>
    <m/>
    <m/>
    <x v="1"/>
    <x v="0"/>
  </r>
  <r>
    <m/>
    <m/>
    <x v="3"/>
    <x v="12"/>
    <s v="QPR501423"/>
    <x v="7"/>
    <x v="35"/>
    <x v="149"/>
    <m/>
    <m/>
    <d v="2025-08-26T00:00:00"/>
    <d v="2025-08-26T00:00:00"/>
    <m/>
    <m/>
    <x v="0"/>
    <x v="2"/>
  </r>
  <r>
    <m/>
    <m/>
    <x v="3"/>
    <x v="12"/>
    <s v="QPR501355"/>
    <x v="7"/>
    <x v="35"/>
    <x v="150"/>
    <m/>
    <m/>
    <d v="2025-08-11T00:00:00"/>
    <d v="2025-08-26T00:00:00"/>
    <m/>
    <m/>
    <x v="0"/>
    <x v="2"/>
  </r>
  <r>
    <m/>
    <m/>
    <x v="1"/>
    <x v="12"/>
    <s v="QPR402533"/>
    <x v="0"/>
    <x v="25"/>
    <x v="112"/>
    <m/>
    <s v="Liée a la QPR402536 "/>
    <d v="2024-12-17T00:00:00"/>
    <d v="2025-09-02T00:00:00"/>
    <m/>
    <m/>
    <x v="11"/>
    <x v="0"/>
  </r>
  <r>
    <m/>
    <m/>
    <x v="11"/>
    <x v="12"/>
    <s v="RRE501826"/>
    <x v="7"/>
    <x v="40"/>
    <x v="151"/>
    <d v="2025-09-11T00:00:00"/>
    <m/>
    <d v="2025-09-04T00:00:00"/>
    <d v="2025-09-09T00:00:00"/>
    <m/>
    <m/>
    <x v="10"/>
    <x v="2"/>
  </r>
  <r>
    <m/>
    <m/>
    <x v="30"/>
    <x v="12"/>
    <s v="RRE501735"/>
    <x v="7"/>
    <x v="98"/>
    <x v="152"/>
    <m/>
    <m/>
    <d v="2025-08-25T00:00:00"/>
    <d v="2025-09-17T00:00:00"/>
    <m/>
    <m/>
    <x v="0"/>
    <x v="2"/>
  </r>
  <r>
    <m/>
    <m/>
    <x v="9"/>
    <x v="12"/>
    <s v="QPR501501"/>
    <x v="7"/>
    <x v="92"/>
    <x v="153"/>
    <m/>
    <m/>
    <d v="2025-09-09T00:00:00"/>
    <d v="2025-09-17T00:00:00"/>
    <m/>
    <m/>
    <x v="10"/>
    <x v="2"/>
  </r>
  <r>
    <m/>
    <m/>
    <x v="31"/>
    <x v="12"/>
    <s v="LOR501142"/>
    <x v="7"/>
    <x v="96"/>
    <x v="154"/>
    <m/>
    <m/>
    <d v="2025-09-10T00:00:00"/>
    <d v="2025-09-17T00:00:00"/>
    <m/>
    <m/>
    <x v="10"/>
    <x v="2"/>
  </r>
  <r>
    <m/>
    <m/>
    <x v="23"/>
    <x v="12"/>
    <s v="LOR501149"/>
    <x v="7"/>
    <x v="99"/>
    <x v="155"/>
    <m/>
    <m/>
    <d v="2025-09-15T00:00:00"/>
    <d v="2025-09-17T00:00:00"/>
    <m/>
    <m/>
    <x v="10"/>
    <x v="2"/>
  </r>
  <r>
    <m/>
    <m/>
    <x v="9"/>
    <x v="12"/>
    <s v="LOR501153"/>
    <x v="7"/>
    <x v="100"/>
    <x v="156"/>
    <m/>
    <m/>
    <d v="2025-09-16T00:00:00"/>
    <d v="2025-09-17T00:00:00"/>
    <m/>
    <m/>
    <x v="10"/>
    <x v="2"/>
  </r>
  <r>
    <m/>
    <m/>
    <x v="9"/>
    <x v="12"/>
    <s v="LOR501156"/>
    <x v="7"/>
    <x v="27"/>
    <x v="157"/>
    <m/>
    <m/>
    <d v="2025-09-16T00:00:00"/>
    <d v="2025-09-17T00:00:00"/>
    <m/>
    <m/>
    <x v="10"/>
    <x v="2"/>
  </r>
  <r>
    <m/>
    <m/>
    <x v="9"/>
    <x v="12"/>
    <s v="RRE501894"/>
    <x v="7"/>
    <x v="101"/>
    <x v="158"/>
    <m/>
    <m/>
    <d v="2025-09-16T00:00:00"/>
    <d v="2025-09-17T00:00:00"/>
    <m/>
    <m/>
    <x v="10"/>
    <x v="2"/>
  </r>
  <r>
    <m/>
    <m/>
    <x v="31"/>
    <x v="12"/>
    <s v="RRE501899"/>
    <x v="7"/>
    <x v="102"/>
    <x v="159"/>
    <m/>
    <m/>
    <d v="2025-09-16T00:00:00"/>
    <d v="2025-09-17T00:00:00"/>
    <m/>
    <m/>
    <x v="10"/>
    <x v="2"/>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0"/>
    <x v="13"/>
    <m/>
    <x v="10"/>
    <x v="15"/>
    <x v="16"/>
    <m/>
    <m/>
    <m/>
    <m/>
    <m/>
    <m/>
    <x v="7"/>
    <x v="3"/>
  </r>
  <r>
    <m/>
    <m/>
    <x v="32"/>
    <x v="13"/>
    <m/>
    <x v="10"/>
    <x v="15"/>
    <x v="16"/>
    <m/>
    <m/>
    <m/>
    <m/>
    <m/>
    <m/>
    <x v="12"/>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s v="MEN200785"/>
    <d v="2025-10-13T00:00:00"/>
    <x v="0"/>
    <x v="0"/>
    <s v="MEN400420"/>
    <x v="0"/>
    <x v="0"/>
    <x v="0"/>
    <d v="2025-01-24T00:00:00"/>
    <m/>
    <m/>
    <m/>
    <d v="2024-06-04T00:00:00"/>
    <d v="2025-01-10T00:00:00"/>
    <x v="0"/>
    <x v="0"/>
  </r>
  <r>
    <s v="MEN200889"/>
    <d v="2025-12-05T00:00:00"/>
    <x v="1"/>
    <x v="0"/>
    <s v="MEN500460"/>
    <x v="1"/>
    <x v="1"/>
    <x v="1"/>
    <m/>
    <m/>
    <m/>
    <m/>
    <d v="2025-09-04T00:00:00"/>
    <d v="2025-09-04T00:00:00"/>
    <x v="1"/>
    <x v="1"/>
  </r>
  <r>
    <s v="MEN300154"/>
    <d v="2025-09-26T00:00:00"/>
    <x v="0"/>
    <x v="0"/>
    <s v="MEN500287"/>
    <x v="2"/>
    <x v="2"/>
    <x v="2"/>
    <s v="NE PAS PRENDRE EN COMPTE"/>
    <s v="LIE MEN500221"/>
    <s v="M"/>
    <m/>
    <d v="2025-05-27T00:00:00"/>
    <d v="2025-05-27T00:00:00"/>
    <x v="2"/>
    <x v="1"/>
  </r>
  <r>
    <s v="MEN300291"/>
    <d v="2025-10-15T00:00:00"/>
    <x v="2"/>
    <x v="0"/>
    <s v="MEN500141"/>
    <x v="0"/>
    <x v="3"/>
    <x v="3"/>
    <m/>
    <s v="LIEE A LA MEN500260"/>
    <s v="M"/>
    <m/>
    <d v="2025-03-12T00:00:00"/>
    <d v="2025-03-12T00:00:00"/>
    <x v="3"/>
    <x v="1"/>
  </r>
  <r>
    <s v="MEN300571"/>
    <d v="2025-10-29T00:00:00"/>
    <x v="0"/>
    <x v="1"/>
    <s v="MEN500260"/>
    <x v="3"/>
    <x v="3"/>
    <x v="4"/>
    <d v="2025-05-28T00:00:00"/>
    <m/>
    <m/>
    <m/>
    <d v="2025-05-16T00:00:00"/>
    <d v="2025-05-16T00:00:00"/>
    <x v="2"/>
    <x v="1"/>
  </r>
  <r>
    <s v="MEN300765"/>
    <d v="2025-09-25T00:00:00"/>
    <x v="0"/>
    <x v="1"/>
    <s v="MPL401797"/>
    <x v="4"/>
    <x v="4"/>
    <x v="5"/>
    <m/>
    <s v="Liée MPL401645"/>
    <s v="C"/>
    <m/>
    <d v="2024-12-23T00:00:00"/>
    <d v="2025-07-18T00:00:00"/>
    <x v="4"/>
    <x v="0"/>
  </r>
  <r>
    <s v="MEN300841"/>
    <d v="2025-09-29T00:00:00"/>
    <x v="0"/>
    <x v="2"/>
    <s v="NIM500651"/>
    <x v="4"/>
    <x v="5"/>
    <x v="6"/>
    <m/>
    <m/>
    <s v="M"/>
    <m/>
    <d v="2025-07-16T00:00:00"/>
    <d v="2025-07-16T00:00:00"/>
    <x v="5"/>
    <x v="1"/>
  </r>
  <r>
    <s v="MEN400018"/>
    <d v="2025-10-06T00:00:00"/>
    <x v="0"/>
    <x v="2"/>
    <s v="NIM500036"/>
    <x v="4"/>
    <x v="6"/>
    <x v="7"/>
    <m/>
    <m/>
    <s v="M"/>
    <m/>
    <d v="2025-01-14T00:00:00"/>
    <d v="2025-02-21T00:00:00"/>
    <x v="6"/>
    <x v="1"/>
  </r>
  <r>
    <s v="MEN400055"/>
    <d v="2025-11-06T00:00:00"/>
    <x v="0"/>
    <x v="2"/>
    <s v="NIM401251"/>
    <x v="5"/>
    <x v="7"/>
    <x v="8"/>
    <m/>
    <m/>
    <s v="M"/>
    <m/>
    <d v="2024-11-25T00:00:00"/>
    <d v="2025-06-18T00:00:00"/>
    <x v="7"/>
    <x v="0"/>
  </r>
  <r>
    <s v="MEN400056"/>
    <d v="2025-11-06T00:00:00"/>
    <x v="0"/>
    <x v="2"/>
    <s v="MPL500844"/>
    <x v="4"/>
    <x v="8"/>
    <x v="9"/>
    <m/>
    <s v="Liée MPL500733"/>
    <s v="C"/>
    <m/>
    <d v="2025-07-08T00:00:00"/>
    <d v="2025-07-18T00:00:00"/>
    <x v="5"/>
    <x v="1"/>
  </r>
  <r>
    <s v="MEN400080"/>
    <d v="2025-10-21T00:00:00"/>
    <x v="0"/>
    <x v="2"/>
    <s v="MPL500013"/>
    <x v="5"/>
    <x v="9"/>
    <x v="10"/>
    <m/>
    <m/>
    <s v="C"/>
    <m/>
    <d v="2025-01-03T00:00:00"/>
    <d v="2025-08-13T00:00:00"/>
    <x v="8"/>
    <x v="1"/>
  </r>
  <r>
    <s v="MEN400115"/>
    <d v="2025-10-15T00:00:00"/>
    <x v="0"/>
    <x v="2"/>
    <s v="MPL401799"/>
    <x v="5"/>
    <x v="9"/>
    <x v="11"/>
    <m/>
    <m/>
    <s v="C"/>
    <m/>
    <d v="2024-12-23T00:00:00"/>
    <d v="2025-08-13T00:00:00"/>
    <x v="8"/>
    <x v="0"/>
  </r>
  <r>
    <s v="MEN400152"/>
    <d v="2025-10-13T00:00:00"/>
    <x v="0"/>
    <x v="2"/>
    <s v="MPL401066"/>
    <x v="4"/>
    <x v="10"/>
    <x v="12"/>
    <m/>
    <m/>
    <s v="M"/>
    <m/>
    <d v="2024-07-26T00:00:00"/>
    <d v="2025-05-19T00:00:00"/>
    <x v="5"/>
    <x v="0"/>
  </r>
  <r>
    <s v="MEN400218"/>
    <d v="2025-10-27T00:00:00"/>
    <x v="0"/>
    <x v="2"/>
    <s v="MPL401054"/>
    <x v="4"/>
    <x v="11"/>
    <x v="13"/>
    <m/>
    <m/>
    <s v="M"/>
    <m/>
    <d v="2024-07-24T00:00:00"/>
    <d v="2025-06-20T00:00:00"/>
    <x v="8"/>
    <x v="0"/>
  </r>
  <r>
    <s v="MEN400228"/>
    <d v="2025-11-12T00:00:00"/>
    <x v="0"/>
    <x v="2"/>
    <s v="MPL300503"/>
    <x v="4"/>
    <x v="12"/>
    <x v="14"/>
    <m/>
    <m/>
    <s v="M"/>
    <m/>
    <d v="2025-06-18T00:00:00"/>
    <d v="2025-06-18T00:00:00"/>
    <x v="0"/>
    <x v="1"/>
  </r>
  <r>
    <s v="MEN400257"/>
    <d v="2025-10-20T00:00:00"/>
    <x v="0"/>
    <x v="2"/>
    <s v="MEN500403"/>
    <x v="6"/>
    <x v="13"/>
    <x v="15"/>
    <d v="2025-07-28T00:00:00"/>
    <m/>
    <m/>
    <m/>
    <d v="2025-07-16T00:00:00"/>
    <d v="2025-07-16T00:00:00"/>
    <x v="5"/>
    <x v="1"/>
  </r>
  <r>
    <s v="MEN400261"/>
    <d v="2025-10-16T00:00:00"/>
    <x v="0"/>
    <x v="2"/>
    <s v="MEN500372"/>
    <x v="3"/>
    <x v="14"/>
    <x v="16"/>
    <s v="Mardi"/>
    <s v="Liée MEN500210"/>
    <m/>
    <m/>
    <d v="2025-07-03T00:00:00"/>
    <d v="2025-07-04T00:00:00"/>
    <x v="5"/>
    <x v="1"/>
  </r>
  <r>
    <s v="MEN400290"/>
    <d v="2025-09-26T00:00:00"/>
    <x v="0"/>
    <x v="2"/>
    <s v="MEN500371"/>
    <x v="7"/>
    <x v="15"/>
    <x v="17"/>
    <m/>
    <m/>
    <s v="M"/>
    <m/>
    <d v="2025-07-03T00:00:00"/>
    <d v="2025-07-04T00:00:00"/>
    <x v="5"/>
    <x v="1"/>
  </r>
  <r>
    <s v="MEN400292"/>
    <d v="2025-10-15T00:00:00"/>
    <x v="0"/>
    <x v="2"/>
    <s v="MEN500362"/>
    <x v="4"/>
    <x v="16"/>
    <x v="18"/>
    <m/>
    <s v="LIEE MEN500098"/>
    <s v="M"/>
    <m/>
    <d v="2025-06-30T00:00:00"/>
    <d v="2025-06-30T00:00:00"/>
    <x v="0"/>
    <x v="1"/>
  </r>
  <r>
    <s v="MEN400331"/>
    <d v="2025-09-29T00:00:00"/>
    <x v="0"/>
    <x v="2"/>
    <s v="MEN500350"/>
    <x v="8"/>
    <x v="17"/>
    <x v="19"/>
    <d v="2025-07-01T00:00:00"/>
    <m/>
    <m/>
    <m/>
    <d v="2025-06-20T00:00:00"/>
    <d v="2025-06-20T00:00:00"/>
    <x v="0"/>
    <x v="1"/>
  </r>
  <r>
    <s v="MEN400334"/>
    <d v="2025-12-16T00:00:00"/>
    <x v="0"/>
    <x v="2"/>
    <s v="MEN500341"/>
    <x v="9"/>
    <x v="3"/>
    <x v="20"/>
    <d v="2025-06-20T00:00:00"/>
    <m/>
    <s v="M"/>
    <m/>
    <d v="2025-06-18T00:00:00"/>
    <d v="2025-06-18T00:00:00"/>
    <x v="0"/>
    <x v="1"/>
  </r>
  <r>
    <s v="MEN400337"/>
    <d v="2025-12-01T00:00:00"/>
    <x v="0"/>
    <x v="2"/>
    <s v="MEN500332"/>
    <x v="3"/>
    <x v="18"/>
    <x v="21"/>
    <s v="Liée MEN400754"/>
    <s v="LIEE MEN400754"/>
    <s v="M"/>
    <m/>
    <d v="2025-06-13T00:00:00"/>
    <d v="2025-06-13T00:00:00"/>
    <x v="0"/>
    <x v="1"/>
  </r>
  <r>
    <s v="MEN400515"/>
    <d v="2025-10-07T00:00:00"/>
    <x v="0"/>
    <x v="2"/>
    <s v="MEN500331"/>
    <x v="10"/>
    <x v="15"/>
    <x v="22"/>
    <s v="VT ok"/>
    <m/>
    <m/>
    <m/>
    <d v="2025-06-12T00:00:00"/>
    <d v="2025-06-12T00:00:00"/>
    <x v="0"/>
    <x v="1"/>
  </r>
  <r>
    <s v="MEN400595"/>
    <d v="2025-11-18T00:00:00"/>
    <x v="0"/>
    <x v="2"/>
    <s v="MEN500306"/>
    <x v="11"/>
    <x v="19"/>
    <x v="23"/>
    <m/>
    <m/>
    <m/>
    <m/>
    <d v="2025-06-02T00:00:00"/>
    <d v="2025-06-02T00:00:00"/>
    <x v="0"/>
    <x v="1"/>
  </r>
  <r>
    <s v="MEN400648"/>
    <d v="2025-10-01T00:00:00"/>
    <x v="0"/>
    <x v="2"/>
    <s v="MEN500285"/>
    <x v="2"/>
    <x v="20"/>
    <x v="24"/>
    <s v="NE PAS PRENDRE EN COMPTE"/>
    <m/>
    <s v="M"/>
    <m/>
    <d v="2025-05-26T00:00:00"/>
    <d v="2025-05-26T00:00:00"/>
    <x v="2"/>
    <x v="1"/>
  </r>
  <r>
    <s v="MEN400649"/>
    <d v="2025-10-15T00:00:00"/>
    <x v="0"/>
    <x v="2"/>
    <s v="MEN500263"/>
    <x v="12"/>
    <x v="21"/>
    <x v="25"/>
    <m/>
    <m/>
    <m/>
    <m/>
    <d v="2025-05-20T00:00:00"/>
    <d v="2025-05-20T00:00:00"/>
    <x v="2"/>
    <x v="1"/>
  </r>
  <r>
    <s v="MEN400673"/>
    <d v="2025-10-06T00:00:00"/>
    <x v="0"/>
    <x v="2"/>
    <s v="MEN500255"/>
    <x v="11"/>
    <x v="22"/>
    <x v="26"/>
    <m/>
    <m/>
    <m/>
    <m/>
    <d v="2025-05-13T00:00:00"/>
    <d v="2025-05-13T00:00:00"/>
    <x v="2"/>
    <x v="1"/>
  </r>
  <r>
    <s v="MEN400687"/>
    <d v="2025-10-06T00:00:00"/>
    <x v="0"/>
    <x v="2"/>
    <s v="MEN500250"/>
    <x v="13"/>
    <x v="23"/>
    <x v="27"/>
    <m/>
    <m/>
    <s v="M"/>
    <m/>
    <d v="2025-05-07T00:00:00"/>
    <d v="2025-05-07T00:00:00"/>
    <x v="2"/>
    <x v="1"/>
  </r>
  <r>
    <s v="MEN400690"/>
    <d v="2025-09-29T00:00:00"/>
    <x v="0"/>
    <x v="2"/>
    <s v="MEN500225"/>
    <x v="1"/>
    <x v="23"/>
    <x v="28"/>
    <d v="2025-05-08T00:00:00"/>
    <m/>
    <s v="M"/>
    <m/>
    <d v="2025-04-24T00:00:00"/>
    <d v="2025-04-24T00:00:00"/>
    <x v="9"/>
    <x v="1"/>
  </r>
  <r>
    <s v="MEN400695"/>
    <d v="2025-09-30T00:00:00"/>
    <x v="0"/>
    <x v="2"/>
    <s v="MEN500224"/>
    <x v="6"/>
    <x v="24"/>
    <x v="29"/>
    <s v="02/05 à 14h30"/>
    <m/>
    <m/>
    <m/>
    <d v="2025-04-23T00:00:00"/>
    <d v="2025-04-23T00:00:00"/>
    <x v="9"/>
    <x v="1"/>
  </r>
  <r>
    <s v="MEN400702"/>
    <d v="2025-10-16T00:00:00"/>
    <x v="0"/>
    <x v="2"/>
    <s v="MEN500196"/>
    <x v="0"/>
    <x v="21"/>
    <x v="30"/>
    <m/>
    <m/>
    <m/>
    <m/>
    <d v="2025-04-09T00:00:00"/>
    <d v="2025-04-09T00:00:00"/>
    <x v="9"/>
    <x v="1"/>
  </r>
  <r>
    <s v="MEN400743"/>
    <d v="2025-10-16T00:00:00"/>
    <x v="0"/>
    <x v="2"/>
    <s v="MEN500190"/>
    <x v="6"/>
    <x v="25"/>
    <x v="31"/>
    <s v="14/04/2025 à refaire"/>
    <m/>
    <s v="C"/>
    <m/>
    <d v="2025-04-07T00:00:00"/>
    <d v="2025-04-07T00:00:00"/>
    <x v="9"/>
    <x v="1"/>
  </r>
  <r>
    <s v="MEN400744"/>
    <d v="2025-09-23T00:00:00"/>
    <x v="0"/>
    <x v="2"/>
    <s v="MEN500186"/>
    <x v="0"/>
    <x v="26"/>
    <x v="32"/>
    <m/>
    <m/>
    <m/>
    <m/>
    <d v="2025-04-07T00:00:00"/>
    <d v="2025-04-07T00:00:00"/>
    <x v="9"/>
    <x v="1"/>
  </r>
  <r>
    <s v="MEN400749"/>
    <d v="2025-09-25T00:00:00"/>
    <x v="0"/>
    <x v="2"/>
    <s v="MEN500185"/>
    <x v="3"/>
    <x v="27"/>
    <x v="33"/>
    <m/>
    <m/>
    <m/>
    <m/>
    <d v="1900-01-06T00:00:00"/>
    <d v="2025-04-04T00:00:00"/>
    <x v="6"/>
    <x v="2"/>
  </r>
  <r>
    <s v="MEN400779"/>
    <d v="2025-10-15T00:00:00"/>
    <x v="0"/>
    <x v="2"/>
    <s v="MEN500179"/>
    <x v="3"/>
    <x v="19"/>
    <x v="34"/>
    <m/>
    <s v="LIEE A LA MEN500027 ET MEN500048"/>
    <m/>
    <m/>
    <d v="2025-04-02T00:00:00"/>
    <d v="2025-05-02T00:00:00"/>
    <x v="9"/>
    <x v="1"/>
  </r>
  <r>
    <s v="MEN500026"/>
    <d v="2025-10-15T00:00:00"/>
    <x v="0"/>
    <x v="2"/>
    <s v="MEN500162"/>
    <x v="2"/>
    <x v="28"/>
    <x v="18"/>
    <s v="chambre à trouver et aiguillage à faire "/>
    <m/>
    <s v="M"/>
    <m/>
    <d v="2025-03-19T00:00:00"/>
    <d v="2025-03-19T00:00:00"/>
    <x v="3"/>
    <x v="1"/>
  </r>
  <r>
    <s v="MEN500027"/>
    <d v="2025-10-10T00:00:00"/>
    <x v="0"/>
    <x v="2"/>
    <s v="MEN500150"/>
    <x v="3"/>
    <x v="0"/>
    <x v="35"/>
    <m/>
    <m/>
    <m/>
    <m/>
    <d v="2025-03-17T00:00:00"/>
    <d v="2025-03-17T00:00:00"/>
    <x v="3"/>
    <x v="1"/>
  </r>
  <r>
    <s v="MEN500028"/>
    <d v="2025-12-18T00:00:00"/>
    <x v="0"/>
    <x v="2"/>
    <s v="MEN500130"/>
    <x v="3"/>
    <x v="29"/>
    <x v="36"/>
    <d v="2025-03-15T00:00:00"/>
    <m/>
    <m/>
    <m/>
    <d v="2025-03-10T00:00:00"/>
    <d v="2025-03-11T00:00:00"/>
    <x v="3"/>
    <x v="1"/>
  </r>
  <r>
    <s v="MEN500029"/>
    <d v="2025-09-29T00:00:00"/>
    <x v="0"/>
    <x v="2"/>
    <s v="MEN500120"/>
    <x v="11"/>
    <x v="30"/>
    <x v="37"/>
    <m/>
    <m/>
    <m/>
    <m/>
    <d v="2025-03-06T00:00:00"/>
    <d v="2025-03-06T00:00:00"/>
    <x v="3"/>
    <x v="1"/>
  </r>
  <r>
    <s v="MEN500032"/>
    <d v="2025-11-17T00:00:00"/>
    <x v="0"/>
    <x v="2"/>
    <s v="MEN500062"/>
    <x v="14"/>
    <x v="31"/>
    <x v="38"/>
    <m/>
    <m/>
    <s v="M"/>
    <m/>
    <d v="2025-02-11T00:00:00"/>
    <d v="2025-02-11T00:00:00"/>
    <x v="10"/>
    <x v="1"/>
  </r>
  <r>
    <s v="MEN500037"/>
    <d v="2025-09-29T00:00:00"/>
    <x v="0"/>
    <x v="2"/>
    <s v="MEN500048"/>
    <x v="14"/>
    <x v="19"/>
    <x v="34"/>
    <m/>
    <s v="LIE A LA MEN500027 ET MEN500179"/>
    <s v="M"/>
    <m/>
    <d v="2025-01-31T00:00:00"/>
    <d v="2025-01-31T00:00:00"/>
    <x v="6"/>
    <x v="1"/>
  </r>
  <r>
    <s v="MEN500038"/>
    <d v="2025-12-22T00:00:00"/>
    <x v="0"/>
    <x v="2"/>
    <s v="MEN500047"/>
    <x v="11"/>
    <x v="32"/>
    <x v="39"/>
    <m/>
    <m/>
    <m/>
    <m/>
    <d v="2025-01-31T00:00:00"/>
    <d v="2025-01-31T00:00:00"/>
    <x v="6"/>
    <x v="1"/>
  </r>
  <r>
    <s v="MEN500040"/>
    <d v="2025-10-16T00:00:00"/>
    <x v="0"/>
    <x v="2"/>
    <s v="MEN500024"/>
    <x v="10"/>
    <x v="33"/>
    <x v="40"/>
    <d v="2025-01-20T00:00:00"/>
    <m/>
    <s v="M"/>
    <m/>
    <d v="2025-01-13T00:00:00"/>
    <d v="2025-01-13T00:00:00"/>
    <x v="6"/>
    <x v="1"/>
  </r>
  <r>
    <s v="MEN500042"/>
    <d v="2025-10-13T00:00:00"/>
    <x v="0"/>
    <x v="2"/>
    <s v="MEN500021"/>
    <x v="15"/>
    <x v="34"/>
    <x v="41"/>
    <d v="2025-01-16T00:00:00"/>
    <m/>
    <m/>
    <m/>
    <d v="2025-01-10T00:00:00"/>
    <d v="2025-01-10T00:00:00"/>
    <x v="6"/>
    <x v="1"/>
  </r>
  <r>
    <s v="MEN500046"/>
    <d v="2025-12-30T00:00:00"/>
    <x v="0"/>
    <x v="2"/>
    <s v="MEN400766"/>
    <x v="0"/>
    <x v="3"/>
    <x v="42"/>
    <m/>
    <m/>
    <s v="M"/>
    <m/>
    <d v="2024-12-16T00:00:00"/>
    <d v="2024-12-16T00:00:00"/>
    <x v="4"/>
    <x v="0"/>
  </r>
  <r>
    <s v="MEN500052"/>
    <d v="2025-10-27T00:00:00"/>
    <x v="0"/>
    <x v="2"/>
    <s v="MEN400760"/>
    <x v="11"/>
    <x v="19"/>
    <x v="23"/>
    <m/>
    <s v="RESTE RECEPTION POUR PAIEMENT"/>
    <m/>
    <m/>
    <d v="2024-12-10T00:00:00"/>
    <d v="2024-12-10T00:00:00"/>
    <x v="4"/>
    <x v="0"/>
  </r>
  <r>
    <s v="MEN500066"/>
    <d v="2025-11-13T00:00:00"/>
    <x v="0"/>
    <x v="2"/>
    <s v="MEN400714"/>
    <x v="0"/>
    <x v="35"/>
    <x v="43"/>
    <d v="2025-01-03T00:00:00"/>
    <m/>
    <s v="M"/>
    <m/>
    <d v="2024-11-05T00:00:00"/>
    <d v="2024-11-07T00:00:00"/>
    <x v="7"/>
    <x v="0"/>
  </r>
  <r>
    <s v="MEN500079"/>
    <d v="2025-10-13T00:00:00"/>
    <x v="0"/>
    <x v="2"/>
    <s v="MEN400672"/>
    <x v="11"/>
    <x v="36"/>
    <x v="44"/>
    <s v="NE PAS TENIR COMPTE"/>
    <m/>
    <m/>
    <m/>
    <d v="2024-10-09T00:00:00"/>
    <d v="2025-03-18T00:00:00"/>
    <x v="11"/>
    <x v="0"/>
  </r>
  <r>
    <s v="MEN500082"/>
    <d v="2025-10-16T00:00:00"/>
    <x v="0"/>
    <x v="2"/>
    <s v="MEN400662"/>
    <x v="16"/>
    <x v="27"/>
    <x v="45"/>
    <s v="NE PAS TENIR COMPTE"/>
    <m/>
    <m/>
    <m/>
    <d v="2024-10-02T00:00:00"/>
    <d v="2024-10-07T00:00:00"/>
    <x v="11"/>
    <x v="0"/>
  </r>
  <r>
    <s v="MEN500087"/>
    <d v="2025-10-13T00:00:00"/>
    <x v="0"/>
    <x v="2"/>
    <s v="MEN400651"/>
    <x v="6"/>
    <x v="31"/>
    <x v="46"/>
    <m/>
    <m/>
    <s v="M"/>
    <m/>
    <d v="2024-09-25T00:00:00"/>
    <d v="2024-09-26T00:00:00"/>
    <x v="1"/>
    <x v="0"/>
  </r>
  <r>
    <s v="MEN500099"/>
    <d v="2025-09-26T00:00:00"/>
    <x v="0"/>
    <x v="2"/>
    <s v="MEN400637"/>
    <x v="11"/>
    <x v="37"/>
    <x v="47"/>
    <m/>
    <s v="14/04: Dissim: Le dossier ne comporte aucun contact"/>
    <m/>
    <m/>
    <d v="2024-09-12T00:00:00"/>
    <d v="2025-03-18T00:00:00"/>
    <x v="1"/>
    <x v="0"/>
  </r>
  <r>
    <s v="MEN500104"/>
    <d v="2025-10-15T00:00:00"/>
    <x v="0"/>
    <x v="2"/>
    <s v="MEN400593"/>
    <x v="11"/>
    <x v="38"/>
    <x v="48"/>
    <m/>
    <m/>
    <m/>
    <m/>
    <d v="2024-08-20T00:00:00"/>
    <d v="2025-03-18T00:00:00"/>
    <x v="12"/>
    <x v="0"/>
  </r>
  <r>
    <s v="MEN500125"/>
    <d v="2025-10-06T00:00:00"/>
    <x v="0"/>
    <x v="2"/>
    <s v="MEN400482"/>
    <x v="10"/>
    <x v="29"/>
    <x v="36"/>
    <m/>
    <m/>
    <m/>
    <m/>
    <d v="2024-06-24T00:00:00"/>
    <d v="2024-09-12T00:00:00"/>
    <x v="0"/>
    <x v="0"/>
  </r>
  <r>
    <s v="MEN500126"/>
    <d v="2025-09-29T00:00:00"/>
    <x v="0"/>
    <x v="2"/>
    <s v="MEN400430"/>
    <x v="10"/>
    <x v="39"/>
    <x v="18"/>
    <m/>
    <m/>
    <m/>
    <m/>
    <d v="2024-06-07T00:00:00"/>
    <d v="2024-08-21T00:00:00"/>
    <x v="0"/>
    <x v="0"/>
  </r>
  <r>
    <s v="MEN500127"/>
    <d v="2025-10-20T00:00:00"/>
    <x v="0"/>
    <x v="2"/>
    <s v="MEN400329"/>
    <x v="17"/>
    <x v="3"/>
    <x v="49"/>
    <m/>
    <m/>
    <m/>
    <m/>
    <d v="2024-05-02T00:00:00"/>
    <d v="2025-03-18T00:00:00"/>
    <x v="8"/>
    <x v="0"/>
  </r>
  <r>
    <s v="MEN500141"/>
    <d v="2025-09-29T00:00:00"/>
    <x v="0"/>
    <x v="2"/>
    <s v="MEN400319"/>
    <x v="17"/>
    <x v="40"/>
    <x v="50"/>
    <m/>
    <m/>
    <m/>
    <m/>
    <d v="2024-04-29T00:00:00"/>
    <d v="2025-03-18T00:00:00"/>
    <x v="9"/>
    <x v="0"/>
  </r>
  <r>
    <s v="MEN500142"/>
    <d v="2025-09-26T00:00:00"/>
    <x v="0"/>
    <x v="2"/>
    <s v="MEN400252"/>
    <x v="10"/>
    <x v="30"/>
    <x v="51"/>
    <m/>
    <m/>
    <m/>
    <m/>
    <d v="2024-03-29T00:00:00"/>
    <d v="2024-09-16T00:00:00"/>
    <x v="3"/>
    <x v="0"/>
  </r>
  <r>
    <s v="MEN500145"/>
    <d v="2025-10-27T00:00:00"/>
    <x v="0"/>
    <x v="2"/>
    <s v="MEN400235"/>
    <x v="17"/>
    <x v="41"/>
    <x v="52"/>
    <m/>
    <m/>
    <m/>
    <m/>
    <d v="2024-03-26T00:00:00"/>
    <d v="2025-03-18T00:00:00"/>
    <x v="3"/>
    <x v="0"/>
  </r>
  <r>
    <s v="MEN500149"/>
    <d v="2025-10-17T00:00:00"/>
    <x v="0"/>
    <x v="2"/>
    <s v="MEN400232"/>
    <x v="17"/>
    <x v="42"/>
    <x v="53"/>
    <m/>
    <m/>
    <m/>
    <m/>
    <d v="2024-03-26T00:00:00"/>
    <d v="2025-03-18T00:00:00"/>
    <x v="3"/>
    <x v="0"/>
  </r>
  <r>
    <s v="MEN500153"/>
    <d v="2025-09-25T00:00:00"/>
    <x v="0"/>
    <x v="2"/>
    <s v="MEN300290"/>
    <x v="17"/>
    <x v="43"/>
    <x v="54"/>
    <s v="NE PAS TENIR COMPTE"/>
    <s v="aucun contact"/>
    <m/>
    <m/>
    <d v="2023-03-27T00:00:00"/>
    <d v="2025-03-18T00:00:00"/>
    <x v="3"/>
    <x v="3"/>
  </r>
  <r>
    <s v="MEN500161"/>
    <d v="2026-03-12T00:00:00"/>
    <x v="0"/>
    <x v="2"/>
    <s v="MEN300157"/>
    <x v="17"/>
    <x v="44"/>
    <x v="55"/>
    <m/>
    <s v="14/04: Dissim: Le dossier ne comporte aucun contact"/>
    <m/>
    <m/>
    <d v="2023-02-20T00:00:00"/>
    <d v="2025-03-18T00:00:00"/>
    <x v="10"/>
    <x v="3"/>
  </r>
  <r>
    <s v="MEN500177"/>
    <d v="2025-10-10T00:00:00"/>
    <x v="0"/>
    <x v="2"/>
    <s v="BEZ400612"/>
    <x v="4"/>
    <x v="45"/>
    <x v="56"/>
    <m/>
    <m/>
    <s v="C"/>
    <m/>
    <d v="2024-07-16T00:00:00"/>
    <d v="2025-07-25T00:00:00"/>
    <x v="5"/>
    <x v="0"/>
  </r>
  <r>
    <s v="MEN500183"/>
    <d v="2025-09-29T00:00:00"/>
    <x v="0"/>
    <x v="2"/>
    <s v="ALE500143"/>
    <x v="4"/>
    <x v="46"/>
    <x v="57"/>
    <m/>
    <m/>
    <s v="M"/>
    <m/>
    <d v="2025-02-20T00:00:00"/>
    <d v="2025-06-20T00:00:00"/>
    <x v="8"/>
    <x v="1"/>
  </r>
  <r>
    <s v="MEN500188"/>
    <d v="2025-10-15T00:00:00"/>
    <x v="0"/>
    <x v="2"/>
    <s v="BEZ500150"/>
    <x v="4"/>
    <x v="45"/>
    <x v="58"/>
    <m/>
    <m/>
    <s v="M"/>
    <m/>
    <d v="2025-02-25T00:00:00"/>
    <d v="2025-08-26T00:00:00"/>
    <x v="10"/>
    <x v="1"/>
  </r>
  <r>
    <s v="MEN500189"/>
    <d v="2025-09-26T00:00:00"/>
    <x v="0"/>
    <x v="2"/>
    <s v="MEN500361"/>
    <x v="18"/>
    <x v="30"/>
    <x v="59"/>
    <s v="Mardi"/>
    <m/>
    <s v="C"/>
    <m/>
    <d v="2025-06-26T00:00:00"/>
    <d v="2025-06-26T00:00:00"/>
    <x v="0"/>
    <x v="1"/>
  </r>
  <r>
    <s v="MEN500191"/>
    <d v="2026-07-20T00:00:00"/>
    <x v="0"/>
    <x v="2"/>
    <s v="MEN500160"/>
    <x v="11"/>
    <x v="31"/>
    <x v="60"/>
    <m/>
    <s v="en pas prendre en compte "/>
    <m/>
    <m/>
    <d v="2025-03-19T00:00:00"/>
    <d v="2025-03-19T00:00:00"/>
    <x v="3"/>
    <x v="1"/>
  </r>
  <r>
    <s v="MEN500201"/>
    <d v="2025-11-13T00:00:00"/>
    <x v="0"/>
    <x v="2"/>
    <s v="MPL500298"/>
    <x v="4"/>
    <x v="8"/>
    <x v="61"/>
    <m/>
    <m/>
    <s v="M"/>
    <m/>
    <d v="2025-02-26T00:00:00"/>
    <d v="2025-08-26T00:00:00"/>
    <x v="10"/>
    <x v="1"/>
  </r>
  <r>
    <s v="MEN500215"/>
    <d v="2025-09-17T00:00:00"/>
    <x v="0"/>
    <x v="2"/>
    <s v="MPL401113"/>
    <x v="4"/>
    <x v="8"/>
    <x v="62"/>
    <m/>
    <m/>
    <s v="M"/>
    <m/>
    <d v="2024-08-13T00:00:00"/>
    <d v="2025-08-26T00:00:00"/>
    <x v="12"/>
    <x v="0"/>
  </r>
  <r>
    <s v="MEN500219"/>
    <d v="2025-10-06T00:00:00"/>
    <x v="0"/>
    <x v="2"/>
    <s v="MEN400703"/>
    <x v="8"/>
    <x v="27"/>
    <x v="45"/>
    <m/>
    <m/>
    <s v="M"/>
    <m/>
    <d v="2024-10-29T00:00:00"/>
    <d v="2024-10-29T00:00:00"/>
    <x v="11"/>
    <x v="0"/>
  </r>
  <r>
    <s v="MEN500221"/>
    <d v="2025-10-06T00:00:00"/>
    <x v="0"/>
    <x v="2"/>
    <s v="MEN500401"/>
    <x v="3"/>
    <x v="47"/>
    <x v="63"/>
    <d v="2025-07-22T00:00:00"/>
    <s v="Liée MEN500209"/>
    <s v="C"/>
    <m/>
    <d v="2025-07-16T00:00:00"/>
    <d v="2025-07-16T00:00:00"/>
    <x v="5"/>
    <x v="1"/>
  </r>
  <r>
    <s v="MEN500223"/>
    <d v="2025-10-06T00:00:00"/>
    <x v="0"/>
    <x v="2"/>
    <s v="MEN500209"/>
    <x v="10"/>
    <x v="17"/>
    <x v="64"/>
    <m/>
    <m/>
    <m/>
    <m/>
    <d v="2025-04-17T00:00:00"/>
    <d v="2025-04-17T00:00:00"/>
    <x v="9"/>
    <x v="1"/>
  </r>
  <r>
    <s v="MEN500232"/>
    <d v="2025-09-19T00:00:00"/>
    <x v="0"/>
    <x v="2"/>
    <s v="MEN500229"/>
    <x v="12"/>
    <x v="48"/>
    <x v="65"/>
    <s v="à refaire"/>
    <s v="Contact client : MORISSONNEAU JEAN-MARC "/>
    <m/>
    <n v="687482944"/>
    <d v="2025-04-25T00:00:00"/>
    <d v="2025-04-25T00:00:00"/>
    <x v="9"/>
    <x v="1"/>
  </r>
  <r>
    <s v="MEN500235"/>
    <d v="2025-10-20T00:00:00"/>
    <x v="3"/>
    <x v="2"/>
    <s v="MEN500472"/>
    <x v="6"/>
    <x v="31"/>
    <x v="66"/>
    <m/>
    <m/>
    <m/>
    <m/>
    <d v="2025-09-11T00:00:00"/>
    <d v="2025-09-11T00:00:00"/>
    <x v="1"/>
    <x v="1"/>
  </r>
  <r>
    <s v="MEN500239"/>
    <d v="2025-09-22T00:00:00"/>
    <x v="1"/>
    <x v="2"/>
    <s v="MEN500380"/>
    <x v="4"/>
    <x v="49"/>
    <x v="67"/>
    <m/>
    <m/>
    <s v="M"/>
    <m/>
    <d v="2025-07-08T00:00:00"/>
    <d v="2025-07-08T00:00:00"/>
    <x v="8"/>
    <x v="1"/>
  </r>
  <r>
    <s v="MEN500246"/>
    <d v="2025-10-06T00:00:00"/>
    <x v="1"/>
    <x v="2"/>
    <s v="MEN500269"/>
    <x v="19"/>
    <x v="49"/>
    <x v="67"/>
    <s v="28/05 à 9h "/>
    <m/>
    <s v="M"/>
    <m/>
    <d v="2025-05-23T00:00:00"/>
    <d v="2025-05-21T00:00:00"/>
    <x v="2"/>
    <x v="1"/>
  </r>
  <r>
    <s v="MEN500247"/>
    <d v="2025-09-30T00:00:00"/>
    <x v="4"/>
    <x v="2"/>
    <s v="MEN400228"/>
    <x v="20"/>
    <x v="15"/>
    <x v="68"/>
    <s v=" 14/04: "/>
    <s v="Tvx non encore effectués. Le client n'est pas en mesure de nous communiquer une date de réalisation."/>
    <s v="M"/>
    <n v="625284035"/>
    <d v="2025-03-25T00:00:00"/>
    <d v="2025-04-14T00:00:00"/>
    <x v="3"/>
    <x v="1"/>
  </r>
  <r>
    <s v="MEN500252"/>
    <d v="2025-09-29T00:00:00"/>
    <x v="5"/>
    <x v="2"/>
    <s v="MEN400218"/>
    <x v="19"/>
    <x v="15"/>
    <x v="68"/>
    <d v="2025-09-15T00:00:00"/>
    <s v="à voir avec mohamed"/>
    <s v="M"/>
    <m/>
    <d v="2024-03-21T00:00:00"/>
    <d v="2024-10-04T00:00:00"/>
    <x v="3"/>
    <x v="0"/>
  </r>
  <r>
    <s v="MEN500254"/>
    <d v="2025-10-06T00:00:00"/>
    <x v="0"/>
    <x v="3"/>
    <s v="MEN500210"/>
    <x v="10"/>
    <x v="14"/>
    <x v="69"/>
    <d v="2025-04-26T00:00:00"/>
    <m/>
    <m/>
    <m/>
    <d v="2025-04-17T00:00:00"/>
    <d v="2025-04-17T00:00:00"/>
    <x v="9"/>
    <x v="1"/>
  </r>
  <r>
    <s v="MEN500256"/>
    <d v="2025-09-30T00:00:00"/>
    <x v="0"/>
    <x v="3"/>
    <s v="MEN500002"/>
    <x v="10"/>
    <x v="48"/>
    <x v="70"/>
    <d v="2025-01-08T00:00:00"/>
    <m/>
    <s v="M"/>
    <m/>
    <d v="2025-01-03T00:00:00"/>
    <d v="2025-01-03T00:00:00"/>
    <x v="6"/>
    <x v="1"/>
  </r>
  <r>
    <s v="MEN500261"/>
    <d v="2025-09-29T00:00:00"/>
    <x v="0"/>
    <x v="3"/>
    <s v="MEN400643"/>
    <x v="0"/>
    <x v="50"/>
    <x v="71"/>
    <d v="2025-01-10T00:00:00"/>
    <m/>
    <m/>
    <m/>
    <d v="2024-09-19T00:00:00"/>
    <d v="2024-09-19T00:00:00"/>
    <x v="1"/>
    <x v="0"/>
  </r>
  <r>
    <s v="MEN500262"/>
    <d v="2025-10-15T00:00:00"/>
    <x v="6"/>
    <x v="4"/>
    <s v="MEN500027"/>
    <x v="19"/>
    <x v="19"/>
    <x v="34"/>
    <m/>
    <s v="VT 08/04 pour l'EVOL GC ( tvx pas encore effectués)"/>
    <s v="M"/>
    <n v="688547377"/>
    <d v="2025-01-15T00:00:00"/>
    <d v="2025-01-15T00:00:00"/>
    <x v="6"/>
    <x v="1"/>
  </r>
  <r>
    <s v="MEN500269"/>
    <d v="2025-09-30T00:00:00"/>
    <x v="2"/>
    <x v="5"/>
    <s v="MEN500440"/>
    <x v="6"/>
    <x v="51"/>
    <x v="72"/>
    <m/>
    <m/>
    <m/>
    <m/>
    <d v="2025-08-14T00:00:00"/>
    <d v="2025-08-14T00:00:00"/>
    <x v="12"/>
    <x v="1"/>
  </r>
  <r>
    <s v="MEN500278"/>
    <d v="2025-09-25T00:00:00"/>
    <x v="2"/>
    <x v="5"/>
    <s v="MEN500416"/>
    <x v="8"/>
    <x v="52"/>
    <x v="73"/>
    <d v="2025-07-28T00:00:00"/>
    <m/>
    <m/>
    <m/>
    <d v="2025-07-25T00:00:00"/>
    <d v="2025-07-25T00:00:00"/>
    <x v="5"/>
    <x v="1"/>
  </r>
  <r>
    <s v="MEN500280"/>
    <d v="2025-11-06T00:00:00"/>
    <x v="7"/>
    <x v="5"/>
    <s v="MEN500410"/>
    <x v="3"/>
    <x v="48"/>
    <x v="74"/>
    <s v="URGENT"/>
    <s v="MEN500002"/>
    <s v="C"/>
    <m/>
    <d v="2025-07-21T00:00:00"/>
    <d v="2025-07-21T00:00:00"/>
    <x v="5"/>
    <x v="1"/>
  </r>
  <r>
    <s v="MEN500281"/>
    <d v="2025-11-06T00:00:00"/>
    <x v="2"/>
    <x v="5"/>
    <s v="MEN500252"/>
    <x v="10"/>
    <x v="34"/>
    <x v="75"/>
    <m/>
    <m/>
    <m/>
    <m/>
    <d v="2025-05-12T00:00:00"/>
    <d v="2025-05-12T00:00:00"/>
    <x v="2"/>
    <x v="1"/>
  </r>
  <r>
    <s v="MEN500282"/>
    <d v="2025-10-15T00:00:00"/>
    <x v="2"/>
    <x v="5"/>
    <s v="MEN400690"/>
    <x v="10"/>
    <x v="53"/>
    <x v="76"/>
    <m/>
    <m/>
    <s v="C"/>
    <m/>
    <d v="2024-10-23T00:00:00"/>
    <d v="2024-10-23T00:00:00"/>
    <x v="11"/>
    <x v="0"/>
  </r>
  <r>
    <s v="MEN500283"/>
    <d v="2025-10-15T00:00:00"/>
    <x v="2"/>
    <x v="5"/>
    <s v="MEN500422"/>
    <x v="12"/>
    <x v="54"/>
    <x v="77"/>
    <d v="2025-08-04T00:00:00"/>
    <m/>
    <s v="C"/>
    <m/>
    <d v="2025-07-30T00:00:00"/>
    <d v="2025-07-30T00:00:00"/>
    <x v="5"/>
    <x v="1"/>
  </r>
  <r>
    <s v="MEN500284"/>
    <d v="2025-11-06T00:00:00"/>
    <x v="8"/>
    <x v="6"/>
    <s v="MEN400261"/>
    <x v="4"/>
    <x v="55"/>
    <x v="78"/>
    <m/>
    <m/>
    <s v="M"/>
    <m/>
    <d v="2024-04-03T00:00:00"/>
    <d v="2025-08-04T00:00:00"/>
    <x v="8"/>
    <x v="0"/>
  </r>
  <r>
    <s v="MEN500305"/>
    <d v="2025-09-25T00:00:00"/>
    <x v="1"/>
    <x v="6"/>
    <s v="MEN500247"/>
    <x v="11"/>
    <x v="56"/>
    <x v="79"/>
    <m/>
    <s v="NE PAS PRENDRE EN COMPTE"/>
    <m/>
    <m/>
    <d v="2025-05-05T00:00:00"/>
    <d v="2025-05-05T00:00:00"/>
    <x v="2"/>
    <x v="1"/>
  </r>
  <r>
    <s v="MEN500316"/>
    <d v="2025-09-30T00:00:00"/>
    <x v="1"/>
    <x v="6"/>
    <s v="MEN500423"/>
    <x v="0"/>
    <x v="56"/>
    <x v="80"/>
    <d v="2025-08-04T00:00:00"/>
    <m/>
    <s v="C"/>
    <m/>
    <d v="2025-07-31T00:00:00"/>
    <d v="2025-07-31T00:00:00"/>
    <x v="5"/>
    <x v="1"/>
  </r>
  <r>
    <s v="MEN500339"/>
    <d v="2026-02-05T00:00:00"/>
    <x v="9"/>
    <x v="6"/>
    <s v="MEN500412"/>
    <x v="0"/>
    <x v="57"/>
    <x v="81"/>
    <s v="URGENT MARDI"/>
    <m/>
    <m/>
    <m/>
    <d v="2025-07-22T00:00:00"/>
    <d v="2025-07-22T00:00:00"/>
    <x v="5"/>
    <x v="1"/>
  </r>
  <r>
    <s v="MEN500356"/>
    <d v="2025-09-29T00:00:00"/>
    <x v="10"/>
    <x v="6"/>
    <s v="MEN500364"/>
    <x v="2"/>
    <x v="58"/>
    <x v="82"/>
    <m/>
    <s v="Lié a MEN500104"/>
    <s v="M"/>
    <m/>
    <d v="2025-07-01T00:00:00"/>
    <d v="2025-07-01T00:00:00"/>
    <x v="5"/>
    <x v="1"/>
  </r>
  <r>
    <s v="MEN500364"/>
    <d v="2025-12-22T00:00:00"/>
    <x v="2"/>
    <x v="6"/>
    <s v="MEN500356"/>
    <x v="21"/>
    <x v="22"/>
    <x v="83"/>
    <m/>
    <m/>
    <m/>
    <m/>
    <d v="2025-06-24T00:00:00"/>
    <d v="2025-06-26T00:00:00"/>
    <x v="0"/>
    <x v="1"/>
  </r>
  <r>
    <s v="MEN500377"/>
    <d v="2025-10-06T00:00:00"/>
    <x v="11"/>
    <x v="6"/>
    <s v="MEN500339"/>
    <x v="0"/>
    <x v="15"/>
    <x v="84"/>
    <d v="2025-06-20T00:00:00"/>
    <m/>
    <m/>
    <m/>
    <d v="2025-06-17T00:00:00"/>
    <d v="2025-06-17T00:00:00"/>
    <x v="0"/>
    <x v="1"/>
  </r>
  <r>
    <s v="MEN500380"/>
    <d v="2025-09-30T00:00:00"/>
    <x v="12"/>
    <x v="6"/>
    <s v="MEN500280"/>
    <x v="21"/>
    <x v="19"/>
    <x v="85"/>
    <m/>
    <s v="NE PAS PRENDRE EN COMPTE"/>
    <m/>
    <m/>
    <d v="2025-05-26T00:00:00"/>
    <d v="2025-05-26T00:00:00"/>
    <x v="2"/>
    <x v="1"/>
  </r>
  <r>
    <s v="MEN500382"/>
    <d v="2025-10-15T00:00:00"/>
    <x v="13"/>
    <x v="6"/>
    <s v="MEN500262"/>
    <x v="8"/>
    <x v="24"/>
    <x v="29"/>
    <m/>
    <m/>
    <s v="M"/>
    <m/>
    <d v="2025-05-20T00:00:00"/>
    <d v="2025-05-23T00:00:00"/>
    <x v="2"/>
    <x v="1"/>
  </r>
  <r>
    <s v="MEN500388"/>
    <d v="2025-09-26T00:00:00"/>
    <x v="2"/>
    <x v="6"/>
    <s v="MEN500261"/>
    <x v="22"/>
    <x v="59"/>
    <x v="86"/>
    <d v="2025-06-10T00:00:00"/>
    <m/>
    <m/>
    <m/>
    <d v="2025-05-16T00:00:00"/>
    <d v="2025-05-16T00:00:00"/>
    <x v="2"/>
    <x v="1"/>
  </r>
  <r>
    <s v="MEN500404"/>
    <d v="2025-11-03T00:00:00"/>
    <x v="14"/>
    <x v="6"/>
    <s v="MEN500239"/>
    <x v="23"/>
    <x v="3"/>
    <x v="87"/>
    <s v="12/05 à11h "/>
    <s v="lié MEN500238"/>
    <m/>
    <m/>
    <d v="2025-04-30T00:00:00"/>
    <d v="2025-04-30T00:00:00"/>
    <x v="9"/>
    <x v="1"/>
  </r>
  <r>
    <s v="MEN500410"/>
    <d v="2025-09-19T00:00:00"/>
    <x v="15"/>
    <x v="6"/>
    <s v="MEN500223"/>
    <x v="23"/>
    <x v="30"/>
    <x v="88"/>
    <m/>
    <s v="NE PAS TENIR COMPTE"/>
    <m/>
    <m/>
    <d v="2025-04-23T00:00:00"/>
    <d v="2025-04-23T00:00:00"/>
    <x v="9"/>
    <x v="1"/>
  </r>
  <r>
    <s v="MEN500412"/>
    <d v="2026-02-04T00:00:00"/>
    <x v="2"/>
    <x v="6"/>
    <s v="MEN500183"/>
    <x v="24"/>
    <x v="28"/>
    <x v="89"/>
    <s v="7-avr."/>
    <m/>
    <s v="M"/>
    <m/>
    <d v="2025-04-03T00:00:00"/>
    <d v="2025-04-03T00:00:00"/>
    <x v="9"/>
    <x v="1"/>
  </r>
  <r>
    <s v="MEN500416"/>
    <d v="2025-09-29T00:00:00"/>
    <x v="16"/>
    <x v="6"/>
    <s v="MEN500149"/>
    <x v="0"/>
    <x v="60"/>
    <x v="90"/>
    <m/>
    <m/>
    <s v="M"/>
    <m/>
    <d v="2025-03-17T00:00:00"/>
    <d v="2025-03-24T00:00:00"/>
    <x v="3"/>
    <x v="1"/>
  </r>
  <r>
    <s v="MEN500422"/>
    <d v="2025-09-29T00:00:00"/>
    <x v="3"/>
    <x v="6"/>
    <s v="MEN500142"/>
    <x v="22"/>
    <x v="30"/>
    <x v="91"/>
    <m/>
    <s v="NE PAS TENIR COMPTE"/>
    <m/>
    <m/>
    <d v="2025-03-12T00:00:00"/>
    <d v="2025-03-12T00:00:00"/>
    <x v="3"/>
    <x v="1"/>
  </r>
  <r>
    <s v="MEN500423"/>
    <d v="2025-09-30T00:00:00"/>
    <x v="8"/>
    <x v="6"/>
    <s v="MEN500082"/>
    <x v="0"/>
    <x v="35"/>
    <x v="92"/>
    <m/>
    <m/>
    <s v="M"/>
    <m/>
    <d v="2025-02-18T00:00:00"/>
    <d v="2025-02-18T00:00:00"/>
    <x v="10"/>
    <x v="1"/>
  </r>
  <r>
    <s v="MEN500433"/>
    <d v="2025-09-23T00:00:00"/>
    <x v="17"/>
    <x v="6"/>
    <s v="MEN500079"/>
    <x v="15"/>
    <x v="34"/>
    <x v="41"/>
    <m/>
    <m/>
    <m/>
    <m/>
    <d v="2025-02-18T00:00:00"/>
    <d v="2025-02-18T00:00:00"/>
    <x v="10"/>
    <x v="1"/>
  </r>
  <r>
    <s v="MEN500435"/>
    <d v="2025-09-29T00:00:00"/>
    <x v="18"/>
    <x v="6"/>
    <s v="MEN500066"/>
    <x v="15"/>
    <x v="61"/>
    <x v="93"/>
    <m/>
    <m/>
    <s v="M"/>
    <m/>
    <d v="2025-02-12T00:00:00"/>
    <d v="2025-02-12T00:00:00"/>
    <x v="10"/>
    <x v="1"/>
  </r>
  <r>
    <s v="MEN500436"/>
    <d v="2025-09-25T00:00:00"/>
    <x v="19"/>
    <x v="6"/>
    <s v="MEN500046"/>
    <x v="8"/>
    <x v="62"/>
    <x v="94"/>
    <m/>
    <m/>
    <s v="M"/>
    <m/>
    <d v="2025-01-29T00:00:00"/>
    <d v="2025-01-29T00:00:00"/>
    <x v="6"/>
    <x v="1"/>
  </r>
  <r>
    <s v="MEN500437"/>
    <d v="2025-09-26T00:00:00"/>
    <x v="8"/>
    <x v="6"/>
    <s v="MEN500040"/>
    <x v="15"/>
    <x v="34"/>
    <x v="95"/>
    <m/>
    <m/>
    <m/>
    <m/>
    <d v="2025-01-24T00:00:00"/>
    <d v="2025-01-24T00:00:00"/>
    <x v="6"/>
    <x v="1"/>
  </r>
  <r>
    <s v="MEN500438"/>
    <d v="2025-09-30T00:00:00"/>
    <x v="10"/>
    <x v="6"/>
    <s v="MEN500038"/>
    <x v="0"/>
    <x v="19"/>
    <x v="96"/>
    <d v="2025-02-06T00:00:00"/>
    <m/>
    <m/>
    <m/>
    <d v="2025-01-23T00:00:00"/>
    <d v="2025-01-23T00:00:00"/>
    <x v="6"/>
    <x v="1"/>
  </r>
  <r>
    <s v="MEN500439"/>
    <d v="2025-09-26T00:00:00"/>
    <x v="20"/>
    <x v="6"/>
    <s v="MEN500028"/>
    <x v="10"/>
    <x v="63"/>
    <x v="97"/>
    <d v="2025-01-24T00:00:00"/>
    <s v="DOSSIER LIEE A LA MEN300841 "/>
    <m/>
    <m/>
    <d v="2025-01-15T00:00:00"/>
    <d v="2025-01-15T00:00:00"/>
    <x v="6"/>
    <x v="1"/>
  </r>
  <r>
    <s v="MEN500440"/>
    <d v="2025-09-29T00:00:00"/>
    <x v="13"/>
    <x v="6"/>
    <s v="MEN500026"/>
    <x v="25"/>
    <x v="16"/>
    <x v="98"/>
    <m/>
    <m/>
    <s v="M"/>
    <m/>
    <d v="2025-01-15T00:00:00"/>
    <d v="2025-01-15T00:00:00"/>
    <x v="6"/>
    <x v="1"/>
  </r>
  <r>
    <s v="MEN500454"/>
    <d v="2025-10-21T00:00:00"/>
    <x v="21"/>
    <x v="6"/>
    <s v="MEN400749"/>
    <x v="11"/>
    <x v="64"/>
    <x v="99"/>
    <m/>
    <m/>
    <m/>
    <m/>
    <d v="2024-12-02T00:00:00"/>
    <d v="2024-12-02T00:00:00"/>
    <x v="4"/>
    <x v="0"/>
  </r>
  <r>
    <s v="MEN500455"/>
    <d v="2025-09-30T00:00:00"/>
    <x v="8"/>
    <x v="6"/>
    <s v="MEN400702"/>
    <x v="11"/>
    <x v="65"/>
    <x v="100"/>
    <m/>
    <s v="NE PAS TENIR COMPTE"/>
    <m/>
    <m/>
    <d v="2024-10-28T00:00:00"/>
    <d v="2025-03-18T00:00:00"/>
    <x v="11"/>
    <x v="0"/>
  </r>
  <r>
    <s v="MEN500457"/>
    <d v="2025-09-19T00:00:00"/>
    <x v="13"/>
    <x v="6"/>
    <s v="MEN400115"/>
    <x v="26"/>
    <x v="66"/>
    <x v="54"/>
    <m/>
    <m/>
    <m/>
    <m/>
    <d v="2024-02-19T00:00:00"/>
    <d v="2025-04-04T00:00:00"/>
    <x v="10"/>
    <x v="0"/>
  </r>
  <r>
    <s v="MEN500458"/>
    <d v="2025-09-19T00:00:00"/>
    <x v="15"/>
    <x v="6"/>
    <s v="MEN400018"/>
    <x v="21"/>
    <x v="56"/>
    <x v="101"/>
    <m/>
    <m/>
    <m/>
    <m/>
    <d v="2024-01-10T00:00:00"/>
    <d v="2025-03-18T00:00:00"/>
    <x v="6"/>
    <x v="0"/>
  </r>
  <r>
    <s v="MEN500459"/>
    <d v="2025-09-30T00:00:00"/>
    <x v="2"/>
    <x v="6"/>
    <s v="MEN300841"/>
    <x v="10"/>
    <x v="63"/>
    <x v="97"/>
    <s v="VT 04/04: "/>
    <s v="Reagrd client existant jusqu'à la future chambre à poser (à la charge de RIP)  LIE A LA MEN500028"/>
    <m/>
    <n v="672383426"/>
    <d v="2023-10-19T00:00:00"/>
    <d v="2025-01-10T00:00:00"/>
    <x v="11"/>
    <x v="3"/>
  </r>
  <r>
    <s v="MEN500460"/>
    <d v="2025-09-30T00:00:00"/>
    <x v="22"/>
    <x v="6"/>
    <s v="MEN500404"/>
    <x v="20"/>
    <x v="3"/>
    <x v="102"/>
    <d v="2025-07-28T00:00:00"/>
    <s v="Liée MEN500127 "/>
    <s v="C"/>
    <m/>
    <d v="2025-07-17T00:00:00"/>
    <d v="2025-07-17T00:00:00"/>
    <x v="5"/>
    <x v="1"/>
  </r>
  <r>
    <s v="MEN500465"/>
    <d v="2025-09-30T00:00:00"/>
    <x v="0"/>
    <x v="6"/>
    <s v="MEN500307"/>
    <x v="11"/>
    <x v="67"/>
    <x v="103"/>
    <s v="Mardi"/>
    <m/>
    <m/>
    <m/>
    <d v="2025-06-02T00:00:00"/>
    <d v="2025-06-02T00:00:00"/>
    <x v="0"/>
    <x v="1"/>
  </r>
  <r>
    <s v="MEN500472"/>
    <d v="2025-09-26T00:00:00"/>
    <x v="15"/>
    <x v="6"/>
    <s v="MEN400673"/>
    <x v="11"/>
    <x v="43"/>
    <x v="53"/>
    <m/>
    <s v="NE PAS TENIR COMPTE"/>
    <m/>
    <m/>
    <d v="2024-10-09T00:00:00"/>
    <d v="2025-03-18T00:00:00"/>
    <x v="11"/>
    <x v="0"/>
  </r>
  <r>
    <s v="MEN500475"/>
    <d v="2025-09-30T00:00:00"/>
    <x v="23"/>
    <x v="6"/>
    <s v="MEN400080"/>
    <x v="17"/>
    <x v="44"/>
    <x v="104"/>
    <m/>
    <s v="NE PAS TENIR COMPTE"/>
    <m/>
    <m/>
    <d v="2024-02-06T00:00:00"/>
    <d v="2025-03-31T00:00:00"/>
    <x v="10"/>
    <x v="0"/>
  </r>
  <r>
    <m/>
    <m/>
    <x v="24"/>
    <x v="6"/>
    <s v="MEN500235"/>
    <x v="11"/>
    <x v="27"/>
    <x v="105"/>
    <m/>
    <m/>
    <m/>
    <m/>
    <d v="2025-04-29T00:00:00"/>
    <s v="29/042025"/>
    <x v="9"/>
    <x v="1"/>
  </r>
  <r>
    <m/>
    <m/>
    <x v="0"/>
    <x v="6"/>
    <s v="MEN500336"/>
    <x v="23"/>
    <x v="66"/>
    <x v="106"/>
    <m/>
    <s v=" LIEE MEN500126"/>
    <m/>
    <m/>
    <d v="2025-06-16T00:00:00"/>
    <d v="2025-06-16T00:00:00"/>
    <x v="0"/>
    <x v="1"/>
  </r>
  <r>
    <m/>
    <m/>
    <x v="25"/>
    <x v="7"/>
    <s v="MEN300571"/>
    <x v="6"/>
    <x v="68"/>
    <x v="107"/>
    <d v="2025-03-03T00:00:00"/>
    <m/>
    <m/>
    <m/>
    <d v="2023-06-22T00:00:00"/>
    <d v="2025-01-17T00:00:00"/>
    <x v="0"/>
    <x v="3"/>
  </r>
  <r>
    <m/>
    <m/>
    <x v="13"/>
    <x v="7"/>
    <s v="MEN400779"/>
    <x v="19"/>
    <x v="28"/>
    <x v="89"/>
    <d v="2025-01-13T00:00:00"/>
    <s v="FIN TRAVAUX: entre fin juin et fin septembre"/>
    <s v="M"/>
    <m/>
    <d v="2024-12-30T00:00:00"/>
    <d v="2024-12-30T00:00:00"/>
    <x v="4"/>
    <x v="0"/>
  </r>
  <r>
    <m/>
    <m/>
    <x v="24"/>
    <x v="8"/>
    <s v="MEN400257"/>
    <x v="19"/>
    <x v="55"/>
    <x v="78"/>
    <s v="Retour le 15/09"/>
    <s v="14/04: FIN TRAVAUX JUIN 2025"/>
    <s v="M"/>
    <n v="628497810"/>
    <d v="2024-04-02T00:00:00"/>
    <d v="2025-03-18T00:00:00"/>
    <x v="9"/>
    <x v="0"/>
  </r>
  <r>
    <m/>
    <m/>
    <x v="21"/>
    <x v="8"/>
    <s v="MEN500278"/>
    <x v="18"/>
    <x v="69"/>
    <x v="108"/>
    <m/>
    <m/>
    <s v="M"/>
    <m/>
    <d v="2025-05-26T00:00:00"/>
    <d v="2025-05-26T00:00:00"/>
    <x v="2"/>
    <x v="1"/>
  </r>
  <r>
    <m/>
    <m/>
    <x v="1"/>
    <x v="8"/>
    <s v="MEN500438"/>
    <x v="27"/>
    <x v="22"/>
    <x v="83"/>
    <m/>
    <m/>
    <m/>
    <m/>
    <d v="2025-08-14T00:00:00"/>
    <d v="2025-08-14T00:00:00"/>
    <x v="8"/>
    <x v="1"/>
  </r>
  <r>
    <m/>
    <m/>
    <x v="3"/>
    <x v="8"/>
    <s v="MEN500437"/>
    <x v="21"/>
    <x v="36"/>
    <x v="44"/>
    <m/>
    <m/>
    <m/>
    <m/>
    <d v="2025-08-19T00:00:00"/>
    <d v="2025-08-19T00:00:00"/>
    <x v="8"/>
    <x v="1"/>
  </r>
  <r>
    <m/>
    <m/>
    <x v="21"/>
    <x v="8"/>
    <s v="MEN500436"/>
    <x v="27"/>
    <x v="36"/>
    <x v="44"/>
    <m/>
    <m/>
    <m/>
    <m/>
    <d v="2025-08-19T00:00:00"/>
    <d v="2025-08-19T00:00:00"/>
    <x v="8"/>
    <x v="1"/>
  </r>
  <r>
    <m/>
    <m/>
    <x v="13"/>
    <x v="8"/>
    <s v="MEN500382"/>
    <x v="27"/>
    <x v="70"/>
    <x v="109"/>
    <d v="2025-07-25T00:00:00"/>
    <m/>
    <m/>
    <m/>
    <d v="2025-07-08T00:00:00"/>
    <d v="2025-07-09T00:00:00"/>
    <x v="5"/>
    <x v="1"/>
  </r>
  <r>
    <m/>
    <m/>
    <x v="15"/>
    <x v="8"/>
    <s v="MEN500377"/>
    <x v="19"/>
    <x v="69"/>
    <x v="110"/>
    <m/>
    <s v="Liée MEN500044"/>
    <s v="M"/>
    <m/>
    <d v="2025-07-07T00:00:00"/>
    <d v="2025-07-08T00:00:00"/>
    <x v="8"/>
    <x v="1"/>
  </r>
  <r>
    <m/>
    <m/>
    <x v="12"/>
    <x v="8"/>
    <s v="MEN500284"/>
    <x v="21"/>
    <x v="2"/>
    <x v="111"/>
    <m/>
    <s v="NE PAS PRENDRE EN COMPTE"/>
    <m/>
    <m/>
    <d v="2025-05-26T00:00:00"/>
    <d v="2025-05-26T00:00:00"/>
    <x v="2"/>
    <x v="1"/>
  </r>
  <r>
    <m/>
    <m/>
    <x v="15"/>
    <x v="8"/>
    <s v="MEN500254"/>
    <x v="19"/>
    <x v="20"/>
    <x v="112"/>
    <s v=" lundi le 26/05"/>
    <m/>
    <s v="M"/>
    <m/>
    <d v="2025-05-13T00:00:00"/>
    <d v="2025-05-13T00:00:00"/>
    <x v="2"/>
    <x v="1"/>
  </r>
  <r>
    <m/>
    <m/>
    <x v="15"/>
    <x v="8"/>
    <s v="MEN500246"/>
    <x v="22"/>
    <x v="71"/>
    <x v="113"/>
    <m/>
    <m/>
    <m/>
    <m/>
    <d v="2025-05-05T00:00:00"/>
    <d v="2025-05-05T00:00:00"/>
    <x v="2"/>
    <x v="1"/>
  </r>
  <r>
    <m/>
    <m/>
    <x v="15"/>
    <x v="8"/>
    <s v="MEN500219"/>
    <x v="19"/>
    <x v="20"/>
    <x v="114"/>
    <s v="21/05 à 14h"/>
    <m/>
    <s v="M"/>
    <m/>
    <d v="2025-04-22T00:00:00"/>
    <d v="2025-04-23T00:00:00"/>
    <x v="9"/>
    <x v="1"/>
  </r>
  <r>
    <m/>
    <m/>
    <x v="3"/>
    <x v="8"/>
    <s v="MEN500189"/>
    <x v="21"/>
    <x v="72"/>
    <x v="47"/>
    <m/>
    <s v="NE PAS PRENDRE EN COMPTE"/>
    <m/>
    <m/>
    <d v="2025-04-07T00:00:00"/>
    <d v="2025-04-07T00:00:00"/>
    <x v="9"/>
    <x v="1"/>
  </r>
  <r>
    <m/>
    <m/>
    <x v="13"/>
    <x v="8"/>
    <s v="MEN500188"/>
    <x v="27"/>
    <x v="72"/>
    <x v="47"/>
    <m/>
    <s v="NE PAS TENIR COMPTE"/>
    <m/>
    <m/>
    <d v="2025-04-07T00:00:00"/>
    <d v="2025-04-07T00:00:00"/>
    <x v="9"/>
    <x v="1"/>
  </r>
  <r>
    <m/>
    <m/>
    <x v="26"/>
    <x v="8"/>
    <s v="MEN500032"/>
    <x v="22"/>
    <x v="73"/>
    <x v="115"/>
    <m/>
    <m/>
    <m/>
    <m/>
    <d v="2025-01-17T00:00:00"/>
    <d v="2025-01-17T00:00:00"/>
    <x v="6"/>
    <x v="1"/>
  </r>
  <r>
    <m/>
    <m/>
    <x v="27"/>
    <x v="8"/>
    <s v="MEN200889"/>
    <x v="20"/>
    <x v="74"/>
    <x v="116"/>
    <m/>
    <s v="LIEE MEN200785"/>
    <m/>
    <m/>
    <d v="2022-09-06T00:00:00"/>
    <d v="2025-08-04T00:00:00"/>
    <x v="1"/>
    <x v="4"/>
  </r>
  <r>
    <m/>
    <m/>
    <x v="28"/>
    <x v="8"/>
    <s v="MEN500433"/>
    <x v="28"/>
    <x v="75"/>
    <x v="117"/>
    <s v="Avec le client le 20/08 à 13h30"/>
    <m/>
    <s v="C"/>
    <m/>
    <d v="2025-08-11T00:00:00"/>
    <d v="2025-08-08T00:00:00"/>
    <x v="12"/>
    <x v="1"/>
  </r>
  <r>
    <m/>
    <m/>
    <x v="21"/>
    <x v="8"/>
    <s v="MEN300765"/>
    <x v="18"/>
    <x v="60"/>
    <x v="118"/>
    <s v="06/06: "/>
    <s v="TVX OK"/>
    <m/>
    <n v="615381503"/>
    <d v="2023-09-15T00:00:00"/>
    <d v="2025-01-17T00:00:00"/>
    <x v="1"/>
    <x v="3"/>
  </r>
  <r>
    <m/>
    <m/>
    <x v="13"/>
    <x v="8"/>
    <s v="MEN500283"/>
    <x v="27"/>
    <x v="2"/>
    <x v="111"/>
    <m/>
    <s v="NE PAS PRENDRE EN COMPTE"/>
    <m/>
    <m/>
    <d v="2025-05-26T00:00:00"/>
    <d v="2025-05-26T00:00:00"/>
    <x v="2"/>
    <x v="1"/>
  </r>
  <r>
    <m/>
    <m/>
    <x v="13"/>
    <x v="8"/>
    <s v="MEN500282"/>
    <x v="21"/>
    <x v="76"/>
    <x v="119"/>
    <m/>
    <s v="NE PAS PRENDRE EN COMPTE"/>
    <m/>
    <m/>
    <d v="2025-05-26T00:00:00"/>
    <d v="2025-05-26T00:00:00"/>
    <x v="2"/>
    <x v="1"/>
  </r>
  <r>
    <m/>
    <m/>
    <x v="12"/>
    <x v="8"/>
    <s v="MEN500281"/>
    <x v="27"/>
    <x v="76"/>
    <x v="119"/>
    <m/>
    <s v="NE PAS PRENDRE EN COMPTE"/>
    <m/>
    <m/>
    <d v="2025-05-26T00:00:00"/>
    <d v="2025-05-26T00:00:00"/>
    <x v="2"/>
    <x v="1"/>
  </r>
  <r>
    <m/>
    <m/>
    <x v="18"/>
    <x v="8"/>
    <s v="MEN500201"/>
    <x v="21"/>
    <x v="15"/>
    <x v="120"/>
    <m/>
    <s v="Dossier inexistant"/>
    <m/>
    <m/>
    <d v="2025-04-11T00:00:00"/>
    <d v="2025-04-11T00:00:00"/>
    <x v="9"/>
    <x v="1"/>
  </r>
  <r>
    <m/>
    <m/>
    <x v="29"/>
    <x v="8"/>
    <s v="MEN400595"/>
    <x v="21"/>
    <x v="75"/>
    <x v="121"/>
    <d v="2025-04-14T00:00:00"/>
    <s v="Dissim: Le dossier ne comporte aucun contact"/>
    <m/>
    <m/>
    <d v="2024-08-20T00:00:00"/>
    <d v="2025-03-18T00:00:00"/>
    <x v="12"/>
    <x v="0"/>
  </r>
  <r>
    <m/>
    <m/>
    <x v="30"/>
    <x v="8"/>
    <s v="MEN400515"/>
    <x v="11"/>
    <x v="34"/>
    <x v="82"/>
    <d v="2025-01-28T00:00:00"/>
    <s v="à voir avec mohamed"/>
    <m/>
    <m/>
    <d v="2024-07-09T00:00:00"/>
    <d v="2025-01-23T00:00:00"/>
    <x v="5"/>
    <x v="0"/>
  </r>
  <r>
    <m/>
    <m/>
    <x v="31"/>
    <x v="8"/>
    <s v="MEN400337"/>
    <x v="21"/>
    <x v="3"/>
    <x v="122"/>
    <d v="2025-04-14T00:00:00"/>
    <s v=" Dissim: Le dossier ne comporte aucun contact"/>
    <m/>
    <m/>
    <d v="2024-05-02T00:00:00"/>
    <d v="2025-03-18T00:00:00"/>
    <x v="2"/>
    <x v="0"/>
  </r>
  <r>
    <m/>
    <m/>
    <x v="32"/>
    <x v="8"/>
    <s v="MEN400334"/>
    <x v="21"/>
    <x v="3"/>
    <x v="123"/>
    <d v="2025-04-14T00:00:00"/>
    <s v="Dissim: Le dossier ne comporte aucun contact"/>
    <m/>
    <m/>
    <d v="2024-05-02T00:00:00"/>
    <d v="2025-03-18T00:00:00"/>
    <x v="2"/>
    <x v="0"/>
  </r>
  <r>
    <m/>
    <m/>
    <x v="2"/>
    <x v="8"/>
    <s v="MEN400331"/>
    <x v="21"/>
    <x v="3"/>
    <x v="49"/>
    <m/>
    <m/>
    <m/>
    <m/>
    <d v="2024-05-02T00:00:00"/>
    <d v="2025-03-18T00:00:00"/>
    <x v="8"/>
    <x v="0"/>
  </r>
  <r>
    <m/>
    <m/>
    <x v="13"/>
    <x v="8"/>
    <s v="MEN400292"/>
    <x v="21"/>
    <x v="77"/>
    <x v="124"/>
    <m/>
    <m/>
    <m/>
    <m/>
    <d v="2024-04-17T00:00:00"/>
    <d v="2025-03-18T00:00:00"/>
    <x v="9"/>
    <x v="0"/>
  </r>
  <r>
    <m/>
    <m/>
    <x v="3"/>
    <x v="8"/>
    <s v="MEN400290"/>
    <x v="27"/>
    <x v="77"/>
    <x v="124"/>
    <m/>
    <m/>
    <m/>
    <m/>
    <d v="2024-04-17T00:00:00"/>
    <d v="2025-03-18T00:00:00"/>
    <x v="9"/>
    <x v="0"/>
  </r>
  <r>
    <m/>
    <m/>
    <x v="12"/>
    <x v="8"/>
    <s v="MEN400056"/>
    <x v="21"/>
    <x v="36"/>
    <x v="125"/>
    <m/>
    <m/>
    <m/>
    <m/>
    <d v="2024-01-26T00:00:00"/>
    <d v="2025-03-18T00:00:00"/>
    <x v="6"/>
    <x v="0"/>
  </r>
  <r>
    <m/>
    <m/>
    <x v="12"/>
    <x v="8"/>
    <s v="MEN400055"/>
    <x v="27"/>
    <x v="36"/>
    <x v="125"/>
    <m/>
    <m/>
    <m/>
    <m/>
    <d v="2024-01-26T00:00:00"/>
    <d v="2025-03-18T00:00:00"/>
    <x v="6"/>
    <x v="0"/>
  </r>
  <r>
    <m/>
    <m/>
    <x v="13"/>
    <x v="8"/>
    <s v="MEN300291"/>
    <x v="27"/>
    <x v="43"/>
    <x v="54"/>
    <m/>
    <m/>
    <m/>
    <m/>
    <d v="2023-03-27T00:00:00"/>
    <d v="2025-03-18T00:00:00"/>
    <x v="3"/>
    <x v="3"/>
  </r>
  <r>
    <m/>
    <m/>
    <x v="3"/>
    <x v="8"/>
    <s v="MEN300154"/>
    <x v="21"/>
    <x v="78"/>
    <x v="47"/>
    <m/>
    <s v="Dossier inexistant"/>
    <m/>
    <m/>
    <d v="2023-02-20T00:00:00"/>
    <d v="2025-03-18T00:00:00"/>
    <x v="10"/>
    <x v="3"/>
  </r>
  <r>
    <m/>
    <m/>
    <x v="17"/>
    <x v="8"/>
    <s v="MEN400152"/>
    <x v="21"/>
    <x v="20"/>
    <x v="126"/>
    <m/>
    <m/>
    <m/>
    <m/>
    <d v="2024-03-06T00:00:00"/>
    <d v="2025-03-18T00:00:00"/>
    <x v="3"/>
    <x v="0"/>
  </r>
  <r>
    <m/>
    <m/>
    <x v="28"/>
    <x v="9"/>
    <s v="MEN400744"/>
    <x v="8"/>
    <x v="79"/>
    <x v="127"/>
    <s v="13/05:"/>
    <s v="Enedis a modifié la solution initialement proposée._x000a_14/04:je dois rappeler demain l'après midi "/>
    <m/>
    <n v="683567963"/>
    <d v="2024-11-27T00:00:00"/>
    <d v="2024-11-28T00:00:00"/>
    <x v="7"/>
    <x v="0"/>
  </r>
  <r>
    <m/>
    <m/>
    <x v="1"/>
    <x v="9"/>
    <s v="MEN500316"/>
    <x v="2"/>
    <x v="20"/>
    <x v="112"/>
    <m/>
    <m/>
    <s v="M"/>
    <m/>
    <d v="2025-06-05T00:00:00"/>
    <s v="5//06/2025"/>
    <x v="0"/>
    <x v="1"/>
  </r>
  <r>
    <m/>
    <m/>
    <x v="21"/>
    <x v="9"/>
    <s v="MEN500305"/>
    <x v="6"/>
    <x v="80"/>
    <x v="128"/>
    <d v="2025-06-11T00:00:00"/>
    <m/>
    <m/>
    <m/>
    <d v="2025-06-02T00:00:00"/>
    <d v="2025-06-02T00:00:00"/>
    <x v="0"/>
    <x v="1"/>
  </r>
  <r>
    <m/>
    <m/>
    <x v="15"/>
    <x v="9"/>
    <s v="MEN500221"/>
    <x v="19"/>
    <x v="30"/>
    <x v="129"/>
    <s v="13/05 à15h "/>
    <m/>
    <s v="M"/>
    <m/>
    <d v="2025-04-23T00:00:00"/>
    <d v="2025-04-23T00:00:00"/>
    <x v="9"/>
    <x v="1"/>
  </r>
  <r>
    <m/>
    <m/>
    <x v="33"/>
    <x v="9"/>
    <s v="MEN500191"/>
    <x v="19"/>
    <x v="81"/>
    <x v="130"/>
    <s v="25/04/2025 à9h"/>
    <s v="13/05: client injoignable, un mail a été envoyé "/>
    <s v="M"/>
    <s v="06 71 81 01 05"/>
    <d v="2025-04-07T00:00:00"/>
    <d v="2025-04-07T00:00:00"/>
    <x v="9"/>
    <x v="1"/>
  </r>
  <r>
    <m/>
    <m/>
    <x v="6"/>
    <x v="9"/>
    <s v="MEN500177"/>
    <x v="19"/>
    <x v="82"/>
    <x v="18"/>
    <s v="VT OK"/>
    <m/>
    <s v="M"/>
    <n v="669717762"/>
    <d v="2025-03-31T00:00:00"/>
    <d v="2025-03-31T00:00:00"/>
    <x v="3"/>
    <x v="1"/>
  </r>
  <r>
    <m/>
    <m/>
    <x v="21"/>
    <x v="9"/>
    <s v="MEN500153"/>
    <x v="19"/>
    <x v="83"/>
    <x v="131"/>
    <s v="13/05:  "/>
    <s v=" Le client a refusé le devis (6m de GC en extérieur), qu’il juge trop cher._x000a_Les travaux sont donc annulés de son côté. "/>
    <s v="M"/>
    <n v="684505931"/>
    <d v="2025-03-18T00:00:00"/>
    <d v="2025-03-18T00:00:00"/>
    <x v="3"/>
    <x v="1"/>
  </r>
  <r>
    <m/>
    <m/>
    <x v="24"/>
    <x v="9"/>
    <s v="MEN500127"/>
    <x v="19"/>
    <x v="3"/>
    <x v="102"/>
    <s v="19/03/2025 14h"/>
    <s v="VT 19/03: Travaux prévus pour finalisation dans deux mois."/>
    <s v="C"/>
    <m/>
    <d v="2025-03-10T00:00:00"/>
    <d v="2025-03-10T00:00:00"/>
    <x v="3"/>
    <x v="1"/>
  </r>
  <r>
    <m/>
    <m/>
    <x v="15"/>
    <x v="9"/>
    <s v="MEN500125"/>
    <x v="19"/>
    <x v="28"/>
    <x v="18"/>
    <s v="RDV 18/03 10h30"/>
    <s v="13/05: client injoignable, un mail a été envoyé"/>
    <s v="M"/>
    <n v="466473331"/>
    <d v="2025-03-07T00:00:00"/>
    <d v="2025-03-07T00:00:00"/>
    <x v="3"/>
    <x v="1"/>
  </r>
  <r>
    <m/>
    <m/>
    <x v="13"/>
    <x v="9"/>
    <s v="MEN500104"/>
    <x v="19"/>
    <x v="34"/>
    <x v="132"/>
    <m/>
    <s v="Xavier"/>
    <s v="M"/>
    <n v="610820628"/>
    <d v="2025-02-27T00:00:00"/>
    <d v="2025-02-27T00:00:00"/>
    <x v="10"/>
    <x v="1"/>
  </r>
  <r>
    <m/>
    <m/>
    <x v="3"/>
    <x v="9"/>
    <s v="MEN500099"/>
    <x v="4"/>
    <x v="23"/>
    <x v="133"/>
    <s v="13/05:"/>
    <s v="LIE MEN500052:  Les travaux sont prévus pour la semaine prochaine."/>
    <s v="M"/>
    <m/>
    <d v="2025-02-26T00:00:00"/>
    <d v="2025-02-26T00:00:00"/>
    <x v="10"/>
    <x v="1"/>
  </r>
  <r>
    <m/>
    <m/>
    <x v="17"/>
    <x v="9"/>
    <s v="MEN500087"/>
    <x v="4"/>
    <x v="19"/>
    <x v="34"/>
    <m/>
    <s v="Dossier inexistant"/>
    <s v="M"/>
    <m/>
    <d v="2025-02-19T00:00:00"/>
    <d v="2025-02-19T00:00:00"/>
    <x v="10"/>
    <x v="1"/>
  </r>
  <r>
    <m/>
    <m/>
    <x v="5"/>
    <x v="9"/>
    <s v="MEN500052"/>
    <x v="19"/>
    <x v="23"/>
    <x v="133"/>
    <m/>
    <s v="13/05: Les travaux sont prévus pour la semaine prochaine."/>
    <s v="M"/>
    <n v="628497810"/>
    <d v="2025-02-04T00:00:00"/>
    <d v="2025-02-04T00:00:00"/>
    <x v="10"/>
    <x v="1"/>
  </r>
  <r>
    <m/>
    <m/>
    <x v="17"/>
    <x v="9"/>
    <s v="MEN500042"/>
    <x v="19"/>
    <x v="31"/>
    <x v="38"/>
    <s v="08/04 9H"/>
    <s v="VT 08/04: tvx pas encore effectués"/>
    <s v="M"/>
    <n v="666323841"/>
    <d v="2025-01-29T00:00:00"/>
    <d v="2025-01-29T00:00:00"/>
    <x v="6"/>
    <x v="1"/>
  </r>
  <r>
    <m/>
    <m/>
    <x v="2"/>
    <x v="9"/>
    <s v="MEN500029"/>
    <x v="19"/>
    <x v="23"/>
    <x v="134"/>
    <d v="2025-01-28T00:00:00"/>
    <m/>
    <s v="M"/>
    <m/>
    <d v="2025-01-16T00:00:00"/>
    <d v="2025-01-16T00:00:00"/>
    <x v="6"/>
    <x v="1"/>
  </r>
  <r>
    <m/>
    <m/>
    <x v="1"/>
    <x v="9"/>
    <s v="MEN400695"/>
    <x v="29"/>
    <x v="21"/>
    <x v="135"/>
    <m/>
    <s v="Fin de travaux fin 06/2025"/>
    <s v="M"/>
    <m/>
    <d v="2024-10-25T00:00:00"/>
    <d v="2024-10-28T00:00:00"/>
    <x v="11"/>
    <x v="0"/>
  </r>
  <r>
    <m/>
    <m/>
    <x v="13"/>
    <x v="9"/>
    <s v="MEN400649"/>
    <x v="19"/>
    <x v="3"/>
    <x v="136"/>
    <s v="13/05:"/>
    <s v="Les travaux ne sont pas encore terminés, le client va nous contacter."/>
    <s v="M"/>
    <n v="610820628"/>
    <d v="2024-09-24T00:00:00"/>
    <d v="2024-09-24T00:00:00"/>
    <x v="1"/>
    <x v="0"/>
  </r>
  <r>
    <m/>
    <m/>
    <x v="17"/>
    <x v="9"/>
    <s v="MEN200785"/>
    <x v="19"/>
    <x v="74"/>
    <x v="137"/>
    <s v="24/02 :"/>
    <s v=" Le client ne va pas effectuer les travaux de remplacement des regards posés par des regards de télécom. Il les a utilisées pour l’électricité. Il nous enverra les photos par mail."/>
    <s v="M"/>
    <s v="06 37 84 57 03"/>
    <d v="2022-07-22T00:00:00"/>
    <d v="2024-10-07T00:00:00"/>
    <x v="5"/>
    <x v="4"/>
  </r>
  <r>
    <m/>
    <m/>
    <x v="3"/>
    <x v="9"/>
    <s v="MEN500388"/>
    <x v="10"/>
    <x v="84"/>
    <x v="138"/>
    <d v="2025-07-16T00:00:00"/>
    <m/>
    <m/>
    <m/>
    <d v="2025-07-11T00:00:00"/>
    <d v="2025-07-11T00:00:00"/>
    <x v="5"/>
    <x v="1"/>
  </r>
  <r>
    <m/>
    <m/>
    <x v="2"/>
    <x v="10"/>
    <s v="MEN500126"/>
    <x v="22"/>
    <x v="66"/>
    <x v="139"/>
    <m/>
    <s v="NE PAS TENIR COMPTE"/>
    <m/>
    <m/>
    <d v="2025-03-07T00:00:00"/>
    <d v="2025-03-07T00:00:00"/>
    <x v="3"/>
    <x v="1"/>
  </r>
  <r>
    <m/>
    <m/>
    <x v="1"/>
    <x v="10"/>
    <s v="MEN500256"/>
    <x v="27"/>
    <x v="85"/>
    <x v="140"/>
    <d v="2025-05-27T00:00:00"/>
    <s v="VIDEO OBLIGATOIRE "/>
    <m/>
    <m/>
    <d v="2025-05-14T00:00:00"/>
    <d v="2025-05-14T00:00:00"/>
    <x v="2"/>
    <x v="1"/>
  </r>
  <r>
    <m/>
    <m/>
    <x v="34"/>
    <x v="10"/>
    <s v="MEN500161"/>
    <x v="10"/>
    <x v="86"/>
    <x v="141"/>
    <d v="2025-08-06T00:00:00"/>
    <m/>
    <m/>
    <m/>
    <d v="2025-03-19T00:00:00"/>
    <d v="2025-03-19T00:00:00"/>
    <x v="3"/>
    <x v="1"/>
  </r>
  <r>
    <m/>
    <m/>
    <x v="2"/>
    <x v="10"/>
    <s v="MEN500037"/>
    <x v="1"/>
    <x v="38"/>
    <x v="142"/>
    <d v="2025-02-04T00:00:00"/>
    <m/>
    <s v="M"/>
    <m/>
    <d v="2025-01-22T00:00:00"/>
    <d v="2025-01-22T00:00:00"/>
    <x v="6"/>
    <x v="1"/>
  </r>
  <r>
    <m/>
    <m/>
    <x v="8"/>
    <x v="10"/>
    <s v="MEN400743"/>
    <x v="14"/>
    <x v="87"/>
    <x v="143"/>
    <m/>
    <m/>
    <m/>
    <m/>
    <d v="2024-11-27T00:00:00"/>
    <d v="2024-11-28T00:00:00"/>
    <x v="7"/>
    <x v="0"/>
  </r>
  <r>
    <m/>
    <m/>
    <x v="7"/>
    <x v="10"/>
    <s v="MEN500457"/>
    <x v="23"/>
    <x v="59"/>
    <x v="47"/>
    <m/>
    <m/>
    <m/>
    <m/>
    <d v="2025-09-02T00:00:00"/>
    <d v="2025-09-02T00:00:00"/>
    <x v="1"/>
    <x v="1"/>
  </r>
  <r>
    <m/>
    <m/>
    <x v="1"/>
    <x v="10"/>
    <s v="MEN500459"/>
    <x v="1"/>
    <x v="1"/>
    <x v="1"/>
    <s v="/RDV 09/09/2025 09:00/ "/>
    <m/>
    <m/>
    <m/>
    <d v="2025-09-03T00:00:00"/>
    <d v="2025-09-03T00:00:00"/>
    <x v="1"/>
    <x v="1"/>
  </r>
  <r>
    <m/>
    <m/>
    <x v="23"/>
    <x v="10"/>
    <s v="MEN500454"/>
    <x v="27"/>
    <x v="88"/>
    <x v="144"/>
    <m/>
    <m/>
    <m/>
    <m/>
    <d v="2025-08-28T00:00:00"/>
    <d v="2025-08-28T00:00:00"/>
    <x v="12"/>
    <x v="1"/>
  </r>
  <r>
    <m/>
    <m/>
    <x v="1"/>
    <x v="10"/>
    <s v="MEN500465"/>
    <x v="3"/>
    <x v="50"/>
    <x v="145"/>
    <d v="2025-09-15T00:00:00"/>
    <m/>
    <s v="C"/>
    <m/>
    <d v="2025-09-08T00:00:00"/>
    <d v="2025-09-08T00:00:00"/>
    <x v="1"/>
    <x v="1"/>
  </r>
  <r>
    <m/>
    <m/>
    <x v="5"/>
    <x v="10"/>
    <s v="MEN500145"/>
    <x v="11"/>
    <x v="89"/>
    <x v="146"/>
    <m/>
    <s v="NE PAS TENIR COMPTE"/>
    <m/>
    <m/>
    <d v="2025-03-13T00:00:00"/>
    <d v="2025-03-13T00:00:00"/>
    <x v="3"/>
    <x v="1"/>
  </r>
  <r>
    <m/>
    <m/>
    <x v="0"/>
    <x v="11"/>
    <s v="MEN400150"/>
    <x v="17"/>
    <x v="20"/>
    <x v="126"/>
    <m/>
    <s v="Dossier inexistant"/>
    <m/>
    <m/>
    <d v="2024-03-06T00:00:00"/>
    <d v="2025-03-18T00:00:00"/>
    <x v="3"/>
    <x v="0"/>
  </r>
  <r>
    <m/>
    <m/>
    <x v="7"/>
    <x v="11"/>
    <s v="MEN500232"/>
    <x v="11"/>
    <x v="90"/>
    <x v="147"/>
    <m/>
    <s v="NE PAS TENIR COMPTE"/>
    <m/>
    <m/>
    <d v="2025-04-28T00:00:00"/>
    <d v="2025-04-28T00:00:00"/>
    <x v="9"/>
    <x v="1"/>
  </r>
  <r>
    <m/>
    <m/>
    <x v="35"/>
    <x v="11"/>
    <s v="MEN500215"/>
    <x v="11"/>
    <x v="23"/>
    <x v="148"/>
    <m/>
    <s v="NE PAS TENIR COMPTE"/>
    <m/>
    <m/>
    <d v="2025-04-18T00:00:00"/>
    <d v="2025-04-18T00:00:00"/>
    <x v="9"/>
    <x v="1"/>
  </r>
  <r>
    <m/>
    <m/>
    <x v="7"/>
    <x v="11"/>
    <s v="MEN500458"/>
    <x v="1"/>
    <x v="1"/>
    <x v="1"/>
    <s v="URGENT"/>
    <m/>
    <s v="M"/>
    <m/>
    <d v="2025-09-02T00:00:00"/>
    <d v="2025-09-02T00:00:00"/>
    <x v="1"/>
    <x v="1"/>
  </r>
  <r>
    <m/>
    <m/>
    <x v="36"/>
    <x v="12"/>
    <s v="MEN400648"/>
    <x v="19"/>
    <x v="31"/>
    <x v="149"/>
    <s v="17/09/2025 8H45"/>
    <s v="à voir avec mohamed"/>
    <s v="M"/>
    <m/>
    <d v="2024-09-24T00:00:00"/>
    <d v="2024-09-24T00:00:00"/>
    <x v="1"/>
    <x v="0"/>
  </r>
  <r>
    <m/>
    <m/>
    <x v="15"/>
    <x v="13"/>
    <s v="MEN400687"/>
    <x v="8"/>
    <x v="3"/>
    <x v="150"/>
    <s v="13/05:  14/04:15/09"/>
    <s v="tvx ok, VT à prevoir                                                                                     Travaux pas encore effectués - Ils pourront être terminés dans 3 semaines (La société SPIE prendra en charge la réalisation des travaux, à l'extérieur comme à l'intérieur)         "/>
    <s v="M"/>
    <n v="674382240"/>
    <d v="2024-10-21T00:00:00"/>
    <d v="2024-10-21T00:00:00"/>
    <x v="11"/>
    <x v="0"/>
  </r>
  <r>
    <m/>
    <m/>
    <x v="3"/>
    <x v="13"/>
    <s v="MEN500439"/>
    <x v="11"/>
    <x v="15"/>
    <x v="151"/>
    <s v="Retour le 17/09"/>
    <s v="à remonter par khedher"/>
    <m/>
    <m/>
    <d v="2025-08-14T00:00:00"/>
    <d v="2025-08-14T00:00:00"/>
    <x v="12"/>
    <x v="1"/>
  </r>
  <r>
    <m/>
    <m/>
    <x v="2"/>
    <x v="13"/>
    <s v="MEN500435"/>
    <x v="28"/>
    <x v="78"/>
    <x v="47"/>
    <d v="2025-09-11T00:00:00"/>
    <s v="à remonter par khedher"/>
    <m/>
    <m/>
    <d v="2025-08-11T00:00:00"/>
    <d v="2025-08-11T00:00:00"/>
    <x v="12"/>
    <x v="1"/>
  </r>
  <r>
    <m/>
    <m/>
    <x v="1"/>
    <x v="13"/>
    <s v="MEN500475"/>
    <x v="8"/>
    <x v="83"/>
    <x v="152"/>
    <s v="17/09/2025 10h30"/>
    <m/>
    <m/>
    <m/>
    <d v="2025-09-15T00:00:00"/>
    <d v="2025-09-15T00:00:00"/>
    <x v="1"/>
    <x v="1"/>
  </r>
  <r>
    <m/>
    <m/>
    <x v="0"/>
    <x v="14"/>
    <m/>
    <x v="30"/>
    <x v="91"/>
    <x v="153"/>
    <m/>
    <m/>
    <m/>
    <m/>
    <m/>
    <m/>
    <x v="6"/>
    <x v="2"/>
  </r>
  <r>
    <m/>
    <m/>
    <x v="0"/>
    <x v="14"/>
    <m/>
    <x v="30"/>
    <x v="91"/>
    <x v="153"/>
    <m/>
    <m/>
    <m/>
    <m/>
    <m/>
    <m/>
    <x v="6"/>
    <x v="2"/>
  </r>
  <r>
    <m/>
    <m/>
    <x v="0"/>
    <x v="14"/>
    <m/>
    <x v="30"/>
    <x v="91"/>
    <x v="153"/>
    <m/>
    <m/>
    <m/>
    <m/>
    <m/>
    <m/>
    <x v="6"/>
    <x v="2"/>
  </r>
  <r>
    <m/>
    <m/>
    <x v="0"/>
    <x v="14"/>
    <m/>
    <x v="30"/>
    <x v="91"/>
    <x v="153"/>
    <m/>
    <m/>
    <m/>
    <m/>
    <m/>
    <m/>
    <x v="6"/>
    <x v="2"/>
  </r>
  <r>
    <m/>
    <m/>
    <x v="0"/>
    <x v="14"/>
    <m/>
    <x v="30"/>
    <x v="91"/>
    <x v="153"/>
    <m/>
    <m/>
    <m/>
    <m/>
    <m/>
    <m/>
    <x v="6"/>
    <x v="2"/>
  </r>
  <r>
    <m/>
    <m/>
    <x v="0"/>
    <x v="14"/>
    <m/>
    <x v="30"/>
    <x v="91"/>
    <x v="153"/>
    <m/>
    <m/>
    <m/>
    <m/>
    <m/>
    <m/>
    <x v="6"/>
    <x v="2"/>
  </r>
  <r>
    <m/>
    <m/>
    <x v="0"/>
    <x v="14"/>
    <m/>
    <x v="30"/>
    <x v="91"/>
    <x v="153"/>
    <m/>
    <m/>
    <m/>
    <m/>
    <m/>
    <m/>
    <x v="6"/>
    <x v="2"/>
  </r>
  <r>
    <m/>
    <m/>
    <x v="0"/>
    <x v="14"/>
    <m/>
    <x v="30"/>
    <x v="91"/>
    <x v="153"/>
    <m/>
    <m/>
    <m/>
    <m/>
    <m/>
    <m/>
    <x v="6"/>
    <x v="2"/>
  </r>
  <r>
    <m/>
    <m/>
    <x v="0"/>
    <x v="14"/>
    <m/>
    <x v="30"/>
    <x v="91"/>
    <x v="153"/>
    <m/>
    <m/>
    <m/>
    <m/>
    <m/>
    <m/>
    <x v="6"/>
    <x v="2"/>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r>
    <m/>
    <m/>
    <x v="37"/>
    <x v="14"/>
    <m/>
    <x v="30"/>
    <x v="91"/>
    <x v="153"/>
    <m/>
    <m/>
    <m/>
    <m/>
    <m/>
    <m/>
    <x v="8"/>
    <x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x v="0"/>
    <s v="MALFI-35238-JGJH"/>
    <s v="IMI-VS-35238/JGJH-1"/>
    <d v="2025-02-11T00:00:00"/>
    <d v="2025-02-11T00:00:00"/>
    <m/>
    <n v="35238"/>
    <x v="0"/>
    <x v="0"/>
    <s v="Hajjej    OK"/>
    <x v="0"/>
    <x v="0"/>
  </r>
  <r>
    <x v="0"/>
    <s v="SUDFI-35238-00ZE"/>
    <s v="IMI-VS-35238/JQPB-1"/>
    <d v="2025-02-11T00:00:00"/>
    <d v="2025-02-11T00:00:00"/>
    <m/>
    <n v="35238"/>
    <x v="0"/>
    <x v="1"/>
    <s v="Hajjej   OK"/>
    <x v="0"/>
    <x v="0"/>
  </r>
  <r>
    <x v="0"/>
    <s v="PATFI-35238-00SG"/>
    <s v="IMI-VS-35238/JS1G-1"/>
    <d v="2025-02-11T00:00:00"/>
    <d v="2025-02-11T00:00:00"/>
    <m/>
    <n v="35238"/>
    <x v="0"/>
    <x v="2"/>
    <s v="Hajjej   OK"/>
    <x v="0"/>
    <x v="0"/>
  </r>
  <r>
    <x v="1"/>
    <s v="MALFI-35238-00WH"/>
    <s v="IMI-VS-35238/JSDA-1"/>
    <d v="2025-02-11T00:00:00"/>
    <d v="2025-02-11T00:00:00"/>
    <m/>
    <n v="35238"/>
    <x v="0"/>
    <x v="3"/>
    <s v="Hajjej       OK"/>
    <x v="0"/>
    <x v="0"/>
  </r>
  <r>
    <x v="0"/>
    <s v="MALFI-35238-JUKC"/>
    <s v="IMI-VS-35238/JUKE-1"/>
    <d v="2025-02-11T00:00:00"/>
    <d v="2025-02-11T00:00:00"/>
    <m/>
    <n v="35238"/>
    <x v="0"/>
    <x v="4"/>
    <s v="Hajjej     OK"/>
    <x v="0"/>
    <x v="0"/>
  </r>
  <r>
    <x v="0"/>
    <s v="MALFI-35238-000P"/>
    <s v="IMI-VS-35238/JW4I-1"/>
    <d v="2025-02-11T00:00:00"/>
    <d v="2025-02-11T00:00:00"/>
    <m/>
    <n v="35238"/>
    <x v="0"/>
    <x v="5"/>
    <s v="Hajjej      OK"/>
    <x v="0"/>
    <x v="0"/>
  </r>
  <r>
    <x v="0"/>
    <s v="PATFI-35238-ZG7M"/>
    <s v="IMI-VS-35238/JMYV-1"/>
    <d v="2025-02-13T00:00:00"/>
    <d v="2025-02-13T00:00:00"/>
    <m/>
    <n v="35238"/>
    <x v="0"/>
    <x v="6"/>
    <s v="Hajjej   OK"/>
    <x v="0"/>
    <x v="0"/>
  </r>
  <r>
    <x v="0"/>
    <s v="VILFI-35238-00FA"/>
    <s v="IMI-VS-35238/JTZZ-1"/>
    <d v="2025-02-13T00:00:00"/>
    <d v="2025-02-13T00:00:00"/>
    <m/>
    <n v="35238"/>
    <x v="0"/>
    <x v="7"/>
    <s v="Hajjej    OK"/>
    <x v="0"/>
    <x v="0"/>
  </r>
  <r>
    <x v="0"/>
    <s v="VILFI-35238-00BW"/>
    <s v="IMI-VS-35238/JU6I-1"/>
    <d v="2025-02-13T00:00:00"/>
    <d v="2025-02-13T00:00:00"/>
    <m/>
    <n v="35238"/>
    <x v="0"/>
    <x v="8"/>
    <s v="Hajjej     OK"/>
    <x v="0"/>
    <x v="0"/>
  </r>
  <r>
    <x v="0"/>
    <s v="MALFI-35238-ZG3Q"/>
    <s v="IMI-VS-35238/JEWQ-1"/>
    <d v="2025-02-14T00:00:00"/>
    <d v="2025-02-14T00:00:00"/>
    <m/>
    <n v="35238"/>
    <x v="0"/>
    <x v="9"/>
    <s v="Hajjej    OK"/>
    <x v="0"/>
    <x v="0"/>
  </r>
  <r>
    <x v="0"/>
    <s v="MALFI-35238-JF3Y"/>
    <s v="IMI-VS-35238/JF3Y-1"/>
    <d v="2025-02-14T00:00:00"/>
    <d v="2025-02-14T00:00:00"/>
    <m/>
    <n v="35238"/>
    <x v="0"/>
    <x v="10"/>
    <s v="Hajjej  OK"/>
    <x v="0"/>
    <x v="0"/>
  </r>
  <r>
    <x v="0"/>
    <s v="MALFI-35238-01BC"/>
    <s v="IMI-VS-35238/JFE4-1"/>
    <d v="2025-02-14T00:00:00"/>
    <d v="2025-02-14T00:00:00"/>
    <m/>
    <n v="35238"/>
    <x v="0"/>
    <x v="11"/>
    <s v="Hajjej     OK"/>
    <x v="0"/>
    <x v="0"/>
  </r>
  <r>
    <x v="0"/>
    <s v="MALFI-35238-ZGBI"/>
    <s v="IMI-VS-35238/JMR9-1"/>
    <d v="2025-02-18T00:00:00"/>
    <d v="2025-02-18T00:00:00"/>
    <m/>
    <n v="35238"/>
    <x v="0"/>
    <x v="12"/>
    <s v="Hajjej  OK"/>
    <x v="0"/>
    <x v="0"/>
  </r>
  <r>
    <x v="0"/>
    <s v="MALFI-35238-009C"/>
    <s v="IMI-VS-35238/JUEJ-1"/>
    <d v="2025-02-18T00:00:00"/>
    <d v="2025-02-18T00:00:00"/>
    <m/>
    <n v="35238"/>
    <x v="0"/>
    <x v="13"/>
    <s v="Hajjej   OK"/>
    <x v="0"/>
    <x v="0"/>
  </r>
  <r>
    <x v="0"/>
    <s v="SUDFI-35238-00XL"/>
    <s v="IMI-VS-35238/JUUS-1"/>
    <d v="2025-02-20T00:00:00"/>
    <d v="2025-02-20T00:00:00"/>
    <m/>
    <n v="35238"/>
    <x v="0"/>
    <x v="14"/>
    <s v="Hajjej   OK"/>
    <x v="0"/>
    <x v="0"/>
  </r>
  <r>
    <x v="0"/>
    <s v="PATFI-35238-ZG4S"/>
    <s v="IMI-VS-35238/JW0C-2"/>
    <d v="2025-02-20T00:00:00"/>
    <d v="2025-02-20T00:00:00"/>
    <m/>
    <n v="35238"/>
    <x v="0"/>
    <x v="15"/>
    <s v="Hajjej   OK"/>
    <x v="0"/>
    <x v="0"/>
  </r>
  <r>
    <x v="0"/>
    <s v="PATFI-35238-0022"/>
    <s v="IMI-VS-35238/JX0J-1"/>
    <d v="2025-02-20T00:00:00"/>
    <d v="2025-02-20T00:00:00"/>
    <m/>
    <n v="35238"/>
    <x v="0"/>
    <x v="16"/>
    <s v="Hajjej  OK"/>
    <x v="0"/>
    <x v="0"/>
  </r>
  <r>
    <x v="1"/>
    <s v="VILFI-35238-0028"/>
    <s v="IMI-VS-35238/JX98-1"/>
    <d v="2025-02-24T00:00:00"/>
    <d v="2025-02-24T00:00:00"/>
    <m/>
    <n v="35238"/>
    <x v="0"/>
    <x v="17"/>
    <s v="Hajjej  OK"/>
    <x v="0"/>
    <x v="0"/>
  </r>
  <r>
    <x v="0"/>
    <s v="PATFI-35238-ZGD6"/>
    <s v="IMI-VS-35238/JWUD-1"/>
    <d v="2025-02-28T00:00:00"/>
    <d v="2025-02-28T00:00:00"/>
    <m/>
    <n v="35238"/>
    <x v="0"/>
    <x v="18"/>
    <s v="Hajjej   OK"/>
    <x v="0"/>
    <x v="0"/>
  </r>
  <r>
    <x v="0"/>
    <s v="MALFI-35238-003N"/>
    <s v="IMI-VS-35238/JLH9-1"/>
    <d v="2025-03-04T00:00:00"/>
    <d v="2025-03-04T00:00:00"/>
    <m/>
    <n v="35238"/>
    <x v="0"/>
    <x v="19"/>
    <s v="amrou ok"/>
    <x v="1"/>
    <x v="0"/>
  </r>
  <r>
    <x v="0"/>
    <s v="MALFI-35238-0043"/>
    <s v="IMI-VS-35238/JGWC-1"/>
    <d v="2025-03-07T00:00:00"/>
    <d v="2025-03-07T00:00:00"/>
    <m/>
    <n v="35238"/>
    <x v="0"/>
    <x v="20"/>
    <s v="amrou ok"/>
    <x v="1"/>
    <x v="0"/>
  </r>
  <r>
    <x v="0"/>
    <s v="PATFI-35238-ZG8W"/>
    <s v="IMI-VS-35238/JW1L-2"/>
    <d v="2025-03-11T00:00:00"/>
    <d v="2025-03-11T00:00:00"/>
    <m/>
    <n v="35238"/>
    <x v="0"/>
    <x v="21"/>
    <s v="amrou ok"/>
    <x v="1"/>
    <x v="0"/>
  </r>
  <r>
    <x v="2"/>
    <s v="PATFI-35238-01HG"/>
    <s v="IMI-VE-35238/02DP-1"/>
    <d v="2025-03-12T00:00:00"/>
    <d v="2025-03-12T00:00:00"/>
    <s v="IMB/35238/X/02DP"/>
    <n v="35238"/>
    <x v="0"/>
    <x v="22"/>
    <s v="Dossier retiré par Sogtrel"/>
    <x v="1"/>
    <x v="0"/>
  </r>
  <r>
    <x v="0"/>
    <s v="SUDFI-35238-00YY"/>
    <s v="IMI-VS-35238/JQUC-3"/>
    <d v="2025-03-12T00:00:00"/>
    <d v="2025-03-12T00:00:00"/>
    <m/>
    <n v="35238"/>
    <x v="0"/>
    <x v="23"/>
    <s v="amrou ok"/>
    <x v="1"/>
    <x v="0"/>
  </r>
  <r>
    <x v="0"/>
    <s v="MALFI-35238-00C4"/>
    <s v="IMI-VS-35238/JR18-1"/>
    <d v="2025-03-12T00:00:00"/>
    <d v="2025-03-12T00:00:00"/>
    <m/>
    <n v="35238"/>
    <x v="0"/>
    <x v="24"/>
    <s v="amrou ok"/>
    <x v="1"/>
    <x v="0"/>
  </r>
  <r>
    <x v="0"/>
    <s v="VILFI-35238-ZG58"/>
    <s v="IMI-VS-35238/JTVL-1"/>
    <d v="2025-03-12T00:00:00"/>
    <d v="2025-03-12T00:00:00"/>
    <m/>
    <n v="35238"/>
    <x v="0"/>
    <x v="7"/>
    <s v="amrou ok"/>
    <x v="1"/>
    <x v="0"/>
  </r>
  <r>
    <x v="1"/>
    <s v="SUDFI-35238-00PC"/>
    <s v="IMI-VS-35238/JU9S-1"/>
    <d v="2025-03-12T00:00:00"/>
    <d v="2025-03-12T00:00:00"/>
    <m/>
    <n v="35238"/>
    <x v="0"/>
    <x v="25"/>
    <s v="amrou ok"/>
    <x v="1"/>
    <x v="0"/>
  </r>
  <r>
    <x v="0"/>
    <s v="MALFI-35238-ZG4J"/>
    <s v="IMI-VS-35238/JVAW-1"/>
    <d v="2025-03-12T00:00:00"/>
    <d v="2025-03-12T00:00:00"/>
    <m/>
    <n v="35238"/>
    <x v="0"/>
    <x v="26"/>
    <s v="amrou ok"/>
    <x v="1"/>
    <x v="0"/>
  </r>
  <r>
    <x v="1"/>
    <s v="VILFI-35238-012M"/>
    <s v="IMI-VS-35238/01SP-1"/>
    <d v="2025-03-14T00:00:00"/>
    <d v="2025-03-14T00:00:00"/>
    <m/>
    <n v="35238"/>
    <x v="0"/>
    <x v="27"/>
    <s v="amrou ok"/>
    <x v="1"/>
    <x v="0"/>
  </r>
  <r>
    <x v="1"/>
    <s v="PATFI-35238-00QZ"/>
    <s v="IMI-VS-35238/JGPR-1"/>
    <d v="2025-03-14T00:00:00"/>
    <d v="2025-03-14T00:00:00"/>
    <m/>
    <n v="35238"/>
    <x v="0"/>
    <x v="28"/>
    <s v="amrou ok"/>
    <x v="1"/>
    <x v="0"/>
  </r>
  <r>
    <x v="1"/>
    <s v="PATFI-35238-00DS"/>
    <s v="IMI-VS-35238/00P2-1"/>
    <d v="2025-03-17T00:00:00"/>
    <d v="2025-03-17T00:00:00"/>
    <m/>
    <n v="35238"/>
    <x v="0"/>
    <x v="29"/>
    <s v="amrou ok"/>
    <x v="1"/>
    <x v="0"/>
  </r>
  <r>
    <x v="0"/>
    <s v="VILFI-35238-00K0"/>
    <s v="IMI-VS-35238/JKVR-1"/>
    <d v="2025-03-17T00:00:00"/>
    <d v="2025-03-17T00:00:00"/>
    <m/>
    <n v="35238"/>
    <x v="0"/>
    <x v="30"/>
    <s v="amrou ok"/>
    <x v="1"/>
    <x v="0"/>
  </r>
  <r>
    <x v="1"/>
    <s v="VILFI-35238-JLF6"/>
    <s v="IMI-VS-35238/JTFQ-1"/>
    <d v="2025-03-17T00:00:00"/>
    <d v="2025-03-17T00:00:00"/>
    <m/>
    <n v="35238"/>
    <x v="0"/>
    <x v="7"/>
    <s v="amrou ok"/>
    <x v="1"/>
    <x v="0"/>
  </r>
  <r>
    <x v="3"/>
    <s v="PATFI-35238-00LS"/>
    <s v="IMI-VS-35238/00YY-1"/>
    <d v="2025-03-19T00:00:00"/>
    <d v="2025-03-19T00:00:00"/>
    <m/>
    <n v="35238"/>
    <x v="0"/>
    <x v="31"/>
    <s v="AMRO necessite 2eme visite pour 2eme client"/>
    <x v="1"/>
    <x v="0"/>
  </r>
  <r>
    <x v="0"/>
    <s v="SUDFI-35238-007L"/>
    <s v="IMI-VS-35238/JIP8-1"/>
    <d v="2025-03-19T00:00:00"/>
    <d v="2025-03-19T00:00:00"/>
    <m/>
    <n v="35238"/>
    <x v="0"/>
    <x v="32"/>
    <s v="amrou ok"/>
    <x v="1"/>
    <x v="0"/>
  </r>
  <r>
    <x v="0"/>
    <s v="PATFI-35238-00NH"/>
    <s v="IMI-VS-35238/JVNP-1"/>
    <d v="2025-03-19T00:00:00"/>
    <d v="2025-03-19T00:00:00"/>
    <m/>
    <n v="35238"/>
    <x v="0"/>
    <x v="33"/>
    <s v="amrou ok"/>
    <x v="1"/>
    <x v="0"/>
  </r>
  <r>
    <x v="0"/>
    <s v="PATFI-35238-00YT"/>
    <s v="IMI-VS-35238/JXU5-1"/>
    <d v="2025-03-19T00:00:00"/>
    <d v="2025-03-19T00:00:00"/>
    <m/>
    <n v="35238"/>
    <x v="0"/>
    <x v="34"/>
    <s v="amrou ok"/>
    <x v="1"/>
    <x v="0"/>
  </r>
  <r>
    <x v="0"/>
    <s v="MALFI-35238-ZG6M"/>
    <s v="IMI-VS-35238/JGTS-1"/>
    <d v="2025-03-21T00:00:00"/>
    <d v="2025-03-21T00:00:00"/>
    <m/>
    <n v="35238"/>
    <x v="0"/>
    <x v="35"/>
    <s v="amrou ok"/>
    <x v="1"/>
    <x v="0"/>
  </r>
  <r>
    <x v="0"/>
    <s v="PATFI-35238-JGV0"/>
    <s v="IMI-VS-35238/JGV0-1"/>
    <d v="2025-03-21T00:00:00"/>
    <d v="2025-03-21T00:00:00"/>
    <m/>
    <n v="35238"/>
    <x v="0"/>
    <x v="28"/>
    <s v="amrou ok"/>
    <x v="1"/>
    <x v="0"/>
  </r>
  <r>
    <x v="0"/>
    <s v="VILFI-35238-00PE"/>
    <s v="IMI-VE-35238/009E-1"/>
    <d v="2025-03-31T00:00:00"/>
    <d v="2025-03-31T00:00:00"/>
    <m/>
    <n v="35238"/>
    <x v="0"/>
    <x v="36"/>
    <s v="amrou ok"/>
    <x v="1"/>
    <x v="0"/>
  </r>
  <r>
    <x v="1"/>
    <s v="MALFI-35238-0170"/>
    <s v="IMI-VS-35238/JQXL-1"/>
    <d v="2025-03-31T00:00:00"/>
    <d v="2025-03-31T00:00:00"/>
    <m/>
    <n v="35238"/>
    <x v="0"/>
    <x v="37"/>
    <s v="ISSA OK"/>
    <x v="1"/>
    <x v="0"/>
  </r>
  <r>
    <x v="0"/>
    <s v="VILFI-35238-00JC"/>
    <s v="IMI-VS-35238/00FL-1"/>
    <d v="2025-04-02T00:00:00"/>
    <d v="2025-04-02T00:00:00"/>
    <m/>
    <n v="35238"/>
    <x v="0"/>
    <x v="38"/>
    <s v="ISSA OK"/>
    <x v="2"/>
    <x v="0"/>
  </r>
  <r>
    <x v="0"/>
    <s v="MALFI-35238-00GC"/>
    <s v="IMI-VS-35238/JLPK-1"/>
    <d v="2025-04-02T00:00:00"/>
    <d v="2025-04-02T00:00:00"/>
    <m/>
    <n v="35238"/>
    <x v="0"/>
    <x v="39"/>
    <s v="ISSA OK"/>
    <x v="2"/>
    <x v="0"/>
  </r>
  <r>
    <x v="0"/>
    <s v="VILFI-35238-ZG7U"/>
    <s v="IMI-VS-35238/JEYE-1"/>
    <d v="2025-04-03T00:00:00"/>
    <d v="2025-04-03T00:00:00"/>
    <m/>
    <n v="35238"/>
    <x v="0"/>
    <x v="40"/>
    <s v="ISSA OK"/>
    <x v="2"/>
    <x v="0"/>
  </r>
  <r>
    <x v="0"/>
    <s v="PATFI-35238-00RW"/>
    <s v="IMI-VS-35238/JKCH-1"/>
    <d v="2025-04-03T00:00:00"/>
    <d v="2025-04-03T00:00:00"/>
    <m/>
    <n v="35238"/>
    <x v="0"/>
    <x v="41"/>
    <s v="ISSA OK"/>
    <x v="2"/>
    <x v="0"/>
  </r>
  <r>
    <x v="0"/>
    <s v="PATFI-35238-JMGN"/>
    <s v="IMI-VS-35238/JMGN-1"/>
    <d v="2025-04-03T00:00:00"/>
    <d v="2025-04-03T00:00:00"/>
    <m/>
    <n v="35238"/>
    <x v="0"/>
    <x v="42"/>
    <s v="ISSA OK"/>
    <x v="2"/>
    <x v="0"/>
  </r>
  <r>
    <x v="0"/>
    <s v="MALFI-35238-00H5"/>
    <s v="IMI-VS-35238/JQZF-1"/>
    <d v="2025-04-03T00:00:00"/>
    <d v="2025-04-03T00:00:00"/>
    <m/>
    <n v="35238"/>
    <x v="0"/>
    <x v="24"/>
    <s v="ISSA OK"/>
    <x v="2"/>
    <x v="0"/>
  </r>
  <r>
    <x v="0"/>
    <s v="MALFI-35238-00WD"/>
    <s v="IMI-VS-35238/JT0H-1"/>
    <d v="2025-04-03T00:00:00"/>
    <d v="2025-04-03T00:00:00"/>
    <m/>
    <n v="35238"/>
    <x v="0"/>
    <x v="43"/>
    <s v="ISSA OK"/>
    <x v="2"/>
    <x v="0"/>
  </r>
  <r>
    <x v="0"/>
    <s v="PATFI-35238-ZG95"/>
    <s v="IMI-VS-35238/JTBY-1"/>
    <d v="2025-04-03T00:00:00"/>
    <d v="2025-04-03T00:00:00"/>
    <m/>
    <n v="35238"/>
    <x v="0"/>
    <x v="44"/>
    <s v="ISSA OK"/>
    <x v="2"/>
    <x v="0"/>
  </r>
  <r>
    <x v="1"/>
    <s v="MALFI-35238-00CE"/>
    <s v="IMI-VS-35238/JLPI-1"/>
    <d v="2025-04-04T00:00:00"/>
    <d v="2025-04-04T00:00:00"/>
    <s v="IMB/35238/C/JLPI"/>
    <n v="35238"/>
    <x v="0"/>
    <x v="39"/>
    <s v="ISSA OK"/>
    <x v="2"/>
    <x v="0"/>
  </r>
  <r>
    <x v="1"/>
    <s v="SUDFI-35238-00Z4"/>
    <s v="IMI-VS-35238/00HF-1"/>
    <d v="2025-04-07T00:00:00"/>
    <d v="2025-04-07T00:00:00"/>
    <m/>
    <n v="35238"/>
    <x v="0"/>
    <x v="45"/>
    <s v="ISSA OK"/>
    <x v="2"/>
    <x v="0"/>
  </r>
  <r>
    <x v="1"/>
    <s v="VILFI-35238-00P8"/>
    <s v="IMI-VS-35238/JEHT-1"/>
    <d v="2025-04-10T00:00:00"/>
    <d v="2025-04-10T00:00:00"/>
    <m/>
    <n v="35238"/>
    <x v="0"/>
    <x v="46"/>
    <s v="ISSA OK"/>
    <x v="2"/>
    <x v="0"/>
  </r>
  <r>
    <x v="1"/>
    <s v="PATFI-35238-00WJ"/>
    <s v="IMI-VS-35238/JS9Z-1"/>
    <d v="2025-04-10T00:00:00"/>
    <d v="2025-04-10T00:00:00"/>
    <m/>
    <n v="35238"/>
    <x v="0"/>
    <x v="47"/>
    <s v="ISSA OK"/>
    <x v="2"/>
    <x v="0"/>
  </r>
  <r>
    <x v="1"/>
    <s v="PATSRO-BPI-2932913"/>
    <s v="IMI-VS-35238/JTF5-1"/>
    <d v="2025-04-10T00:00:00"/>
    <d v="2025-04-10T00:00:00"/>
    <m/>
    <n v="35238"/>
    <x v="0"/>
    <x v="48"/>
    <s v="ISSA OK"/>
    <x v="2"/>
    <x v="0"/>
  </r>
  <r>
    <x v="1"/>
    <s v="PATFI-35238-ZGBO"/>
    <s v="IMI-VS-35238/JVYE-1"/>
    <d v="2025-04-10T00:00:00"/>
    <d v="2025-04-10T00:00:00"/>
    <m/>
    <n v="35238"/>
    <x v="0"/>
    <x v="49"/>
    <s v="ISSA OK"/>
    <x v="2"/>
    <x v="0"/>
  </r>
  <r>
    <x v="1"/>
    <s v="PATFI-35238-ZG8O"/>
    <s v="IMI-VS-35238/JMW7-1"/>
    <d v="2025-04-14T00:00:00"/>
    <d v="2025-04-14T00:00:00"/>
    <m/>
    <n v="35238"/>
    <x v="0"/>
    <x v="50"/>
    <s v="ISSA OK"/>
    <x v="2"/>
    <x v="0"/>
  </r>
  <r>
    <x v="1"/>
    <s v="PATFI-35238-ZG97"/>
    <s v="IMI-VS-35238/JMV8-1"/>
    <d v="2025-04-15T00:00:00"/>
    <d v="2025-04-15T00:00:00"/>
    <m/>
    <n v="35238"/>
    <x v="0"/>
    <x v="44"/>
    <s v="ISSA OK"/>
    <x v="2"/>
    <x v="0"/>
  </r>
  <r>
    <x v="1"/>
    <s v="VILFI-35238-ZG39"/>
    <s v="IMI-VS-35238/JLBN-1"/>
    <d v="2025-04-17T00:00:00"/>
    <d v="2025-04-17T00:00:00"/>
    <m/>
    <n v="35238"/>
    <x v="0"/>
    <x v="7"/>
    <s v="ISSA OK"/>
    <x v="2"/>
    <x v="0"/>
  </r>
  <r>
    <x v="1"/>
    <s v="VILFI-35238-000K"/>
    <s v="IMI-VS-35238/JUAU-1"/>
    <d v="2025-04-17T00:00:00"/>
    <d v="2025-04-17T00:00:00"/>
    <m/>
    <n v="35238"/>
    <x v="0"/>
    <x v="51"/>
    <s v="ISSA OK"/>
    <x v="2"/>
    <x v="0"/>
  </r>
  <r>
    <x v="1"/>
    <s v="VILFI-35238-0051"/>
    <s v="IMI-VS-35238/000O-1"/>
    <d v="2025-04-29T00:00:00"/>
    <d v="2025-04-29T00:00:00"/>
    <m/>
    <n v="35238"/>
    <x v="0"/>
    <x v="52"/>
    <s v="ISSA OK"/>
    <x v="2"/>
    <x v="0"/>
  </r>
  <r>
    <x v="1"/>
    <s v="VILFI-35238-JF36"/>
    <s v="IMI-VS-35238/JF36-1"/>
    <d v="2025-04-29T00:00:00"/>
    <d v="2025-04-29T00:00:00"/>
    <m/>
    <n v="35238"/>
    <x v="0"/>
    <x v="53"/>
    <s v="Hajjej    OK"/>
    <x v="2"/>
    <x v="0"/>
  </r>
  <r>
    <x v="1"/>
    <s v="MALFI-35238-ZGCC"/>
    <s v="IMI-VS-35238/JGZV-1"/>
    <d v="2025-04-29T00:00:00"/>
    <d v="2025-04-29T00:00:00"/>
    <m/>
    <n v="35238"/>
    <x v="0"/>
    <x v="54"/>
    <s v="Hajjej    OK"/>
    <x v="2"/>
    <x v="0"/>
  </r>
  <r>
    <x v="1"/>
    <s v="SUDFI-35238-00P0"/>
    <s v="IMI-VS-35238/JQ48-1"/>
    <d v="2025-04-29T00:00:00"/>
    <d v="2025-04-29T00:00:00"/>
    <m/>
    <n v="35238"/>
    <x v="0"/>
    <x v="55"/>
    <s v="Hajjej    OK"/>
    <x v="2"/>
    <x v="0"/>
  </r>
  <r>
    <x v="1"/>
    <s v="MALFI-35238-00PR"/>
    <s v="IMI-VS-35238/JSIV-1"/>
    <d v="2025-04-29T00:00:00"/>
    <d v="2025-04-29T00:00:00"/>
    <m/>
    <n v="35238"/>
    <x v="0"/>
    <x v="0"/>
    <s v="ISSA OK"/>
    <x v="2"/>
    <x v="0"/>
  </r>
  <r>
    <x v="1"/>
    <s v="SUDFI-35238-00XS"/>
    <s v="IMI-VS-35238/JUOV-1"/>
    <d v="2025-04-29T00:00:00"/>
    <d v="2025-04-29T00:00:00"/>
    <m/>
    <n v="35238"/>
    <x v="0"/>
    <x v="56"/>
    <s v="ISSA OK"/>
    <x v="2"/>
    <x v="0"/>
  </r>
  <r>
    <x v="1"/>
    <s v="MALFI-35238-ZGD7"/>
    <s v="IMI-VS-35238/JV9U-1"/>
    <d v="2025-04-29T00:00:00"/>
    <d v="2025-04-29T00:00:00"/>
    <m/>
    <n v="35238"/>
    <x v="0"/>
    <x v="57"/>
    <s v="ISSA OK"/>
    <x v="2"/>
    <x v="0"/>
  </r>
  <r>
    <x v="1"/>
    <s v="MALFI-35238-00Q7"/>
    <s v="IMI-VS-35238/JWZX-1"/>
    <d v="2025-04-29T00:00:00"/>
    <d v="2025-04-29T00:00:00"/>
    <m/>
    <n v="35238"/>
    <x v="0"/>
    <x v="58"/>
    <s v="ISSA OK"/>
    <x v="2"/>
    <x v="0"/>
  </r>
  <r>
    <x v="1"/>
    <s v="VILFI-35238-006X"/>
    <s v="IMI-VS-35238/T1ZQ-1"/>
    <d v="2025-04-29T00:00:00"/>
    <d v="2025-04-29T00:00:00"/>
    <m/>
    <n v="35238"/>
    <x v="0"/>
    <x v="59"/>
    <s v="ISSA OK"/>
    <x v="2"/>
    <x v="0"/>
  </r>
  <r>
    <x v="1"/>
    <m/>
    <s v="IMI-VS-35024/02AB-1"/>
    <m/>
    <m/>
    <m/>
    <n v="35238"/>
    <x v="0"/>
    <x v="60"/>
    <s v="ISSA OK"/>
    <x v="3"/>
    <x v="1"/>
  </r>
  <r>
    <x v="1"/>
    <m/>
    <s v="IMI-VS-35055/019Q-1"/>
    <m/>
    <m/>
    <m/>
    <n v="35238"/>
    <x v="0"/>
    <x v="61"/>
    <s v="ISSA OK"/>
    <x v="3"/>
    <x v="1"/>
  </r>
  <r>
    <x v="1"/>
    <m/>
    <s v="IMI-VS-35210/0056-1"/>
    <m/>
    <m/>
    <m/>
    <n v="35238"/>
    <x v="0"/>
    <x v="62"/>
    <s v="ISSA OK"/>
    <x v="3"/>
    <x v="1"/>
  </r>
  <r>
    <x v="1"/>
    <d v="2025-07-01T00:00:00"/>
    <s v="IMI-VE-35216/00A8-1"/>
    <m/>
    <m/>
    <m/>
    <n v="35238"/>
    <x v="0"/>
    <x v="63"/>
    <s v="ISSA OK"/>
    <x v="3"/>
    <x v="1"/>
  </r>
  <r>
    <x v="1"/>
    <m/>
    <s v="IMI-VS-35278/02KJ-1"/>
    <m/>
    <m/>
    <m/>
    <n v="35238"/>
    <x v="0"/>
    <x v="64"/>
    <s v="ISSA OK"/>
    <x v="3"/>
    <x v="1"/>
  </r>
  <r>
    <x v="1"/>
    <m/>
    <s v="IMI-VS-35281/01AB-1"/>
    <m/>
    <m/>
    <m/>
    <n v="35238"/>
    <x v="0"/>
    <x v="65"/>
    <s v="ISSA OK"/>
    <x v="3"/>
    <x v="1"/>
  </r>
  <r>
    <x v="1"/>
    <m/>
    <s v="IMI-VS-35334/011A-1"/>
    <m/>
    <m/>
    <m/>
    <n v="35238"/>
    <x v="0"/>
    <x v="66"/>
    <s v="ISSA OK"/>
    <x v="3"/>
    <x v="1"/>
  </r>
  <r>
    <x v="1"/>
    <m/>
    <s v="IMI-VS-35360/01FK-2"/>
    <m/>
    <m/>
    <m/>
    <n v="35238"/>
    <x v="0"/>
    <x v="67"/>
    <s v="ISSA OK"/>
    <x v="3"/>
    <x v="1"/>
  </r>
  <r>
    <x v="1"/>
    <m/>
    <s v="IMI-VS-35353/00Y3-2"/>
    <m/>
    <m/>
    <m/>
    <n v="35238"/>
    <x v="0"/>
    <x v="68"/>
    <s v="ISSA OK"/>
    <x v="3"/>
    <x v="1"/>
  </r>
  <r>
    <x v="3"/>
    <m/>
    <s v="IMI-VE-35360/02G3-2"/>
    <m/>
    <m/>
    <m/>
    <n v="35238"/>
    <x v="0"/>
    <x v="69"/>
    <s v="ISSA OK"/>
    <x v="3"/>
    <x v="1"/>
  </r>
  <r>
    <x v="1"/>
    <d v="2025-07-01T00:00:00"/>
    <s v="IMI-VE-35238/JF4O-1"/>
    <m/>
    <m/>
    <m/>
    <n v="35238"/>
    <x v="0"/>
    <x v="70"/>
    <s v="ISSA OK"/>
    <x v="3"/>
    <x v="1"/>
  </r>
  <r>
    <x v="1"/>
    <m/>
    <s v="IMI-VE-35238/0372-1"/>
    <m/>
    <m/>
    <m/>
    <n v="35238"/>
    <x v="0"/>
    <x v="71"/>
    <s v="ISSA OK"/>
    <x v="3"/>
    <x v="1"/>
  </r>
  <r>
    <x v="1"/>
    <m/>
    <s v="IMI-VS-35238/JR0C-1"/>
    <m/>
    <m/>
    <m/>
    <n v="35238"/>
    <x v="0"/>
    <x v="24"/>
    <s v="ISSA OK"/>
    <x v="3"/>
    <x v="1"/>
  </r>
  <r>
    <x v="1"/>
    <m/>
    <s v="IMI-VS-35238/JPJA-1"/>
    <m/>
    <m/>
    <m/>
    <n v="35238"/>
    <x v="0"/>
    <x v="45"/>
    <s v="ISSA OK"/>
    <x v="3"/>
    <x v="1"/>
  </r>
  <r>
    <x v="1"/>
    <m/>
    <s v="IMI-VS-35238/JMXL-1"/>
    <m/>
    <m/>
    <m/>
    <n v="35238"/>
    <x v="0"/>
    <x v="72"/>
    <s v="ISSA OK"/>
    <x v="3"/>
    <x v="1"/>
  </r>
  <r>
    <x v="1"/>
    <m/>
    <s v="IMI-VS-35238/JTBR-1"/>
    <m/>
    <m/>
    <m/>
    <n v="35238"/>
    <x v="0"/>
    <x v="44"/>
    <s v="ISSA OK"/>
    <x v="3"/>
    <x v="1"/>
  </r>
  <r>
    <x v="1"/>
    <m/>
    <s v="IMI-VS-35238/JF7A-1"/>
    <m/>
    <m/>
    <m/>
    <n v="35238"/>
    <x v="0"/>
    <x v="73"/>
    <s v="ISSA OK"/>
    <x v="3"/>
    <x v="1"/>
  </r>
  <r>
    <x v="1"/>
    <m/>
    <s v="IMI-VS-35238/JWNP-2"/>
    <m/>
    <m/>
    <m/>
    <n v="35238"/>
    <x v="0"/>
    <x v="74"/>
    <s v="ISSA OK"/>
    <x v="3"/>
    <x v="1"/>
  </r>
  <r>
    <x v="1"/>
    <m/>
    <s v="IMI-VS-35238/JSUE-2"/>
    <m/>
    <m/>
    <m/>
    <n v="35238"/>
    <x v="0"/>
    <x v="57"/>
    <s v="ISSA OK"/>
    <x v="3"/>
    <x v="1"/>
  </r>
  <r>
    <x v="1"/>
    <m/>
    <s v="IMI-VS-35238/JF4Q-2"/>
    <m/>
    <m/>
    <m/>
    <n v="35238"/>
    <x v="0"/>
    <x v="70"/>
    <s v="ISSA OK"/>
    <x v="3"/>
    <x v="1"/>
  </r>
  <r>
    <x v="1"/>
    <m/>
    <s v="IMI-VS-35238/JR45-2"/>
    <m/>
    <m/>
    <m/>
    <n v="35238"/>
    <x v="0"/>
    <x v="17"/>
    <s v="ISSA OK"/>
    <x v="3"/>
    <x v="1"/>
  </r>
  <r>
    <x v="1"/>
    <m/>
    <s v="IMI-VS-35238/JRHV-4"/>
    <m/>
    <m/>
    <m/>
    <n v="35238"/>
    <x v="0"/>
    <x v="75"/>
    <s v="ISSA OK"/>
    <x v="3"/>
    <x v="1"/>
  </r>
  <r>
    <x v="1"/>
    <m/>
    <s v="IMI-VS-56036/00GR-1"/>
    <m/>
    <m/>
    <m/>
    <n v="56036"/>
    <x v="1"/>
    <x v="76"/>
    <s v="ISSA OK"/>
    <x v="3"/>
    <x v="1"/>
  </r>
  <r>
    <x v="1"/>
    <m/>
    <s v="IMI-VE-56040/00BB-1"/>
    <m/>
    <m/>
    <m/>
    <n v="56040"/>
    <x v="2"/>
    <x v="77"/>
    <s v="ISSA OK"/>
    <x v="3"/>
    <x v="1"/>
  </r>
  <r>
    <x v="1"/>
    <m/>
    <s v="IMI-VE-56083/052O-1"/>
    <m/>
    <m/>
    <m/>
    <n v="56083"/>
    <x v="3"/>
    <x v="78"/>
    <s v="ISSA OK"/>
    <x v="3"/>
    <x v="1"/>
  </r>
  <r>
    <x v="1"/>
    <m/>
    <s v="IMI-VE-56098/04ZE-1"/>
    <m/>
    <m/>
    <m/>
    <n v="56098"/>
    <x v="4"/>
    <x v="79"/>
    <s v="ISSA OK"/>
    <x v="3"/>
    <x v="1"/>
  </r>
  <r>
    <x v="1"/>
    <m/>
    <s v="IMI-VE-56098/068M-1"/>
    <m/>
    <m/>
    <m/>
    <n v="56098"/>
    <x v="4"/>
    <x v="80"/>
    <s v="ISSA OK"/>
    <x v="3"/>
    <x v="1"/>
  </r>
  <r>
    <x v="1"/>
    <m/>
    <s v="IMI-VS-56098/041G-1"/>
    <m/>
    <m/>
    <m/>
    <n v="56098"/>
    <x v="4"/>
    <x v="81"/>
    <s v="ISSA OK"/>
    <x v="3"/>
    <x v="1"/>
  </r>
  <r>
    <x v="1"/>
    <m/>
    <s v="IMI-VS-56118/01J2-1"/>
    <m/>
    <m/>
    <m/>
    <n v="56118"/>
    <x v="5"/>
    <x v="82"/>
    <s v="ISSA OK"/>
    <x v="3"/>
    <x v="1"/>
  </r>
  <r>
    <x v="1"/>
    <m/>
    <s v="IMI-VS-56121/01MW-1"/>
    <m/>
    <m/>
    <m/>
    <n v="56121"/>
    <x v="6"/>
    <x v="83"/>
    <s v="ISSA OK"/>
    <x v="3"/>
    <x v="1"/>
  </r>
  <r>
    <x v="1"/>
    <m/>
    <s v="IMI-VS-56121/032L-1"/>
    <m/>
    <m/>
    <m/>
    <n v="56121"/>
    <x v="6"/>
    <x v="84"/>
    <s v="ISSA OK"/>
    <x v="3"/>
    <x v="1"/>
  </r>
  <r>
    <x v="1"/>
    <m/>
    <s v="IMI-VS-56121/01HY-1"/>
    <m/>
    <m/>
    <m/>
    <n v="56121"/>
    <x v="6"/>
    <x v="85"/>
    <s v="ISSA OK"/>
    <x v="3"/>
    <x v="1"/>
  </r>
  <r>
    <x v="1"/>
    <m/>
    <s v="IMI-VS-56121/067E-1"/>
    <m/>
    <m/>
    <m/>
    <n v="56121"/>
    <x v="6"/>
    <x v="86"/>
    <s v="ISSA OK"/>
    <x v="3"/>
    <x v="1"/>
  </r>
  <r>
    <x v="1"/>
    <m/>
    <s v="IMI-VS-56121/03HH-1"/>
    <m/>
    <m/>
    <m/>
    <n v="56121"/>
    <x v="6"/>
    <x v="87"/>
    <s v="ISSA OK"/>
    <x v="3"/>
    <x v="1"/>
  </r>
  <r>
    <x v="1"/>
    <m/>
    <s v="IMI-VS-56158/00C8-1"/>
    <m/>
    <m/>
    <m/>
    <n v="56158"/>
    <x v="7"/>
    <x v="88"/>
    <s v="ISSA OK"/>
    <x v="3"/>
    <x v="1"/>
  </r>
  <r>
    <x v="1"/>
    <m/>
    <s v="IMI-VS-56162/03CX-1"/>
    <m/>
    <m/>
    <m/>
    <n v="56162"/>
    <x v="8"/>
    <x v="89"/>
    <s v="ISSA OK"/>
    <x v="3"/>
    <x v="1"/>
  </r>
  <r>
    <x v="1"/>
    <m/>
    <s v="IMI-VS-56162/06YJ-1"/>
    <m/>
    <m/>
    <m/>
    <n v="56162"/>
    <x v="8"/>
    <x v="90"/>
    <s v="ISSA OK"/>
    <x v="3"/>
    <x v="1"/>
  </r>
  <r>
    <x v="1"/>
    <m/>
    <s v="IMI-VS-56162/04AU-1"/>
    <m/>
    <m/>
    <m/>
    <n v="56162"/>
    <x v="8"/>
    <x v="91"/>
    <s v="ISSA OK"/>
    <x v="3"/>
    <x v="1"/>
  </r>
  <r>
    <x v="1"/>
    <m/>
    <s v="IMI-VS-56162/03VI-1"/>
    <m/>
    <m/>
    <m/>
    <n v="56162"/>
    <x v="8"/>
    <x v="92"/>
    <s v="ISSA OK"/>
    <x v="3"/>
    <x v="1"/>
  </r>
  <r>
    <x v="1"/>
    <m/>
    <s v="IMI-VS-56181/00G2-1"/>
    <m/>
    <m/>
    <m/>
    <n v="56181"/>
    <x v="9"/>
    <x v="93"/>
    <s v="ISSA OK"/>
    <x v="3"/>
    <x v="1"/>
  </r>
  <r>
    <x v="1"/>
    <m/>
    <s v="IMI-VS-56185/023Y-1"/>
    <m/>
    <m/>
    <m/>
    <n v="56185"/>
    <x v="10"/>
    <x v="94"/>
    <s v="ISSA OK"/>
    <x v="3"/>
    <x v="1"/>
  </r>
  <r>
    <x v="1"/>
    <m/>
    <s v="IMI-VS-56206/00AU-2"/>
    <m/>
    <m/>
    <m/>
    <n v="56206"/>
    <x v="11"/>
    <x v="95"/>
    <s v="ISSA OK"/>
    <x v="3"/>
    <x v="1"/>
  </r>
  <r>
    <x v="1"/>
    <m/>
    <s v="IMI-VS-56243/02Q5-1"/>
    <m/>
    <m/>
    <m/>
    <n v="56243"/>
    <x v="12"/>
    <x v="96"/>
    <s v="ISSA OK"/>
    <x v="3"/>
    <x v="1"/>
  </r>
  <r>
    <x v="1"/>
    <m/>
    <s v="IMI-VS-56243/02FA-1"/>
    <m/>
    <m/>
    <m/>
    <n v="56243"/>
    <x v="12"/>
    <x v="97"/>
    <s v="ISSA OK"/>
    <x v="3"/>
    <x v="1"/>
  </r>
  <r>
    <x v="1"/>
    <m/>
    <s v="IMI-VE-56248/00JR-1"/>
    <m/>
    <m/>
    <m/>
    <n v="56248"/>
    <x v="13"/>
    <x v="98"/>
    <s v="ISSA OK"/>
    <x v="3"/>
    <x v="1"/>
  </r>
  <r>
    <x v="1"/>
    <m/>
    <s v="IMI-VS-56255/00J2-1"/>
    <m/>
    <m/>
    <m/>
    <n v="56255"/>
    <x v="14"/>
    <x v="99"/>
    <s v="ISSA OK"/>
    <x v="3"/>
    <x v="1"/>
  </r>
  <r>
    <x v="1"/>
    <m/>
    <s v="IMI-VS-56260/0335-1"/>
    <m/>
    <m/>
    <m/>
    <n v="56260"/>
    <x v="15"/>
    <x v="100"/>
    <s v="ISSA OK"/>
    <x v="3"/>
    <x v="1"/>
  </r>
  <r>
    <x v="1"/>
    <m/>
    <s v="IMI-VS-56260/0468-1"/>
    <m/>
    <m/>
    <m/>
    <n v="56260"/>
    <x v="15"/>
    <x v="101"/>
    <s v="ISSA OK"/>
    <x v="3"/>
    <x v="1"/>
  </r>
  <r>
    <x v="1"/>
    <m/>
    <s v="IMI-VS-56260/01VH-1"/>
    <m/>
    <m/>
    <m/>
    <n v="56260"/>
    <x v="15"/>
    <x v="102"/>
    <s v="ISSA OK"/>
    <x v="3"/>
    <x v="1"/>
  </r>
  <r>
    <x v="2"/>
    <d v="2025-06-30T00:00:00"/>
    <s v="IMI-VE-56260/074C-2"/>
    <m/>
    <m/>
    <m/>
    <n v="56260"/>
    <x v="15"/>
    <x v="103"/>
    <s v="Dossier retiré par Sogtrel"/>
    <x v="3"/>
    <x v="1"/>
  </r>
  <r>
    <x v="1"/>
    <m/>
    <s v="IMI-VS-56260/03ZU-1"/>
    <m/>
    <m/>
    <m/>
    <n v="56260"/>
    <x v="15"/>
    <x v="104"/>
    <s v="ISSA OK"/>
    <x v="3"/>
    <x v="1"/>
  </r>
  <r>
    <x v="1"/>
    <m/>
    <s v="IMI-VS-56260/012N-1"/>
    <m/>
    <m/>
    <m/>
    <n v="56260"/>
    <x v="15"/>
    <x v="105"/>
    <s v="ISSA OK"/>
    <x v="3"/>
    <x v="1"/>
  </r>
  <r>
    <x v="1"/>
    <m/>
    <s v="IMI-VS-56260/0522-1"/>
    <m/>
    <m/>
    <m/>
    <n v="56260"/>
    <x v="15"/>
    <x v="106"/>
    <s v="ISSA OK"/>
    <x v="3"/>
    <x v="1"/>
  </r>
  <r>
    <x v="3"/>
    <m/>
    <s v="IMI-VS-56121/012X-1"/>
    <m/>
    <m/>
    <m/>
    <n v="56121"/>
    <x v="6"/>
    <x v="107"/>
    <s v="Une deuxième visite sur le terrain est nécessaire pour assurer la continuité du câble PM-PA"/>
    <x v="3"/>
    <x v="1"/>
  </r>
  <r>
    <x v="1"/>
    <m/>
    <s v="IMI-VS-29232/0BPC-1"/>
    <m/>
    <m/>
    <m/>
    <n v="29232"/>
    <x v="16"/>
    <x v="108"/>
    <s v="amrou ok"/>
    <x v="3"/>
    <x v="1"/>
  </r>
  <r>
    <x v="1"/>
    <m/>
    <s v="IMI-VE-29232/057G-3"/>
    <m/>
    <m/>
    <m/>
    <n v="29232"/>
    <x v="16"/>
    <x v="109"/>
    <s v="amrou ok"/>
    <x v="3"/>
    <x v="1"/>
  </r>
  <r>
    <x v="1"/>
    <m/>
    <s v="IMI-VS-29232/06GH-1"/>
    <m/>
    <m/>
    <m/>
    <n v="29232"/>
    <x v="16"/>
    <x v="110"/>
    <s v="amrou ok"/>
    <x v="3"/>
    <x v="1"/>
  </r>
  <r>
    <x v="1"/>
    <m/>
    <s v="IMI-VS-29232/0JAC-1"/>
    <m/>
    <m/>
    <m/>
    <n v="29232"/>
    <x v="16"/>
    <x v="111"/>
    <s v="amrou ok"/>
    <x v="3"/>
    <x v="1"/>
  </r>
  <r>
    <x v="2"/>
    <m/>
    <s v="IMI-VE-29232/0GD0-1"/>
    <m/>
    <m/>
    <s v="IMB/29232/X/0GD0"/>
    <n v="29232"/>
    <x v="16"/>
    <x v="112"/>
    <s v="Dossier retiré par Sogtrel_x000a__x000a_"/>
    <x v="3"/>
    <x v="1"/>
  </r>
  <r>
    <x v="1"/>
    <m/>
    <s v="IMI-VS-29232/04H0-1"/>
    <m/>
    <m/>
    <m/>
    <n v="29232"/>
    <x v="16"/>
    <x v="113"/>
    <s v="amrou ok"/>
    <x v="3"/>
    <x v="1"/>
  </r>
  <r>
    <x v="1"/>
    <m/>
    <s v="IMI-VS-29232/0GER-1"/>
    <m/>
    <m/>
    <m/>
    <n v="29232"/>
    <x v="16"/>
    <x v="7"/>
    <s v="amrou ok"/>
    <x v="3"/>
    <x v="1"/>
  </r>
  <r>
    <x v="1"/>
    <m/>
    <s v="IMI-VS-29232/032P-1"/>
    <m/>
    <m/>
    <m/>
    <n v="29232"/>
    <x v="16"/>
    <x v="114"/>
    <s v="amrou ok"/>
    <x v="3"/>
    <x v="1"/>
  </r>
  <r>
    <x v="1"/>
    <m/>
    <s v="IMI-VS-29232/00EI-2"/>
    <m/>
    <m/>
    <m/>
    <n v="29232"/>
    <x v="16"/>
    <x v="115"/>
    <s v="amrou ok"/>
    <x v="3"/>
    <x v="1"/>
  </r>
  <r>
    <x v="2"/>
    <m/>
    <s v="IMI-VE-29232/02FN-1"/>
    <m/>
    <m/>
    <m/>
    <n v="29232"/>
    <x v="16"/>
    <x v="116"/>
    <s v="Dossier retiré par Sogtrel"/>
    <x v="3"/>
    <x v="1"/>
  </r>
  <r>
    <x v="1"/>
    <m/>
    <s v="SAV-PB-29232/0491-2"/>
    <m/>
    <m/>
    <m/>
    <n v="29232"/>
    <x v="16"/>
    <x v="117"/>
    <s v="amrou ok"/>
    <x v="3"/>
    <x v="1"/>
  </r>
  <r>
    <x v="2"/>
    <d v="2025-07-15T00:00:00"/>
    <s v="SAV-PB-29051/0238-1"/>
    <d v="2025-06-17T00:00:00"/>
    <m/>
    <m/>
    <n v="29051"/>
    <x v="17"/>
    <x v="118"/>
    <s v="Dossier retiré par Sogtrel_x000a_"/>
    <x v="3"/>
    <x v="1"/>
  </r>
  <r>
    <x v="2"/>
    <d v="2025-06-30T00:00:00"/>
    <s v="IMI-VS-29051/022V-1"/>
    <m/>
    <m/>
    <m/>
    <n v="29051"/>
    <x v="17"/>
    <x v="118"/>
    <s v="Dossier retiré par Sogtrel"/>
    <x v="3"/>
    <x v="1"/>
  </r>
  <r>
    <x v="1"/>
    <m/>
    <s v="IMI-VS-29232/0J5R-1"/>
    <m/>
    <m/>
    <m/>
    <n v="29232"/>
    <x v="16"/>
    <x v="119"/>
    <s v="amrou ok"/>
    <x v="3"/>
    <x v="1"/>
  </r>
  <r>
    <x v="1"/>
    <d v="2025-06-30T00:00:00"/>
    <s v="IMI-VS-29051022X-2 "/>
    <m/>
    <m/>
    <m/>
    <n v="29051"/>
    <x v="17"/>
    <x v="118"/>
    <s v="Avec travaux"/>
    <x v="3"/>
    <x v="1"/>
  </r>
  <r>
    <x v="1"/>
    <m/>
    <s v="IMI-VS-29232/0995-2"/>
    <m/>
    <m/>
    <m/>
    <n v="29232"/>
    <x v="16"/>
    <x v="120"/>
    <s v="amrou ok"/>
    <x v="3"/>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s v="ROD302455"/>
    <d v="2025-09-30T00:00:00"/>
    <x v="0"/>
    <x v="0"/>
    <s v="ROD401835"/>
    <x v="0"/>
    <x v="0"/>
    <x v="0"/>
    <m/>
    <m/>
    <m/>
    <m/>
    <d v="2024-10-24T00:00:00"/>
    <d v="2024-10-24T00:00:00"/>
    <x v="0"/>
    <x v="0"/>
  </r>
  <r>
    <s v="ROD400496"/>
    <d v="2025-11-06T00:00:00"/>
    <x v="0"/>
    <x v="0"/>
    <s v="ROD402113"/>
    <x v="1"/>
    <x v="1"/>
    <x v="1"/>
    <m/>
    <m/>
    <s v="M"/>
    <m/>
    <d v="2024-12-10T00:00:00"/>
    <d v="2024-12-10T00:00:00"/>
    <x v="1"/>
    <x v="0"/>
  </r>
  <r>
    <s v="ROD400501"/>
    <d v="2025-12-01T00:00:00"/>
    <x v="0"/>
    <x v="0"/>
    <s v="ROD402081"/>
    <x v="2"/>
    <x v="2"/>
    <x v="2"/>
    <m/>
    <m/>
    <m/>
    <m/>
    <d v="2024-12-05T00:00:00"/>
    <d v="2024-12-05T00:00:00"/>
    <x v="1"/>
    <x v="0"/>
  </r>
  <r>
    <s v="ROD400503"/>
    <d v="2025-10-20T00:00:00"/>
    <x v="1"/>
    <x v="0"/>
    <s v="ROD401860"/>
    <x v="1"/>
    <x v="2"/>
    <x v="2"/>
    <m/>
    <m/>
    <s v="M"/>
    <m/>
    <d v="2024-10-28T00:00:00"/>
    <d v="2024-10-28T00:00:00"/>
    <x v="0"/>
    <x v="0"/>
  </r>
  <r>
    <s v="ROD400681"/>
    <d v="2025-09-26T00:00:00"/>
    <x v="0"/>
    <x v="0"/>
    <s v="ROD401781"/>
    <x v="1"/>
    <x v="3"/>
    <x v="3"/>
    <m/>
    <m/>
    <m/>
    <m/>
    <d v="2024-10-16T00:00:00"/>
    <d v="2024-10-16T00:00:00"/>
    <x v="0"/>
    <x v="0"/>
  </r>
  <r>
    <s v="ROD401150"/>
    <d v="2025-09-18T00:00:00"/>
    <x v="0"/>
    <x v="0"/>
    <s v="ROD402199"/>
    <x v="1"/>
    <x v="4"/>
    <x v="4"/>
    <m/>
    <m/>
    <s v="M"/>
    <m/>
    <d v="2024-12-27T00:00:00"/>
    <d v="2024-12-27T00:00:00"/>
    <x v="1"/>
    <x v="0"/>
  </r>
  <r>
    <s v="ROD401264"/>
    <d v="2025-10-20T00:00:00"/>
    <x v="1"/>
    <x v="0"/>
    <s v="ROD302455"/>
    <x v="1"/>
    <x v="5"/>
    <x v="5"/>
    <m/>
    <m/>
    <m/>
    <m/>
    <d v="2023-11-24T00:00:00"/>
    <d v="2025-01-10T00:00:00"/>
    <x v="2"/>
    <x v="1"/>
  </r>
  <r>
    <s v="ROD401316"/>
    <d v="2025-10-15T00:00:00"/>
    <x v="2"/>
    <x v="0"/>
    <s v="ROD401976"/>
    <x v="3"/>
    <x v="6"/>
    <x v="6"/>
    <m/>
    <s v="Dossier liée a la "/>
    <m/>
    <m/>
    <d v="2024-11-20T00:00:00"/>
    <d v="2024-11-21T00:00:00"/>
    <x v="2"/>
    <x v="0"/>
  </r>
  <r>
    <s v="ROD401345"/>
    <d v="2025-09-29T00:00:00"/>
    <x v="2"/>
    <x v="0"/>
    <s v="ROD402153"/>
    <x v="1"/>
    <x v="7"/>
    <x v="7"/>
    <m/>
    <m/>
    <m/>
    <m/>
    <d v="2024-12-18T00:00:00"/>
    <d v="2024-12-18T00:00:00"/>
    <x v="1"/>
    <x v="0"/>
  </r>
  <r>
    <s v="ROD401415"/>
    <d v="2025-09-29T00:00:00"/>
    <x v="2"/>
    <x v="0"/>
    <s v="ROD500523"/>
    <x v="1"/>
    <x v="8"/>
    <x v="8"/>
    <m/>
    <m/>
    <m/>
    <m/>
    <d v="2025-04-01T00:00:00"/>
    <d v="2025-04-04T00:00:00"/>
    <x v="3"/>
    <x v="2"/>
  </r>
  <r>
    <s v="ROD401441"/>
    <d v="2025-09-22T00:00:00"/>
    <x v="1"/>
    <x v="0"/>
    <s v="ROD500565"/>
    <x v="3"/>
    <x v="9"/>
    <x v="9"/>
    <d v="2025-04-15T00:00:00"/>
    <m/>
    <m/>
    <m/>
    <d v="2025-04-10T00:00:00"/>
    <d v="2025-04-10T00:00:00"/>
    <x v="3"/>
    <x v="2"/>
  </r>
  <r>
    <s v="ROD401442"/>
    <d v="2026-04-15T00:00:00"/>
    <x v="0"/>
    <x v="0"/>
    <s v="ROD500985"/>
    <x v="4"/>
    <x v="10"/>
    <x v="10"/>
    <d v="2025-07-15T00:00:00"/>
    <m/>
    <s v="M"/>
    <m/>
    <d v="2025-07-04T00:00:00"/>
    <d v="2025-07-04T00:00:00"/>
    <x v="4"/>
    <x v="2"/>
  </r>
  <r>
    <s v="ROD500387"/>
    <d v="2026-02-09T00:00:00"/>
    <x v="0"/>
    <x v="0"/>
    <s v="ROD501180"/>
    <x v="5"/>
    <x v="11"/>
    <x v="11"/>
    <d v="2025-08-08T00:00:00"/>
    <m/>
    <m/>
    <m/>
    <d v="2025-08-05T00:00:00"/>
    <d v="2025-08-06T00:00:00"/>
    <x v="5"/>
    <x v="2"/>
  </r>
  <r>
    <s v="ROD401448"/>
    <d v="2025-09-30T00:00:00"/>
    <x v="0"/>
    <x v="1"/>
    <s v="ROD500214"/>
    <x v="1"/>
    <x v="12"/>
    <x v="12"/>
    <d v="2025-02-17T00:00:00"/>
    <m/>
    <m/>
    <m/>
    <d v="2025-02-12T00:00:00"/>
    <d v="2025-02-12T00:00:00"/>
    <x v="6"/>
    <x v="2"/>
  </r>
  <r>
    <s v="ROD401450"/>
    <d v="2025-09-30T00:00:00"/>
    <x v="0"/>
    <x v="1"/>
    <s v="ROD500199"/>
    <x v="3"/>
    <x v="13"/>
    <x v="13"/>
    <d v="2025-02-13T00:00:00"/>
    <m/>
    <m/>
    <m/>
    <d v="2025-02-11T00:00:00"/>
    <d v="2025-02-11T00:00:00"/>
    <x v="6"/>
    <x v="2"/>
  </r>
  <r>
    <s v="ROD500362"/>
    <d v="2025-10-09T00:00:00"/>
    <x v="0"/>
    <x v="1"/>
    <s v="ROD500923"/>
    <x v="1"/>
    <x v="14"/>
    <x v="14"/>
    <d v="2025-06-30T00:00:00"/>
    <m/>
    <s v="C"/>
    <m/>
    <d v="2025-06-24T00:00:00"/>
    <d v="2025-06-24T00:00:00"/>
    <x v="7"/>
    <x v="2"/>
  </r>
  <r>
    <s v="ROD401509"/>
    <d v="2025-10-27T00:00:00"/>
    <x v="0"/>
    <x v="2"/>
    <s v="ROD400033"/>
    <x v="1"/>
    <x v="15"/>
    <x v="15"/>
    <m/>
    <m/>
    <m/>
    <m/>
    <d v="2024-01-11T00:00:00"/>
    <d v="2024-09-12T00:00:00"/>
    <x v="8"/>
    <x v="0"/>
  </r>
  <r>
    <s v="ROD401529"/>
    <d v="2025-09-30T00:00:00"/>
    <x v="0"/>
    <x v="2"/>
    <s v="ROD400656"/>
    <x v="3"/>
    <x v="16"/>
    <x v="16"/>
    <m/>
    <m/>
    <m/>
    <m/>
    <d v="2024-04-16T00:00:00"/>
    <d v="2021-08-30T00:00:00"/>
    <x v="3"/>
    <x v="0"/>
  </r>
  <r>
    <s v="ROD401602"/>
    <d v="2025-10-29T00:00:00"/>
    <x v="0"/>
    <x v="2"/>
    <s v="ROD400677"/>
    <x v="6"/>
    <x v="17"/>
    <x v="17"/>
    <m/>
    <m/>
    <s v="M"/>
    <m/>
    <d v="2024-04-22T00:00:00"/>
    <d v="2025-02-07T00:00:00"/>
    <x v="3"/>
    <x v="0"/>
  </r>
  <r>
    <s v="ROD401619"/>
    <d v="2025-09-30T00:00:00"/>
    <x v="1"/>
    <x v="2"/>
    <s v="ROD401619"/>
    <x v="7"/>
    <x v="18"/>
    <x v="18"/>
    <m/>
    <m/>
    <s v="M"/>
    <m/>
    <d v="2024-09-23T00:00:00"/>
    <d v="2025-05-27T00:00:00"/>
    <x v="9"/>
    <x v="0"/>
  </r>
  <r>
    <s v="ROD401726"/>
    <d v="2025-09-29T00:00:00"/>
    <x v="0"/>
    <x v="2"/>
    <s v="ROD401689"/>
    <x v="4"/>
    <x v="19"/>
    <x v="19"/>
    <d v="2025-01-23T00:00:00"/>
    <s v="13/05:les travaux seront effectués dans 2 mois "/>
    <s v="M"/>
    <n v="682776141"/>
    <d v="2024-09-30T00:00:00"/>
    <d v="2024-10-01T00:00:00"/>
    <x v="9"/>
    <x v="0"/>
  </r>
  <r>
    <s v="ROD401748"/>
    <d v="2025-11-12T00:00:00"/>
    <x v="0"/>
    <x v="2"/>
    <s v="ROD401797"/>
    <x v="1"/>
    <x v="20"/>
    <x v="20"/>
    <d v="2025-01-23T00:00:00"/>
    <m/>
    <s v="M"/>
    <m/>
    <d v="2024-10-18T00:00:00"/>
    <d v="2024-10-18T00:00:00"/>
    <x v="0"/>
    <x v="0"/>
  </r>
  <r>
    <s v="ROD401782"/>
    <d v="2025-10-06T00:00:00"/>
    <x v="0"/>
    <x v="2"/>
    <s v="ROD401938"/>
    <x v="7"/>
    <x v="19"/>
    <x v="21"/>
    <d v="2025-01-23T00:00:00"/>
    <s v="13/05:les travaux seront effectués dans 2 mois (lié au ROD401689)"/>
    <s v="M"/>
    <n v="682776141"/>
    <d v="2024-11-13T00:00:00"/>
    <d v="2024-11-13T00:00:00"/>
    <x v="2"/>
    <x v="0"/>
  </r>
  <r>
    <s v="ROD401787"/>
    <d v="2025-12-01T00:00:00"/>
    <x v="0"/>
    <x v="2"/>
    <s v="ROD401971"/>
    <x v="1"/>
    <x v="14"/>
    <x v="22"/>
    <m/>
    <m/>
    <m/>
    <m/>
    <d v="2024-11-20T00:00:00"/>
    <d v="2024-11-21T00:00:00"/>
    <x v="2"/>
    <x v="0"/>
  </r>
  <r>
    <s v="ROD401860"/>
    <d v="2025-09-30T00:00:00"/>
    <x v="0"/>
    <x v="2"/>
    <s v="ROD402002"/>
    <x v="3"/>
    <x v="21"/>
    <x v="23"/>
    <d v="2025-01-21T00:00:00"/>
    <m/>
    <s v="M"/>
    <m/>
    <d v="2024-11-25T00:00:00"/>
    <d v="2024-11-26T00:00:00"/>
    <x v="2"/>
    <x v="0"/>
  </r>
  <r>
    <s v="ROD401871"/>
    <d v="2025-10-24T00:00:00"/>
    <x v="0"/>
    <x v="2"/>
    <s v="ROD402051"/>
    <x v="1"/>
    <x v="22"/>
    <x v="24"/>
    <m/>
    <m/>
    <s v="M"/>
    <m/>
    <d v="2024-11-29T00:00:00"/>
    <d v="2024-12-02T00:00:00"/>
    <x v="2"/>
    <x v="0"/>
  </r>
  <r>
    <s v="ROD401933"/>
    <d v="2025-10-22T00:00:00"/>
    <x v="0"/>
    <x v="2"/>
    <s v="ROD402078"/>
    <x v="3"/>
    <x v="23"/>
    <x v="25"/>
    <m/>
    <m/>
    <s v="M"/>
    <m/>
    <d v="2024-12-05T00:00:00"/>
    <d v="2024-12-05T00:00:00"/>
    <x v="1"/>
    <x v="0"/>
  </r>
  <r>
    <s v="ROD401967"/>
    <d v="2025-11-05T00:00:00"/>
    <x v="0"/>
    <x v="2"/>
    <s v="ROD402180"/>
    <x v="1"/>
    <x v="18"/>
    <x v="26"/>
    <m/>
    <m/>
    <m/>
    <m/>
    <d v="2024-12-20T00:00:00"/>
    <d v="2024-12-20T00:00:00"/>
    <x v="1"/>
    <x v="0"/>
  </r>
  <r>
    <s v="ROD401976"/>
    <d v="2025-09-29T00:00:00"/>
    <x v="0"/>
    <x v="2"/>
    <s v="ROD500031"/>
    <x v="0"/>
    <x v="24"/>
    <x v="27"/>
    <d v="2025-01-15T00:00:00"/>
    <m/>
    <m/>
    <m/>
    <d v="2025-01-08T00:00:00"/>
    <d v="2025-01-08T00:00:00"/>
    <x v="8"/>
    <x v="2"/>
  </r>
  <r>
    <s v="ROD402003"/>
    <d v="2025-11-19T00:00:00"/>
    <x v="0"/>
    <x v="2"/>
    <s v="ROD500092"/>
    <x v="5"/>
    <x v="25"/>
    <x v="28"/>
    <d v="2025-02-04T00:00:00"/>
    <m/>
    <m/>
    <m/>
    <d v="2025-01-21T00:00:00"/>
    <d v="2025-01-22T00:00:00"/>
    <x v="8"/>
    <x v="2"/>
  </r>
  <r>
    <s v="ROD402014"/>
    <d v="2025-10-15T00:00:00"/>
    <x v="0"/>
    <x v="2"/>
    <s v="ROD500124"/>
    <x v="8"/>
    <x v="7"/>
    <x v="29"/>
    <m/>
    <m/>
    <s v="M"/>
    <m/>
    <d v="2025-01-28T00:00:00"/>
    <d v="2025-01-28T00:00:00"/>
    <x v="8"/>
    <x v="2"/>
  </r>
  <r>
    <s v="ROD402054"/>
    <d v="2025-10-13T00:00:00"/>
    <x v="0"/>
    <x v="2"/>
    <s v="ROD500134"/>
    <x v="3"/>
    <x v="4"/>
    <x v="30"/>
    <d v="2025-01-30T00:00:00"/>
    <m/>
    <m/>
    <m/>
    <d v="2025-01-28T00:00:00"/>
    <d v="2025-01-28T00:00:00"/>
    <x v="8"/>
    <x v="2"/>
  </r>
  <r>
    <s v="ROD402079"/>
    <d v="2025-10-20T00:00:00"/>
    <x v="0"/>
    <x v="2"/>
    <s v="ROD500159"/>
    <x v="9"/>
    <x v="26"/>
    <x v="31"/>
    <m/>
    <m/>
    <s v="M"/>
    <m/>
    <d v="2025-01-31T00:00:00"/>
    <d v="2025-01-31T00:00:00"/>
    <x v="8"/>
    <x v="2"/>
  </r>
  <r>
    <s v="ROD402098"/>
    <d v="2025-09-22T00:00:00"/>
    <x v="0"/>
    <x v="2"/>
    <s v="ROD500206"/>
    <x v="1"/>
    <x v="27"/>
    <x v="32"/>
    <d v="2025-02-14T00:00:00"/>
    <m/>
    <m/>
    <m/>
    <d v="2025-02-12T00:00:00"/>
    <d v="2025-02-12T00:00:00"/>
    <x v="6"/>
    <x v="2"/>
  </r>
  <r>
    <s v="ROD402153"/>
    <d v="2025-09-29T00:00:00"/>
    <x v="0"/>
    <x v="2"/>
    <s v="ROD500237"/>
    <x v="9"/>
    <x v="28"/>
    <x v="33"/>
    <d v="2025-02-18T00:00:00"/>
    <m/>
    <m/>
    <m/>
    <d v="2025-02-17T00:00:00"/>
    <d v="2025-02-17T00:00:00"/>
    <x v="6"/>
    <x v="2"/>
  </r>
  <r>
    <s v="ROD500004"/>
    <d v="2025-10-09T00:00:00"/>
    <x v="0"/>
    <x v="2"/>
    <s v="ROD500252"/>
    <x v="8"/>
    <x v="24"/>
    <x v="34"/>
    <m/>
    <m/>
    <s v="M"/>
    <m/>
    <d v="2025-02-18T00:00:00"/>
    <d v="2025-02-18T00:00:00"/>
    <x v="6"/>
    <x v="2"/>
  </r>
  <r>
    <s v="ROD500028"/>
    <d v="2025-10-06T00:00:00"/>
    <x v="0"/>
    <x v="2"/>
    <s v="ROD500265"/>
    <x v="3"/>
    <x v="29"/>
    <x v="35"/>
    <d v="2025-02-24T00:00:00"/>
    <m/>
    <s v="M"/>
    <m/>
    <d v="2025-02-20T00:00:00"/>
    <d v="2025-02-20T00:00:00"/>
    <x v="6"/>
    <x v="2"/>
  </r>
  <r>
    <s v="ROD500029"/>
    <d v="2025-10-06T00:00:00"/>
    <x v="0"/>
    <x v="2"/>
    <s v="ROD500302"/>
    <x v="1"/>
    <x v="30"/>
    <x v="36"/>
    <d v="2025-03-13T00:00:00"/>
    <m/>
    <m/>
    <m/>
    <d v="2025-02-26T00:00:00"/>
    <d v="2025-02-27T00:00:00"/>
    <x v="6"/>
    <x v="2"/>
  </r>
  <r>
    <s v="ROD500030"/>
    <d v="2025-09-22T00:00:00"/>
    <x v="0"/>
    <x v="2"/>
    <s v="ROD500334"/>
    <x v="2"/>
    <x v="16"/>
    <x v="37"/>
    <d v="2025-03-20T00:00:00"/>
    <m/>
    <m/>
    <m/>
    <d v="2025-03-04T00:00:00"/>
    <d v="2025-03-04T00:00:00"/>
    <x v="10"/>
    <x v="2"/>
  </r>
  <r>
    <s v="ROD500045"/>
    <d v="2025-10-16T00:00:00"/>
    <x v="0"/>
    <x v="2"/>
    <s v="ROD500336"/>
    <x v="2"/>
    <x v="6"/>
    <x v="6"/>
    <d v="2025-03-20T00:00:00"/>
    <s v="liée au ROD401976"/>
    <m/>
    <m/>
    <d v="2025-03-04T00:00:00"/>
    <d v="2025-03-04T00:00:00"/>
    <x v="10"/>
    <x v="2"/>
  </r>
  <r>
    <s v="ROD500082"/>
    <d v="2025-09-22T00:00:00"/>
    <x v="0"/>
    <x v="2"/>
    <s v="ROD500337"/>
    <x v="2"/>
    <x v="5"/>
    <x v="5"/>
    <m/>
    <m/>
    <s v="M"/>
    <m/>
    <d v="2025-03-04T00:00:00"/>
    <d v="2025-03-04T00:00:00"/>
    <x v="10"/>
    <x v="2"/>
  </r>
  <r>
    <s v="ROD500089"/>
    <d v="2025-09-22T00:00:00"/>
    <x v="0"/>
    <x v="2"/>
    <s v="ROD500352"/>
    <x v="6"/>
    <x v="31"/>
    <x v="38"/>
    <d v="2025-03-12T00:00:00"/>
    <m/>
    <s v="M"/>
    <m/>
    <d v="2025-03-07T00:00:00"/>
    <d v="2025-03-07T00:00:00"/>
    <x v="10"/>
    <x v="2"/>
  </r>
  <r>
    <s v="ROD500095"/>
    <d v="2025-09-22T00:00:00"/>
    <x v="0"/>
    <x v="2"/>
    <s v="ROD500354"/>
    <x v="1"/>
    <x v="32"/>
    <x v="39"/>
    <d v="2025-03-12T00:00:00"/>
    <m/>
    <s v="M"/>
    <m/>
    <d v="2025-03-07T00:00:00"/>
    <d v="2025-03-10T00:00:00"/>
    <x v="10"/>
    <x v="2"/>
  </r>
  <r>
    <s v="ROD500096"/>
    <d v="2025-10-06T00:00:00"/>
    <x v="0"/>
    <x v="2"/>
    <s v="ROD500376"/>
    <x v="9"/>
    <x v="33"/>
    <x v="40"/>
    <m/>
    <m/>
    <s v="M"/>
    <m/>
    <d v="2025-03-11T00:00:00"/>
    <d v="2025-03-11T00:00:00"/>
    <x v="10"/>
    <x v="2"/>
  </r>
  <r>
    <s v="ROD500097"/>
    <d v="2025-10-15T00:00:00"/>
    <x v="0"/>
    <x v="2"/>
    <s v="ROD500378"/>
    <x v="9"/>
    <x v="34"/>
    <x v="41"/>
    <m/>
    <m/>
    <s v="M"/>
    <m/>
    <d v="2025-03-11T00:00:00"/>
    <d v="2025-03-11T00:00:00"/>
    <x v="10"/>
    <x v="2"/>
  </r>
  <r>
    <s v="ROD500122"/>
    <d v="2026-03-10T00:00:00"/>
    <x v="0"/>
    <x v="2"/>
    <s v="ROD500584"/>
    <x v="0"/>
    <x v="35"/>
    <x v="42"/>
    <d v="2025-05-15T00:00:00"/>
    <m/>
    <m/>
    <m/>
    <d v="2025-04-15T00:00:00"/>
    <d v="2025-04-16T00:00:00"/>
    <x v="3"/>
    <x v="2"/>
  </r>
  <r>
    <s v="ROD500144"/>
    <d v="2025-09-30T00:00:00"/>
    <x v="0"/>
    <x v="2"/>
    <s v="ROD500597"/>
    <x v="10"/>
    <x v="36"/>
    <x v="43"/>
    <m/>
    <s v="LIEE A LA ROD500598"/>
    <m/>
    <m/>
    <d v="2025-04-17T00:00:00"/>
    <d v="2025-04-24T00:00:00"/>
    <x v="3"/>
    <x v="2"/>
  </r>
  <r>
    <s v="ROD500167"/>
    <d v="2025-10-20T00:00:00"/>
    <x v="0"/>
    <x v="2"/>
    <s v="ROD500600"/>
    <x v="0"/>
    <x v="37"/>
    <x v="44"/>
    <s v="28/04 11h00"/>
    <m/>
    <m/>
    <m/>
    <d v="2025-04-17T00:00:00"/>
    <d v="2025-04-22T00:00:00"/>
    <x v="3"/>
    <x v="2"/>
  </r>
  <r>
    <s v="ROD500168"/>
    <d v="2025-09-22T00:00:00"/>
    <x v="0"/>
    <x v="2"/>
    <s v="ROD500605"/>
    <x v="3"/>
    <x v="18"/>
    <x v="45"/>
    <d v="2025-04-24T00:00:00"/>
    <m/>
    <m/>
    <m/>
    <d v="2025-04-18T00:00:00"/>
    <d v="2025-04-18T00:00:00"/>
    <x v="3"/>
    <x v="2"/>
  </r>
  <r>
    <s v="ROD500171"/>
    <d v="2025-10-09T00:00:00"/>
    <x v="0"/>
    <x v="2"/>
    <s v="ROD500621"/>
    <x v="2"/>
    <x v="16"/>
    <x v="46"/>
    <d v="2025-05-08T00:00:00"/>
    <m/>
    <m/>
    <m/>
    <d v="2025-04-23T00:00:00"/>
    <d v="2025-04-23T00:00:00"/>
    <x v="3"/>
    <x v="2"/>
  </r>
  <r>
    <s v="ROD500172"/>
    <d v="2025-10-09T00:00:00"/>
    <x v="0"/>
    <x v="2"/>
    <s v="ROD500668"/>
    <x v="1"/>
    <x v="38"/>
    <x v="47"/>
    <d v="2025-05-20T00:00:00"/>
    <m/>
    <m/>
    <m/>
    <d v="2025-05-06T00:00:00"/>
    <d v="2025-05-06T00:00:00"/>
    <x v="11"/>
    <x v="2"/>
  </r>
  <r>
    <s v="ROD500177"/>
    <d v="2025-10-29T00:00:00"/>
    <x v="0"/>
    <x v="2"/>
    <s v="ROD500681"/>
    <x v="9"/>
    <x v="39"/>
    <x v="48"/>
    <s v="jeudi le 22/05 14h"/>
    <m/>
    <s v="M"/>
    <m/>
    <d v="2025-05-09T00:00:00"/>
    <d v="2025-05-09T00:00:00"/>
    <x v="11"/>
    <x v="2"/>
  </r>
  <r>
    <s v="ROD500207"/>
    <d v="2025-10-09T00:00:00"/>
    <x v="0"/>
    <x v="2"/>
    <s v="ROD500714"/>
    <x v="2"/>
    <x v="40"/>
    <x v="49"/>
    <d v="2025-05-28T00:00:00"/>
    <m/>
    <m/>
    <m/>
    <d v="2025-05-16T00:00:00"/>
    <d v="2025-05-16T00:00:00"/>
    <x v="11"/>
    <x v="2"/>
  </r>
  <r>
    <s v="ROD500208"/>
    <d v="2025-10-09T00:00:00"/>
    <x v="0"/>
    <x v="2"/>
    <s v="ROD500717"/>
    <x v="11"/>
    <x v="36"/>
    <x v="50"/>
    <m/>
    <m/>
    <m/>
    <m/>
    <d v="2025-05-16T00:00:00"/>
    <d v="2025-05-16T00:00:00"/>
    <x v="11"/>
    <x v="2"/>
  </r>
  <r>
    <s v="ROD500210"/>
    <d v="2025-10-16T00:00:00"/>
    <x v="0"/>
    <x v="2"/>
    <s v="ROD500751"/>
    <x v="12"/>
    <x v="41"/>
    <x v="51"/>
    <m/>
    <m/>
    <s v="M"/>
    <m/>
    <d v="2025-05-21T00:00:00"/>
    <d v="2025-05-21T00:00:00"/>
    <x v="11"/>
    <x v="2"/>
  </r>
  <r>
    <s v="ROD500238"/>
    <d v="2025-09-29T00:00:00"/>
    <x v="0"/>
    <x v="2"/>
    <s v="ROD500827"/>
    <x v="12"/>
    <x v="42"/>
    <x v="52"/>
    <m/>
    <m/>
    <s v="M"/>
    <m/>
    <d v="2025-06-05T00:00:00"/>
    <d v="2025-06-05T00:00:00"/>
    <x v="7"/>
    <x v="2"/>
  </r>
  <r>
    <s v="ROD500263"/>
    <d v="2025-10-29T00:00:00"/>
    <x v="0"/>
    <x v="2"/>
    <s v="ROD500983"/>
    <x v="6"/>
    <x v="43"/>
    <x v="53"/>
    <m/>
    <m/>
    <s v="M"/>
    <m/>
    <d v="2025-07-03T00:00:00"/>
    <d v="2025-07-04T00:00:00"/>
    <x v="4"/>
    <x v="2"/>
  </r>
  <r>
    <s v="ROD500269"/>
    <d v="2025-09-30T00:00:00"/>
    <x v="0"/>
    <x v="2"/>
    <s v="ROD501029"/>
    <x v="13"/>
    <x v="44"/>
    <x v="54"/>
    <m/>
    <m/>
    <m/>
    <m/>
    <d v="2025-07-09T00:00:00"/>
    <d v="2025-07-15T00:00:00"/>
    <x v="4"/>
    <x v="2"/>
  </r>
  <r>
    <s v="ROD500273"/>
    <d v="2025-09-29T00:00:00"/>
    <x v="0"/>
    <x v="2"/>
    <s v="ROD500822"/>
    <x v="1"/>
    <x v="45"/>
    <x v="55"/>
    <d v="2025-06-11T00:00:00"/>
    <m/>
    <m/>
    <m/>
    <d v="2025-06-04T00:00:00"/>
    <d v="2025-06-04T00:00:00"/>
    <x v="7"/>
    <x v="2"/>
  </r>
  <r>
    <s v="ROD500282"/>
    <d v="2025-09-22T00:00:00"/>
    <x v="0"/>
    <x v="2"/>
    <s v="ROD500703"/>
    <x v="1"/>
    <x v="1"/>
    <x v="56"/>
    <d v="2025-05-22T00:00:00"/>
    <m/>
    <m/>
    <m/>
    <d v="2025-05-14T00:00:00"/>
    <d v="2025-05-14T00:00:00"/>
    <x v="11"/>
    <x v="2"/>
  </r>
  <r>
    <s v="ROD500290"/>
    <d v="2025-09-29T00:00:00"/>
    <x v="0"/>
    <x v="2"/>
    <s v="ROD500348"/>
    <x v="2"/>
    <x v="46"/>
    <x v="57"/>
    <m/>
    <m/>
    <s v="M"/>
    <m/>
    <d v="2025-03-06T00:00:00"/>
    <d v="2025-03-06T00:00:00"/>
    <x v="10"/>
    <x v="2"/>
  </r>
  <r>
    <s v="ROD500323"/>
    <d v="2025-10-20T00:00:00"/>
    <x v="0"/>
    <x v="2"/>
    <s v="ROD500643"/>
    <x v="1"/>
    <x v="47"/>
    <x v="58"/>
    <d v="2025-05-03T00:00:00"/>
    <m/>
    <m/>
    <m/>
    <d v="2025-04-29T00:00:00"/>
    <d v="2025-04-29T00:00:00"/>
    <x v="3"/>
    <x v="2"/>
  </r>
  <r>
    <s v="ROD500345"/>
    <d v="2025-10-30T00:00:00"/>
    <x v="0"/>
    <x v="2"/>
    <s v="ROD500830"/>
    <x v="2"/>
    <x v="9"/>
    <x v="59"/>
    <d v="2025-06-09T00:00:00"/>
    <m/>
    <m/>
    <m/>
    <d v="2025-06-05T00:00:00"/>
    <d v="2025-06-05T00:00:00"/>
    <x v="7"/>
    <x v="2"/>
  </r>
  <r>
    <s v="ROD500346"/>
    <d v="2025-10-06T00:00:00"/>
    <x v="0"/>
    <x v="2"/>
    <s v="ROD500644"/>
    <x v="1"/>
    <x v="48"/>
    <x v="60"/>
    <d v="2025-05-03T00:00:00"/>
    <m/>
    <m/>
    <m/>
    <d v="2025-04-29T00:00:00"/>
    <d v="2025-04-29T00:00:00"/>
    <x v="3"/>
    <x v="2"/>
  </r>
  <r>
    <s v="ROD500369"/>
    <d v="2025-09-22T00:00:00"/>
    <x v="0"/>
    <x v="2"/>
    <s v="ROD401934"/>
    <x v="6"/>
    <x v="49"/>
    <x v="61"/>
    <m/>
    <m/>
    <s v="C"/>
    <m/>
    <d v="2024-11-13T00:00:00"/>
    <d v="2025-08-07T00:00:00"/>
    <x v="2"/>
    <x v="0"/>
  </r>
  <r>
    <s v="ROD500391"/>
    <d v="2025-10-13T00:00:00"/>
    <x v="0"/>
    <x v="2"/>
    <s v="ROD401582"/>
    <x v="9"/>
    <x v="17"/>
    <x v="62"/>
    <m/>
    <m/>
    <m/>
    <m/>
    <d v="2024-09-19T00:00:00"/>
    <d v="2024-09-19T00:00:00"/>
    <x v="9"/>
    <x v="0"/>
  </r>
  <r>
    <s v="ROD500423"/>
    <d v="2025-11-03T00:00:00"/>
    <x v="0"/>
    <x v="2"/>
    <s v="ROD500781"/>
    <x v="2"/>
    <x v="8"/>
    <x v="63"/>
    <d v="2025-06-01T00:00:00"/>
    <m/>
    <m/>
    <m/>
    <d v="2025-05-29T00:00:00"/>
    <d v="2025-05-30T00:00:00"/>
    <x v="11"/>
    <x v="2"/>
  </r>
  <r>
    <s v="ROD500442"/>
    <d v="2025-10-03T00:00:00"/>
    <x v="0"/>
    <x v="2"/>
    <s v="ROD500975"/>
    <x v="2"/>
    <x v="50"/>
    <x v="64"/>
    <d v="2025-07-15T00:00:00"/>
    <s v="LIEE ROD500232"/>
    <m/>
    <m/>
    <d v="2025-07-01T00:00:00"/>
    <d v="2025-07-02T00:00:00"/>
    <x v="4"/>
    <x v="2"/>
  </r>
  <r>
    <s v="ROD500469"/>
    <d v="2025-10-06T00:00:00"/>
    <x v="0"/>
    <x v="2"/>
    <s v="ROD401804"/>
    <x v="1"/>
    <x v="51"/>
    <x v="65"/>
    <m/>
    <m/>
    <m/>
    <m/>
    <d v="2024-10-21T00:00:00"/>
    <d v="2025-06-02T00:00:00"/>
    <x v="0"/>
    <x v="0"/>
  </r>
  <r>
    <s v="ROD500496"/>
    <d v="2025-09-29T00:00:00"/>
    <x v="0"/>
    <x v="2"/>
    <s v="ROD500561"/>
    <x v="3"/>
    <x v="52"/>
    <x v="66"/>
    <s v="23/04 à confirmer "/>
    <m/>
    <s v="M"/>
    <m/>
    <d v="2025-04-09T00:00:00"/>
    <d v="2025-04-10T00:00:00"/>
    <x v="3"/>
    <x v="2"/>
  </r>
  <r>
    <s v="ROD500499"/>
    <d v="2025-10-02T00:00:00"/>
    <x v="0"/>
    <x v="2"/>
    <s v="ROD500914"/>
    <x v="12"/>
    <x v="53"/>
    <x v="67"/>
    <m/>
    <m/>
    <s v="M"/>
    <m/>
    <d v="2025-06-23T00:00:00"/>
    <d v="2025-06-23T00:00:00"/>
    <x v="7"/>
    <x v="2"/>
  </r>
  <r>
    <s v="ROD500507"/>
    <d v="2025-10-07T00:00:00"/>
    <x v="0"/>
    <x v="2"/>
    <s v="ROD401947"/>
    <x v="1"/>
    <x v="54"/>
    <x v="68"/>
    <m/>
    <m/>
    <m/>
    <m/>
    <d v="2024-11-13T00:00:00"/>
    <d v="2024-11-14T00:00:00"/>
    <x v="2"/>
    <x v="0"/>
  </r>
  <r>
    <s v="ROD500519"/>
    <d v="2025-09-30T00:00:00"/>
    <x v="0"/>
    <x v="2"/>
    <s v="ROD202504"/>
    <x v="7"/>
    <x v="55"/>
    <x v="69"/>
    <m/>
    <m/>
    <s v="C"/>
    <m/>
    <d v="2022-12-13T00:00:00"/>
    <d v="2025-07-23T00:00:00"/>
    <x v="1"/>
    <x v="3"/>
  </r>
  <r>
    <s v="ROD500523"/>
    <d v="2025-09-29T00:00:00"/>
    <x v="0"/>
    <x v="2"/>
    <s v="ROD500797"/>
    <x v="12"/>
    <x v="56"/>
    <x v="70"/>
    <m/>
    <m/>
    <s v="M"/>
    <m/>
    <d v="2025-06-02T00:00:00"/>
    <d v="2025-06-02T00:00:00"/>
    <x v="7"/>
    <x v="2"/>
  </r>
  <r>
    <s v="ROD500525"/>
    <d v="2026-01-26T00:00:00"/>
    <x v="0"/>
    <x v="2"/>
    <s v="ROD500816"/>
    <x v="1"/>
    <x v="7"/>
    <x v="71"/>
    <m/>
    <m/>
    <m/>
    <m/>
    <d v="2025-06-03T00:00:00"/>
    <d v="2025-06-03T00:00:00"/>
    <x v="7"/>
    <x v="2"/>
  </r>
  <r>
    <s v="ROD500526"/>
    <d v="2025-09-22T00:00:00"/>
    <x v="0"/>
    <x v="2"/>
    <s v="ROD500784"/>
    <x v="3"/>
    <x v="40"/>
    <x v="72"/>
    <d v="2025-06-03T00:00:00"/>
    <m/>
    <m/>
    <m/>
    <d v="2025-05-30T00:00:00"/>
    <d v="2025-05-30T00:00:00"/>
    <x v="11"/>
    <x v="2"/>
  </r>
  <r>
    <s v="ROD500549"/>
    <d v="2025-10-06T00:00:00"/>
    <x v="0"/>
    <x v="2"/>
    <s v="ROD401146"/>
    <x v="6"/>
    <x v="43"/>
    <x v="73"/>
    <m/>
    <m/>
    <s v="M"/>
    <m/>
    <d v="2024-07-01T00:00:00"/>
    <d v="2025-06-02T00:00:00"/>
    <x v="4"/>
    <x v="0"/>
  </r>
  <r>
    <s v="ROD500565"/>
    <d v="2025-09-30T00:00:00"/>
    <x v="0"/>
    <x v="2"/>
    <s v="ROD501197"/>
    <x v="5"/>
    <x v="57"/>
    <x v="74"/>
    <d v="2025-08-13T00:00:00"/>
    <m/>
    <m/>
    <m/>
    <d v="2025-08-11T00:00:00"/>
    <d v="2025-08-08T00:00:00"/>
    <x v="5"/>
    <x v="2"/>
  </r>
  <r>
    <s v="ROD500574"/>
    <d v="2025-09-22T00:00:00"/>
    <x v="0"/>
    <x v="2"/>
    <s v="ROD500780"/>
    <x v="4"/>
    <x v="58"/>
    <x v="75"/>
    <s v="en cours"/>
    <m/>
    <s v="M"/>
    <n v="680459771"/>
    <d v="2025-05-28T00:00:00"/>
    <d v="2025-05-28T00:00:00"/>
    <x v="11"/>
    <x v="2"/>
  </r>
  <r>
    <s v="ROD500588"/>
    <d v="2026-03-17T00:00:00"/>
    <x v="0"/>
    <x v="2"/>
    <s v="ROD501003"/>
    <x v="6"/>
    <x v="58"/>
    <x v="75"/>
    <m/>
    <s v="ROD500780"/>
    <s v="C"/>
    <m/>
    <d v="2025-07-08T00:00:00"/>
    <d v="2025-07-08T00:00:00"/>
    <x v="4"/>
    <x v="2"/>
  </r>
  <r>
    <s v="ROD500610"/>
    <d v="2025-09-29T00:00:00"/>
    <x v="0"/>
    <x v="2"/>
    <s v="ROD401858"/>
    <x v="3"/>
    <x v="59"/>
    <x v="76"/>
    <m/>
    <m/>
    <m/>
    <m/>
    <d v="2024-10-25T00:00:00"/>
    <d v="2024-10-25T00:00:00"/>
    <x v="0"/>
    <x v="0"/>
  </r>
  <r>
    <s v="ROD500614"/>
    <d v="2025-10-10T00:00:00"/>
    <x v="0"/>
    <x v="2"/>
    <s v="ROD501281"/>
    <x v="2"/>
    <x v="59"/>
    <x v="77"/>
    <m/>
    <m/>
    <m/>
    <m/>
    <d v="2025-09-01T00:00:00"/>
    <d v="2025-09-01T00:00:00"/>
    <x v="9"/>
    <x v="2"/>
  </r>
  <r>
    <s v="ROD500627"/>
    <d v="2025-09-29T00:00:00"/>
    <x v="0"/>
    <x v="2"/>
    <s v="ROD501342"/>
    <x v="14"/>
    <x v="10"/>
    <x v="78"/>
    <m/>
    <m/>
    <m/>
    <m/>
    <d v="2025-09-15T00:00:00"/>
    <d v="2025-09-15T00:00:00"/>
    <x v="9"/>
    <x v="2"/>
  </r>
  <r>
    <s v="ROD500633"/>
    <d v="2025-10-15T00:00:00"/>
    <x v="0"/>
    <x v="2"/>
    <s v="ROD501067"/>
    <x v="2"/>
    <x v="60"/>
    <x v="79"/>
    <m/>
    <m/>
    <m/>
    <m/>
    <d v="2025-07-11T00:00:00"/>
    <d v="2025-07-11T00:00:00"/>
    <x v="4"/>
    <x v="2"/>
  </r>
  <r>
    <s v="ROD500638"/>
    <d v="2025-10-30T00:00:00"/>
    <x v="3"/>
    <x v="2"/>
    <s v="ROD500089"/>
    <x v="1"/>
    <x v="60"/>
    <x v="80"/>
    <m/>
    <m/>
    <m/>
    <m/>
    <d v="2025-01-21T00:00:00"/>
    <d v="2025-01-21T00:00:00"/>
    <x v="8"/>
    <x v="2"/>
  </r>
  <r>
    <s v="ROD500657"/>
    <d v="2025-09-22T00:00:00"/>
    <x v="0"/>
    <x v="3"/>
    <s v="ROD500232"/>
    <x v="0"/>
    <x v="50"/>
    <x v="81"/>
    <s v="21/02 09H"/>
    <m/>
    <s v="M"/>
    <m/>
    <d v="2025-02-14T00:00:00"/>
    <d v="2025-02-14T00:00:00"/>
    <x v="6"/>
    <x v="2"/>
  </r>
  <r>
    <s v="ROD500708"/>
    <d v="2025-10-15T00:00:00"/>
    <x v="0"/>
    <x v="3"/>
    <s v="ROD500349"/>
    <x v="1"/>
    <x v="16"/>
    <x v="82"/>
    <d v="2025-03-14T00:00:00"/>
    <m/>
    <m/>
    <m/>
    <d v="2025-03-06T00:00:00"/>
    <d v="2025-03-06T00:00:00"/>
    <x v="10"/>
    <x v="2"/>
  </r>
  <r>
    <s v="ROD500710"/>
    <d v="2025-10-03T00:00:00"/>
    <x v="0"/>
    <x v="3"/>
    <s v="ROD500704"/>
    <x v="1"/>
    <x v="40"/>
    <x v="83"/>
    <d v="2025-05-19T00:00:00"/>
    <m/>
    <m/>
    <m/>
    <d v="2025-05-14T00:00:00"/>
    <d v="2025-05-14T00:00:00"/>
    <x v="11"/>
    <x v="2"/>
  </r>
  <r>
    <s v="ROD500712"/>
    <d v="2025-09-30T00:00:00"/>
    <x v="3"/>
    <x v="4"/>
    <s v="ROD500369"/>
    <x v="4"/>
    <x v="10"/>
    <x v="84"/>
    <s v="20/03/2025 en cours"/>
    <s v="13/05: un mail a été envoyé"/>
    <s v="M"/>
    <n v="565608331"/>
    <d v="2025-03-11T00:00:00"/>
    <d v="2025-03-11T00:00:00"/>
    <x v="10"/>
    <x v="2"/>
  </r>
  <r>
    <s v="ROD500713"/>
    <d v="2025-09-26T00:00:00"/>
    <x v="4"/>
    <x v="4"/>
    <s v="ROD500831"/>
    <x v="6"/>
    <x v="10"/>
    <x v="85"/>
    <m/>
    <m/>
    <s v="M"/>
    <m/>
    <d v="2025-06-06T00:00:00"/>
    <d v="2025-06-06T00:00:00"/>
    <x v="7"/>
    <x v="2"/>
  </r>
  <r>
    <s v="ROD500727"/>
    <d v="2026-09-07T00:00:00"/>
    <x v="5"/>
    <x v="4"/>
    <s v="ROD501332"/>
    <x v="7"/>
    <x v="61"/>
    <x v="86"/>
    <m/>
    <s v="LIEE ROD500771 ROD500914"/>
    <s v="M"/>
    <m/>
    <m/>
    <m/>
    <x v="12"/>
    <x v="4"/>
  </r>
  <r>
    <s v="ROD500728"/>
    <d v="2025-09-16T00:00:00"/>
    <x v="2"/>
    <x v="4"/>
    <s v="ROD500273"/>
    <x v="4"/>
    <x v="62"/>
    <x v="87"/>
    <d v="2025-04-23T00:00:00"/>
    <m/>
    <s v="M"/>
    <m/>
    <d v="2025-02-24T00:00:00"/>
    <d v="2025-02-26T00:00:00"/>
    <x v="6"/>
    <x v="2"/>
  </r>
  <r>
    <s v="ROD500730"/>
    <d v="2026-03-10T00:00:00"/>
    <x v="2"/>
    <x v="4"/>
    <s v="ROD500496"/>
    <x v="4"/>
    <x v="62"/>
    <x v="87"/>
    <m/>
    <m/>
    <s v="M"/>
    <m/>
    <d v="2025-03-28T00:00:00"/>
    <d v="2025-03-28T00:00:00"/>
    <x v="10"/>
    <x v="2"/>
  </r>
  <r>
    <s v="ROD500755"/>
    <d v="2025-09-30T00:00:00"/>
    <x v="1"/>
    <x v="5"/>
    <s v="ROD500905"/>
    <x v="1"/>
    <x v="63"/>
    <x v="88"/>
    <d v="2025-06-24T00:00:00"/>
    <m/>
    <m/>
    <m/>
    <d v="2025-06-20T00:00:00"/>
    <s v="20/20/2025"/>
    <x v="7"/>
    <x v="2"/>
  </r>
  <r>
    <s v="ROD500756"/>
    <d v="2026-02-10T00:00:00"/>
    <x v="6"/>
    <x v="5"/>
    <s v="ROD501087"/>
    <x v="1"/>
    <x v="64"/>
    <x v="89"/>
    <m/>
    <m/>
    <m/>
    <m/>
    <d v="2025-07-17T00:00:00"/>
    <d v="2025-07-17T00:00:00"/>
    <x v="4"/>
    <x v="2"/>
  </r>
  <r>
    <s v="ROD500771"/>
    <d v="2025-10-10T00:00:00"/>
    <x v="7"/>
    <x v="5"/>
    <s v="ROD501183"/>
    <x v="1"/>
    <x v="65"/>
    <x v="90"/>
    <d v="2025-08-08T00:00:00"/>
    <m/>
    <m/>
    <m/>
    <d v="2025-08-07T00:00:00"/>
    <d v="2025-08-07T00:00:00"/>
    <x v="5"/>
    <x v="2"/>
  </r>
  <r>
    <s v="ROD500772"/>
    <d v="2025-10-10T00:00:00"/>
    <x v="8"/>
    <x v="6"/>
    <s v="ROD501280"/>
    <x v="2"/>
    <x v="40"/>
    <x v="91"/>
    <m/>
    <s v="Liée a la ROD500704"/>
    <s v="C"/>
    <m/>
    <d v="2025-09-01T00:00:00"/>
    <d v="2025-09-01T00:00:00"/>
    <x v="9"/>
    <x v="2"/>
  </r>
  <r>
    <s v="ROD500778"/>
    <d v="2025-10-08T00:00:00"/>
    <x v="3"/>
    <x v="6"/>
    <s v="ROD501142"/>
    <x v="3"/>
    <x v="66"/>
    <x v="92"/>
    <m/>
    <m/>
    <m/>
    <m/>
    <d v="2025-07-31T00:00:00"/>
    <d v="2025-07-31T00:00:00"/>
    <x v="4"/>
    <x v="2"/>
  </r>
  <r>
    <s v="ROD500783"/>
    <d v="2026-02-09T00:00:00"/>
    <x v="2"/>
    <x v="6"/>
    <s v="ROD501148"/>
    <x v="1"/>
    <x v="19"/>
    <x v="93"/>
    <d v="2025-08-06T00:00:00"/>
    <m/>
    <m/>
    <m/>
    <d v="2025-07-31T00:00:00"/>
    <d v="2025-07-31T00:00:00"/>
    <x v="4"/>
    <x v="2"/>
  </r>
  <r>
    <s v="ROD500787"/>
    <d v="2025-09-25T00:00:00"/>
    <x v="3"/>
    <x v="6"/>
    <s v="ROD501258"/>
    <x v="12"/>
    <x v="67"/>
    <x v="94"/>
    <m/>
    <m/>
    <s v="M"/>
    <m/>
    <d v="2025-08-25T00:00:00"/>
    <d v="2025-08-25T00:00:00"/>
    <x v="5"/>
    <x v="2"/>
  </r>
  <r>
    <s v="ROD500818"/>
    <d v="2025-09-30T00:00:00"/>
    <x v="6"/>
    <x v="6"/>
    <s v="ROD501224"/>
    <x v="15"/>
    <x v="68"/>
    <x v="95"/>
    <s v="mercredi 10 à 15h"/>
    <m/>
    <s v="C"/>
    <m/>
    <d v="2025-08-18T00:00:00"/>
    <d v="2025-08-18T00:00:00"/>
    <x v="5"/>
    <x v="2"/>
  </r>
  <r>
    <s v="ROD500831"/>
    <d v="2025-10-16T00:00:00"/>
    <x v="4"/>
    <x v="7"/>
    <s v="ROD501230"/>
    <x v="8"/>
    <x v="69"/>
    <x v="96"/>
    <m/>
    <s v="message laissé pour un rdv "/>
    <s v="M"/>
    <m/>
    <d v="2025-08-19T00:00:00"/>
    <d v="2025-08-20T00:00:00"/>
    <x v="5"/>
    <x v="2"/>
  </r>
  <r>
    <s v="ROD500837"/>
    <d v="2025-10-16T00:00:00"/>
    <x v="9"/>
    <x v="7"/>
    <s v="ROD501246"/>
    <x v="3"/>
    <x v="70"/>
    <x v="97"/>
    <s v="RDV pris lundi 11h30"/>
    <m/>
    <s v="C"/>
    <m/>
    <d v="2025-08-22T00:00:00"/>
    <d v="2025-08-22T00:00:00"/>
    <x v="5"/>
    <x v="2"/>
  </r>
  <r>
    <s v="ROD500862"/>
    <d v="2025-09-30T00:00:00"/>
    <x v="10"/>
    <x v="7"/>
    <s v="ROD501160"/>
    <x v="1"/>
    <x v="8"/>
    <x v="98"/>
    <d v="2025-08-05T00:00:00"/>
    <s v="URGENT "/>
    <m/>
    <m/>
    <d v="2025-08-01T00:00:00"/>
    <d v="2025-08-01T00:00:00"/>
    <x v="5"/>
    <x v="2"/>
  </r>
  <r>
    <s v="ROD500885"/>
    <d v="2025-09-26T00:00:00"/>
    <x v="11"/>
    <x v="7"/>
    <s v="ROD501101"/>
    <x v="1"/>
    <x v="71"/>
    <x v="99"/>
    <m/>
    <m/>
    <s v="C"/>
    <m/>
    <d v="2025-07-23T00:00:00"/>
    <d v="2025-07-23T00:00:00"/>
    <x v="4"/>
    <x v="2"/>
  </r>
  <r>
    <s v="ROD500889"/>
    <d v="2025-09-29T00:00:00"/>
    <x v="12"/>
    <x v="7"/>
    <s v="ROD401264"/>
    <x v="3"/>
    <x v="72"/>
    <x v="100"/>
    <m/>
    <m/>
    <m/>
    <m/>
    <d v="2024-07-17T00:00:00"/>
    <d v="2025-01-10T00:00:00"/>
    <x v="4"/>
    <x v="0"/>
  </r>
  <r>
    <s v="ROD500893"/>
    <d v="2025-10-13T00:00:00"/>
    <x v="5"/>
    <x v="7"/>
    <s v="ROD401316"/>
    <x v="1"/>
    <x v="73"/>
    <x v="101"/>
    <m/>
    <m/>
    <m/>
    <m/>
    <d v="2024-07-25T00:00:00"/>
    <d v="2025-01-18T00:00:00"/>
    <x v="4"/>
    <x v="0"/>
  </r>
  <r>
    <s v="ROD500894"/>
    <d v="2025-10-22T00:00:00"/>
    <x v="13"/>
    <x v="7"/>
    <s v="ROD401509"/>
    <x v="10"/>
    <x v="17"/>
    <x v="102"/>
    <m/>
    <m/>
    <m/>
    <m/>
    <d v="2024-09-06T00:00:00"/>
    <d v="2024-09-06T00:00:00"/>
    <x v="9"/>
    <x v="0"/>
  </r>
  <r>
    <s v="ROD500905"/>
    <d v="2025-09-30T00:00:00"/>
    <x v="1"/>
    <x v="7"/>
    <s v="ROD401529"/>
    <x v="16"/>
    <x v="74"/>
    <x v="103"/>
    <m/>
    <m/>
    <m/>
    <m/>
    <d v="2024-09-10T00:00:00"/>
    <d v="2024-09-10T00:00:00"/>
    <x v="9"/>
    <x v="0"/>
  </r>
  <r>
    <s v="ROD500947"/>
    <d v="2025-09-26T00:00:00"/>
    <x v="14"/>
    <x v="7"/>
    <s v="ROD401782"/>
    <x v="1"/>
    <x v="75"/>
    <x v="104"/>
    <m/>
    <m/>
    <m/>
    <m/>
    <d v="2024-10-17T00:00:00"/>
    <d v="2024-10-17T00:00:00"/>
    <x v="0"/>
    <x v="0"/>
  </r>
  <r>
    <s v="ROD500990"/>
    <d v="2025-09-30T00:00:00"/>
    <x v="5"/>
    <x v="7"/>
    <s v="ROD402014"/>
    <x v="1"/>
    <x v="76"/>
    <x v="105"/>
    <m/>
    <m/>
    <s v="M"/>
    <m/>
    <d v="2024-11-27T00:00:00"/>
    <d v="2024-11-27T00:00:00"/>
    <x v="2"/>
    <x v="0"/>
  </r>
  <r>
    <s v="ROD500992"/>
    <d v="2025-12-10T00:00:00"/>
    <x v="12"/>
    <x v="7"/>
    <s v="ROD402079"/>
    <x v="1"/>
    <x v="77"/>
    <x v="106"/>
    <m/>
    <m/>
    <s v="M"/>
    <m/>
    <d v="2024-12-05T00:00:00"/>
    <d v="2024-12-05T00:00:00"/>
    <x v="1"/>
    <x v="0"/>
  </r>
  <r>
    <s v="ROD500994"/>
    <d v="2025-09-30T00:00:00"/>
    <x v="14"/>
    <x v="7"/>
    <s v="ROD500028"/>
    <x v="5"/>
    <x v="78"/>
    <x v="107"/>
    <m/>
    <m/>
    <m/>
    <m/>
    <d v="2025-01-08T00:00:00"/>
    <d v="2025-01-08T00:00:00"/>
    <x v="8"/>
    <x v="2"/>
  </r>
  <r>
    <s v="ROD500998"/>
    <d v="2025-09-29T00:00:00"/>
    <x v="14"/>
    <x v="7"/>
    <s v="ROD500029"/>
    <x v="5"/>
    <x v="79"/>
    <x v="108"/>
    <m/>
    <m/>
    <m/>
    <m/>
    <d v="2025-01-08T00:00:00"/>
    <d v="2025-01-08T00:00:00"/>
    <x v="8"/>
    <x v="2"/>
  </r>
  <r>
    <s v="ROD501001"/>
    <d v="2025-10-20T00:00:00"/>
    <x v="3"/>
    <x v="7"/>
    <s v="ROD500030"/>
    <x v="5"/>
    <x v="80"/>
    <x v="109"/>
    <m/>
    <m/>
    <m/>
    <m/>
    <d v="2025-01-08T00:00:00"/>
    <d v="2025-01-08T00:00:00"/>
    <x v="8"/>
    <x v="2"/>
  </r>
  <r>
    <s v="ROD501002"/>
    <d v="2025-09-29T00:00:00"/>
    <x v="3"/>
    <x v="7"/>
    <s v="ROD500082"/>
    <x v="5"/>
    <x v="8"/>
    <x v="110"/>
    <m/>
    <m/>
    <m/>
    <m/>
    <d v="2025-01-20T00:00:00"/>
    <d v="2025-01-21T00:00:00"/>
    <x v="8"/>
    <x v="2"/>
  </r>
  <r>
    <s v="ROD501032"/>
    <d v="2025-09-19T00:00:00"/>
    <x v="3"/>
    <x v="7"/>
    <s v="ROD500095"/>
    <x v="5"/>
    <x v="81"/>
    <x v="111"/>
    <m/>
    <m/>
    <m/>
    <m/>
    <d v="2025-01-23T00:00:00"/>
    <d v="2025-01-23T00:00:00"/>
    <x v="8"/>
    <x v="2"/>
  </r>
  <r>
    <s v="ROD501040"/>
    <d v="2025-10-06T00:00:00"/>
    <x v="14"/>
    <x v="7"/>
    <s v="ROD500096"/>
    <x v="5"/>
    <x v="28"/>
    <x v="112"/>
    <m/>
    <m/>
    <m/>
    <m/>
    <d v="2025-01-04T00:00:00"/>
    <d v="2025-01-23T00:00:00"/>
    <x v="8"/>
    <x v="2"/>
  </r>
  <r>
    <s v="ROD501081"/>
    <d v="2026-02-20T00:00:00"/>
    <x v="5"/>
    <x v="7"/>
    <s v="ROD500097"/>
    <x v="5"/>
    <x v="82"/>
    <x v="113"/>
    <m/>
    <m/>
    <m/>
    <m/>
    <d v="2025-01-23T00:00:00"/>
    <d v="2025-01-23T00:00:00"/>
    <x v="8"/>
    <x v="2"/>
  </r>
  <r>
    <s v="ROD501086"/>
    <d v="2026-02-10T00:00:00"/>
    <x v="15"/>
    <x v="7"/>
    <s v="ROD500122"/>
    <x v="1"/>
    <x v="83"/>
    <x v="114"/>
    <m/>
    <m/>
    <m/>
    <m/>
    <d v="2025-01-28T00:00:00"/>
    <d v="2025-01-28T00:00:00"/>
    <x v="8"/>
    <x v="2"/>
  </r>
  <r>
    <s v="ROD501087"/>
    <d v="2025-09-26T00:00:00"/>
    <x v="12"/>
    <x v="7"/>
    <s v="ROD500167"/>
    <x v="5"/>
    <x v="36"/>
    <x v="115"/>
    <m/>
    <m/>
    <m/>
    <m/>
    <d v="2025-02-04T00:00:00"/>
    <d v="2025-02-04T00:00:00"/>
    <x v="6"/>
    <x v="2"/>
  </r>
  <r>
    <s v="ROD501099"/>
    <d v="2026-02-12T00:00:00"/>
    <x v="3"/>
    <x v="7"/>
    <s v="ROD500168"/>
    <x v="5"/>
    <x v="84"/>
    <x v="116"/>
    <m/>
    <m/>
    <m/>
    <m/>
    <d v="2025-02-04T00:00:00"/>
    <d v="2025-02-04T00:00:00"/>
    <x v="6"/>
    <x v="2"/>
  </r>
  <r>
    <s v="ROD501101"/>
    <d v="2026-02-10T00:00:00"/>
    <x v="16"/>
    <x v="7"/>
    <s v="ROD500171"/>
    <x v="5"/>
    <x v="22"/>
    <x v="117"/>
    <m/>
    <m/>
    <m/>
    <m/>
    <d v="2025-02-05T00:00:00"/>
    <d v="2025-02-05T00:00:00"/>
    <x v="6"/>
    <x v="2"/>
  </r>
  <r>
    <s v="ROD501103"/>
    <d v="2026-02-09T00:00:00"/>
    <x v="16"/>
    <x v="7"/>
    <s v="ROD500172"/>
    <x v="5"/>
    <x v="85"/>
    <x v="118"/>
    <m/>
    <m/>
    <m/>
    <m/>
    <d v="2025-02-05T00:00:00"/>
    <d v="2025-02-05T00:00:00"/>
    <x v="6"/>
    <x v="2"/>
  </r>
  <r>
    <s v="ROD501105"/>
    <d v="2026-03-10T00:00:00"/>
    <x v="16"/>
    <x v="7"/>
    <s v="ROD500207"/>
    <x v="5"/>
    <x v="86"/>
    <x v="119"/>
    <m/>
    <m/>
    <m/>
    <m/>
    <d v="2025-02-12T00:00:00"/>
    <d v="2025-02-17T00:00:00"/>
    <x v="6"/>
    <x v="2"/>
  </r>
  <r>
    <s v="ROD501110"/>
    <d v="2025-11-03T00:00:00"/>
    <x v="16"/>
    <x v="7"/>
    <s v="ROD500208"/>
    <x v="5"/>
    <x v="25"/>
    <x v="28"/>
    <m/>
    <m/>
    <m/>
    <m/>
    <d v="2025-02-12T00:00:00"/>
    <d v="2025-02-17T00:00:00"/>
    <x v="6"/>
    <x v="2"/>
  </r>
  <r>
    <s v="ROD501111"/>
    <d v="2025-10-13T00:00:00"/>
    <x v="4"/>
    <x v="7"/>
    <s v="ROD500210"/>
    <x v="5"/>
    <x v="56"/>
    <x v="120"/>
    <m/>
    <m/>
    <s v="M"/>
    <m/>
    <d v="2025-02-12T00:00:00"/>
    <d v="2025-02-12T00:00:00"/>
    <x v="6"/>
    <x v="2"/>
  </r>
  <r>
    <s v="ROD501131"/>
    <d v="2025-09-23T00:00:00"/>
    <x v="12"/>
    <x v="7"/>
    <s v="ROD500323"/>
    <x v="5"/>
    <x v="87"/>
    <x v="121"/>
    <m/>
    <m/>
    <m/>
    <m/>
    <d v="2025-03-03T00:00:00"/>
    <d v="2025-03-03T00:00:00"/>
    <x v="10"/>
    <x v="2"/>
  </r>
  <r>
    <s v="ROD501142"/>
    <d v="2025-09-22T00:00:00"/>
    <x v="14"/>
    <x v="7"/>
    <s v="ROD500346"/>
    <x v="5"/>
    <x v="88"/>
    <x v="122"/>
    <m/>
    <m/>
    <m/>
    <m/>
    <d v="2025-03-06T00:00:00"/>
    <d v="2025-03-06T00:00:00"/>
    <x v="10"/>
    <x v="2"/>
  </r>
  <r>
    <s v="ROD501148"/>
    <d v="2025-09-29T00:00:00"/>
    <x v="16"/>
    <x v="7"/>
    <s v="ROD500362"/>
    <x v="5"/>
    <x v="76"/>
    <x v="123"/>
    <m/>
    <m/>
    <s v="M"/>
    <m/>
    <d v="2025-03-10T00:00:00"/>
    <d v="2025-04-04T00:00:00"/>
    <x v="10"/>
    <x v="2"/>
  </r>
  <r>
    <s v="ROD501151"/>
    <d v="2025-09-23T00:00:00"/>
    <x v="17"/>
    <x v="7"/>
    <s v="ROD500387"/>
    <x v="1"/>
    <x v="17"/>
    <x v="124"/>
    <m/>
    <m/>
    <m/>
    <m/>
    <d v="2025-03-12T00:00:00"/>
    <d v="2025-03-12T00:00:00"/>
    <x v="10"/>
    <x v="2"/>
  </r>
  <r>
    <s v="ROD501153"/>
    <d v="2025-09-25T00:00:00"/>
    <x v="7"/>
    <x v="7"/>
    <s v="ROD500391"/>
    <x v="1"/>
    <x v="89"/>
    <x v="125"/>
    <m/>
    <m/>
    <m/>
    <m/>
    <d v="2025-03-12T00:00:00"/>
    <d v="2025-03-12T00:00:00"/>
    <x v="10"/>
    <x v="2"/>
  </r>
  <r>
    <s v="ROD501160"/>
    <d v="2026-03-02T00:00:00"/>
    <x v="18"/>
    <x v="7"/>
    <s v="ROD500423"/>
    <x v="1"/>
    <x v="90"/>
    <x v="126"/>
    <m/>
    <m/>
    <s v="M"/>
    <m/>
    <d v="2025-03-17T00:00:00"/>
    <d v="2025-03-17T00:00:00"/>
    <x v="10"/>
    <x v="2"/>
  </r>
  <r>
    <s v="ROD501165"/>
    <d v="2025-09-25T00:00:00"/>
    <x v="19"/>
    <x v="7"/>
    <s v="ROD500507"/>
    <x v="8"/>
    <x v="26"/>
    <x v="31"/>
    <m/>
    <m/>
    <s v="M"/>
    <m/>
    <d v="2025-03-31T00:00:00"/>
    <d v="2025-03-31T00:00:00"/>
    <x v="10"/>
    <x v="2"/>
  </r>
  <r>
    <s v="ROD501166"/>
    <d v="2025-09-25T00:00:00"/>
    <x v="20"/>
    <x v="7"/>
    <s v="ROD500525"/>
    <x v="1"/>
    <x v="91"/>
    <x v="127"/>
    <m/>
    <m/>
    <m/>
    <m/>
    <d v="2025-04-01T00:00:00"/>
    <d v="2025-04-04T00:00:00"/>
    <x v="3"/>
    <x v="2"/>
  </r>
  <r>
    <s v="ROD501172"/>
    <d v="2025-09-22T00:00:00"/>
    <x v="21"/>
    <x v="7"/>
    <s v="ROD500588"/>
    <x v="1"/>
    <x v="92"/>
    <x v="128"/>
    <m/>
    <m/>
    <m/>
    <m/>
    <d v="2025-04-15T00:00:00"/>
    <d v="2025-04-15T00:00:00"/>
    <x v="3"/>
    <x v="2"/>
  </r>
  <r>
    <s v="ROD501174"/>
    <d v="2025-09-22T00:00:00"/>
    <x v="2"/>
    <x v="7"/>
    <s v="ROD500610"/>
    <x v="0"/>
    <x v="10"/>
    <x v="129"/>
    <m/>
    <m/>
    <m/>
    <m/>
    <d v="2025-04-18T00:00:00"/>
    <d v="2025-04-22T00:00:00"/>
    <x v="3"/>
    <x v="2"/>
  </r>
  <r>
    <s v="ROD501175"/>
    <d v="2026-02-09T00:00:00"/>
    <x v="22"/>
    <x v="7"/>
    <s v="ROD500710"/>
    <x v="3"/>
    <x v="93"/>
    <x v="130"/>
    <m/>
    <m/>
    <m/>
    <m/>
    <d v="2025-05-14T00:00:00"/>
    <d v="2025-05-14T00:00:00"/>
    <x v="11"/>
    <x v="2"/>
  </r>
  <r>
    <s v="ROD501183"/>
    <d v="2025-10-13T00:00:00"/>
    <x v="15"/>
    <x v="7"/>
    <s v="ROD500730"/>
    <x v="17"/>
    <x v="94"/>
    <x v="131"/>
    <m/>
    <m/>
    <s v="M"/>
    <m/>
    <d v="2025-05-19T00:00:00"/>
    <d v="2025-05-19T00:00:00"/>
    <x v="11"/>
    <x v="2"/>
  </r>
  <r>
    <s v="ROD501186"/>
    <d v="2025-09-22T00:00:00"/>
    <x v="1"/>
    <x v="7"/>
    <s v="ROD500755"/>
    <x v="1"/>
    <x v="73"/>
    <x v="132"/>
    <m/>
    <m/>
    <m/>
    <m/>
    <d v="2025-05-22T00:00:00"/>
    <d v="2025-05-22T00:00:00"/>
    <x v="11"/>
    <x v="2"/>
  </r>
  <r>
    <s v="ROD501190"/>
    <d v="2025-10-16T00:00:00"/>
    <x v="11"/>
    <x v="7"/>
    <s v="ROD500756"/>
    <x v="18"/>
    <x v="35"/>
    <x v="42"/>
    <m/>
    <m/>
    <m/>
    <m/>
    <d v="2025-05-22T00:00:00"/>
    <d v="2025-05-22T00:00:00"/>
    <x v="11"/>
    <x v="2"/>
  </r>
  <r>
    <s v="ROD501196"/>
    <d v="2025-09-22T00:00:00"/>
    <x v="17"/>
    <x v="7"/>
    <s v="ROD500783"/>
    <x v="3"/>
    <x v="95"/>
    <x v="66"/>
    <m/>
    <m/>
    <m/>
    <m/>
    <d v="2025-05-30T00:00:00"/>
    <d v="2025-05-30T00:00:00"/>
    <x v="11"/>
    <x v="2"/>
  </r>
  <r>
    <s v="ROD501218"/>
    <d v="2026-03-16T00:00:00"/>
    <x v="8"/>
    <x v="7"/>
    <s v="ROD500787"/>
    <x v="0"/>
    <x v="62"/>
    <x v="87"/>
    <m/>
    <m/>
    <s v="M"/>
    <m/>
    <d v="2025-05-30T00:00:00"/>
    <d v="2025-05-30T00:00:00"/>
    <x v="11"/>
    <x v="2"/>
  </r>
  <r>
    <s v="ROD501224"/>
    <d v="2025-09-26T00:00:00"/>
    <x v="1"/>
    <x v="7"/>
    <s v="ROD500862"/>
    <x v="1"/>
    <x v="28"/>
    <x v="133"/>
    <m/>
    <m/>
    <m/>
    <m/>
    <d v="2025-06-11T00:00:00"/>
    <d v="2025-06-11T00:00:00"/>
    <x v="7"/>
    <x v="2"/>
  </r>
  <r>
    <s v="ROD501225"/>
    <d v="2025-11-12T00:00:00"/>
    <x v="6"/>
    <x v="7"/>
    <s v="ROD500885"/>
    <x v="1"/>
    <x v="96"/>
    <x v="134"/>
    <m/>
    <m/>
    <m/>
    <m/>
    <d v="2025-06-17T00:00:00"/>
    <d v="2025-06-17T00:00:00"/>
    <x v="7"/>
    <x v="2"/>
  </r>
  <r>
    <s v="ROD501229"/>
    <d v="2026-03-10T00:00:00"/>
    <x v="14"/>
    <x v="7"/>
    <s v="ROD501040"/>
    <x v="19"/>
    <x v="97"/>
    <x v="135"/>
    <m/>
    <m/>
    <s v="M"/>
    <m/>
    <d v="2025-07-09T00:00:00"/>
    <d v="2025-07-10T00:00:00"/>
    <x v="4"/>
    <x v="2"/>
  </r>
  <r>
    <s v="ROD501230"/>
    <d v="2025-10-16T00:00:00"/>
    <x v="11"/>
    <x v="7"/>
    <s v="ROD501086"/>
    <x v="1"/>
    <x v="98"/>
    <x v="136"/>
    <m/>
    <m/>
    <s v="C"/>
    <m/>
    <d v="2025-07-17T00:00:00"/>
    <d v="2025-07-17T00:00:00"/>
    <x v="4"/>
    <x v="2"/>
  </r>
  <r>
    <s v="ROD501231"/>
    <d v="2025-09-22T00:00:00"/>
    <x v="17"/>
    <x v="7"/>
    <s v="ROD501103"/>
    <x v="1"/>
    <x v="27"/>
    <x v="137"/>
    <m/>
    <m/>
    <m/>
    <m/>
    <d v="2025-07-23T00:00:00"/>
    <d v="2025-07-23T00:00:00"/>
    <x v="4"/>
    <x v="2"/>
  </r>
  <r>
    <s v="ROD501245"/>
    <d v="2026-03-09T00:00:00"/>
    <x v="23"/>
    <x v="7"/>
    <s v="ROD501099"/>
    <x v="3"/>
    <x v="99"/>
    <x v="138"/>
    <d v="2025-07-24T00:00:00"/>
    <m/>
    <m/>
    <m/>
    <d v="2025-07-22T00:00:00"/>
    <d v="2025-07-22T00:00:00"/>
    <x v="4"/>
    <x v="2"/>
  </r>
  <r>
    <s v="ROD501246"/>
    <d v="2026-03-16T00:00:00"/>
    <x v="17"/>
    <x v="7"/>
    <s v="ROD501175"/>
    <x v="1"/>
    <x v="100"/>
    <x v="139"/>
    <d v="2025-08-07T00:00:00"/>
    <m/>
    <s v="C"/>
    <m/>
    <d v="2025-08-05T00:00:00"/>
    <d v="2025-08-05T00:00:00"/>
    <x v="5"/>
    <x v="2"/>
  </r>
  <r>
    <s v="ROD501247"/>
    <d v="2025-09-19T00:00:00"/>
    <x v="7"/>
    <x v="7"/>
    <s v="ROD501111"/>
    <x v="7"/>
    <x v="101"/>
    <x v="140"/>
    <m/>
    <m/>
    <m/>
    <m/>
    <d v="2025-07-24T00:00:00"/>
    <d v="2025-07-24T00:00:00"/>
    <x v="4"/>
    <x v="2"/>
  </r>
  <r>
    <s v="ROD501253"/>
    <d v="2025-09-25T00:00:00"/>
    <x v="18"/>
    <x v="7"/>
    <s v="ROD501110"/>
    <x v="19"/>
    <x v="102"/>
    <x v="141"/>
    <m/>
    <m/>
    <s v="C"/>
    <m/>
    <d v="2025-07-24T00:00:00"/>
    <d v="2025-07-24T00:00:00"/>
    <x v="4"/>
    <x v="2"/>
  </r>
  <r>
    <s v="ROD501258"/>
    <d v="2025-09-22T00:00:00"/>
    <x v="15"/>
    <x v="7"/>
    <s v="ROD501105"/>
    <x v="20"/>
    <x v="103"/>
    <x v="142"/>
    <m/>
    <m/>
    <s v="M"/>
    <m/>
    <d v="2025-07-23T00:00:00"/>
    <d v="2025-07-23T00:00:00"/>
    <x v="4"/>
    <x v="2"/>
  </r>
  <r>
    <s v="ROD501264"/>
    <d v="2025-10-14T00:00:00"/>
    <x v="15"/>
    <x v="7"/>
    <s v="ROD501229"/>
    <x v="1"/>
    <x v="35"/>
    <x v="143"/>
    <d v="2025-08-21T00:00:00"/>
    <m/>
    <s v="C"/>
    <m/>
    <d v="2025-08-19T00:00:00"/>
    <d v="2025-08-19T00:00:00"/>
    <x v="5"/>
    <x v="2"/>
  </r>
  <r>
    <s v="ROD501270"/>
    <d v="2025-09-19T00:00:00"/>
    <x v="9"/>
    <x v="7"/>
    <s v="ROD501218"/>
    <x v="20"/>
    <x v="104"/>
    <x v="144"/>
    <d v="2025-08-20T00:00:00"/>
    <m/>
    <s v="M"/>
    <m/>
    <d v="2025-08-14T00:00:00"/>
    <d v="2025-08-14T00:00:00"/>
    <x v="5"/>
    <x v="2"/>
  </r>
  <r>
    <s v="ROD501273"/>
    <d v="2026-03-10T00:00:00"/>
    <x v="15"/>
    <x v="7"/>
    <s v="ROD501273"/>
    <x v="1"/>
    <x v="102"/>
    <x v="145"/>
    <d v="2025-09-05T00:00:00"/>
    <m/>
    <s v="C"/>
    <m/>
    <d v="2025-08-29T00:00:00"/>
    <d v="2025-08-29T00:00:00"/>
    <x v="5"/>
    <x v="2"/>
  </r>
  <r>
    <s v="ROD501274"/>
    <d v="2026-03-16T00:00:00"/>
    <x v="9"/>
    <x v="7"/>
    <s v="ROD501274"/>
    <x v="1"/>
    <x v="1"/>
    <x v="146"/>
    <d v="2025-09-05T00:00:00"/>
    <m/>
    <m/>
    <m/>
    <d v="2025-08-29T00:00:00"/>
    <d v="2025-08-29T00:00:00"/>
    <x v="5"/>
    <x v="2"/>
  </r>
  <r>
    <s v="ROD501280"/>
    <d v="2025-09-25T00:00:00"/>
    <x v="24"/>
    <x v="7"/>
    <s v="ROD501245"/>
    <x v="3"/>
    <x v="42"/>
    <x v="147"/>
    <d v="2025-09-01T00:00:00"/>
    <m/>
    <s v="C"/>
    <m/>
    <d v="2025-08-22T00:00:00"/>
    <d v="2025-08-22T00:00:00"/>
    <x v="5"/>
    <x v="2"/>
  </r>
  <r>
    <s v="ROD501292"/>
    <d v="2025-09-19T00:00:00"/>
    <x v="25"/>
    <x v="7"/>
    <s v="ROD501225"/>
    <x v="7"/>
    <x v="105"/>
    <x v="148"/>
    <m/>
    <m/>
    <s v="C"/>
    <m/>
    <d v="2025-08-18T00:00:00"/>
    <d v="2025-08-18T00:00:00"/>
    <x v="5"/>
    <x v="2"/>
  </r>
  <r>
    <s v="ROD501302"/>
    <d v="2025-09-30T00:00:00"/>
    <x v="26"/>
    <x v="7"/>
    <s v="ROD401871"/>
    <x v="1"/>
    <x v="3"/>
    <x v="149"/>
    <m/>
    <m/>
    <m/>
    <m/>
    <d v="2024-10-30T00:00:00"/>
    <d v="2024-10-30T00:00:00"/>
    <x v="0"/>
    <x v="0"/>
  </r>
  <r>
    <s v="ROD501312"/>
    <d v="2025-09-18T00:00:00"/>
    <x v="27"/>
    <x v="8"/>
    <s v="ROD501151"/>
    <x v="7"/>
    <x v="106"/>
    <x v="150"/>
    <s v="05/08/2025 / Retour le 17/09"/>
    <m/>
    <s v="C"/>
    <m/>
    <d v="2025-07-31T00:00:00"/>
    <d v="2025-07-31T00:00:00"/>
    <x v="4"/>
    <x v="2"/>
  </r>
  <r>
    <s v="ROD501313"/>
    <d v="2025-10-06T00:00:00"/>
    <x v="3"/>
    <x v="9"/>
    <s v="ROD500657"/>
    <x v="21"/>
    <x v="107"/>
    <x v="151"/>
    <m/>
    <m/>
    <m/>
    <m/>
    <d v="2025-05-06T00:00:00"/>
    <d v="2025-05-05T00:00:00"/>
    <x v="11"/>
    <x v="2"/>
  </r>
  <r>
    <s v="ROD501318"/>
    <d v="2025-09-23T00:00:00"/>
    <x v="28"/>
    <x v="9"/>
    <s v="ROD400496"/>
    <x v="9"/>
    <x v="43"/>
    <x v="152"/>
    <m/>
    <s v="Dossier inexistant"/>
    <m/>
    <m/>
    <d v="2024-03-22T00:00:00"/>
    <d v="2024-08-30T00:00:00"/>
    <x v="10"/>
    <x v="0"/>
  </r>
  <r>
    <s v="ROD501323"/>
    <d v="2025-09-23T00:00:00"/>
    <x v="1"/>
    <x v="9"/>
    <s v="ROD401448"/>
    <x v="4"/>
    <x v="32"/>
    <x v="152"/>
    <d v="2025-01-15T00:00:00"/>
    <s v="13/05:mairie injoignable (un mail a été envoyé)"/>
    <s v="M"/>
    <m/>
    <d v="2024-08-26T00:00:00"/>
    <d v="2024-08-26T00:00:00"/>
    <x v="5"/>
    <x v="0"/>
  </r>
  <r>
    <s v="ROD501325"/>
    <d v="2025-09-23T00:00:00"/>
    <x v="1"/>
    <x v="9"/>
    <s v="ROD401450"/>
    <x v="4"/>
    <x v="18"/>
    <x v="18"/>
    <m/>
    <m/>
    <s v="M"/>
    <m/>
    <d v="2024-08-26T00:00:00"/>
    <d v="2025-05-27T00:00:00"/>
    <x v="5"/>
    <x v="0"/>
  </r>
  <r>
    <s v="ROD501327"/>
    <d v="2025-10-29T00:00:00"/>
    <x v="29"/>
    <x v="9"/>
    <s v="ROD401602"/>
    <x v="5"/>
    <x v="108"/>
    <x v="153"/>
    <m/>
    <s v="CC"/>
    <m/>
    <m/>
    <d v="2024-09-20T00:00:00"/>
    <d v="2024-09-20T00:00:00"/>
    <x v="9"/>
    <x v="0"/>
  </r>
  <r>
    <s v="ROD501332"/>
    <d v="2025-10-15T00:00:00"/>
    <x v="30"/>
    <x v="9"/>
    <s v="ROD401787"/>
    <x v="5"/>
    <x v="96"/>
    <x v="154"/>
    <m/>
    <s v="CC"/>
    <m/>
    <m/>
    <d v="2024-10-17T00:00:00"/>
    <d v="2024-10-17T00:00:00"/>
    <x v="0"/>
    <x v="0"/>
  </r>
  <r>
    <s v="ROD501346"/>
    <d v="2025-10-06T00:00:00"/>
    <x v="31"/>
    <x v="9"/>
    <s v="ROD401967"/>
    <x v="4"/>
    <x v="109"/>
    <x v="66"/>
    <m/>
    <s v="Les travaux de construction de l'IMB sont en cours et devraient être finalisés en janvier 2026."/>
    <s v="M"/>
    <n v="565445012"/>
    <d v="2024-11-18T00:00:00"/>
    <d v="2024-11-18T00:00:00"/>
    <x v="2"/>
    <x v="0"/>
  </r>
  <r>
    <s v="ROD501348"/>
    <d v="2025-09-30T00:00:00"/>
    <x v="7"/>
    <x v="9"/>
    <s v="ROD402054"/>
    <x v="4"/>
    <x v="110"/>
    <x v="155"/>
    <m/>
    <s v="13/05: client injoignable (aucun mail sur dossier)                                                24/02: Les travaux seront accomplis début mai."/>
    <s v="M"/>
    <n v="688892099"/>
    <d v="2024-12-02T00:00:00"/>
    <d v="2024-12-02T00:00:00"/>
    <x v="1"/>
    <x v="0"/>
  </r>
  <r>
    <s v="ROD501349"/>
    <d v="2025-10-07T00:00:00"/>
    <x v="3"/>
    <x v="9"/>
    <s v="ROD402098"/>
    <x v="4"/>
    <x v="111"/>
    <x v="156"/>
    <m/>
    <s v="13/05 13:17 à rappeler dans 20min  Personne concerné non dispo, il va nous rappeler lui-même"/>
    <s v="M"/>
    <n v="565706960"/>
    <d v="2024-12-06T00:00:00"/>
    <d v="2024-12-06T00:00:00"/>
    <x v="1"/>
    <x v="0"/>
  </r>
  <r>
    <s v="ROD501357"/>
    <d v="2025-10-06T00:00:00"/>
    <x v="4"/>
    <x v="9"/>
    <s v="ROD500045"/>
    <x v="5"/>
    <x v="112"/>
    <x v="157"/>
    <d v="2025-01-27T00:00:00"/>
    <s v="CC"/>
    <m/>
    <m/>
    <d v="2025-01-10T00:00:00"/>
    <d v="2025-01-10T00:00:00"/>
    <x v="8"/>
    <x v="2"/>
  </r>
  <r>
    <s v="ROD501365"/>
    <d v="2025-09-29T00:00:00"/>
    <x v="2"/>
    <x v="9"/>
    <s v="ROD500238"/>
    <x v="5"/>
    <x v="113"/>
    <x v="158"/>
    <m/>
    <s v="CC"/>
    <m/>
    <m/>
    <d v="2025-02-17T00:00:00"/>
    <d v="2025-02-17T00:00:00"/>
    <x v="6"/>
    <x v="2"/>
  </r>
  <r>
    <s v="ROD501366"/>
    <d v="2025-09-30T00:00:00"/>
    <x v="29"/>
    <x v="9"/>
    <s v="ROD500263"/>
    <x v="5"/>
    <x v="114"/>
    <x v="159"/>
    <d v="2025-02-25T00:00:00"/>
    <s v=" ORANGE NON IMP"/>
    <m/>
    <m/>
    <d v="2025-02-20T00:00:00"/>
    <d v="2025-02-20T00:00:00"/>
    <x v="6"/>
    <x v="2"/>
  </r>
  <r>
    <m/>
    <m/>
    <x v="1"/>
    <x v="9"/>
    <s v="ROD500269"/>
    <x v="21"/>
    <x v="33"/>
    <x v="160"/>
    <d v="2025-02-27T00:00:00"/>
    <m/>
    <m/>
    <m/>
    <d v="2025-02-21T00:00:00"/>
    <d v="2025-02-21T00:00:00"/>
    <x v="6"/>
    <x v="2"/>
  </r>
  <r>
    <m/>
    <m/>
    <x v="3"/>
    <x v="9"/>
    <s v="ROD500282"/>
    <x v="6"/>
    <x v="93"/>
    <x v="161"/>
    <m/>
    <s v="Dossier inexistant"/>
    <s v="M"/>
    <m/>
    <d v="2025-02-25T00:00:00"/>
    <d v="2025-02-25T00:00:00"/>
    <x v="6"/>
    <x v="2"/>
  </r>
  <r>
    <m/>
    <m/>
    <x v="2"/>
    <x v="9"/>
    <s v="ROD500290"/>
    <x v="5"/>
    <x v="115"/>
    <x v="162"/>
    <m/>
    <s v="CC"/>
    <m/>
    <m/>
    <d v="2025-02-25T00:00:00"/>
    <d v="2025-02-25T00:00:00"/>
    <x v="6"/>
    <x v="2"/>
  </r>
  <r>
    <m/>
    <m/>
    <x v="32"/>
    <x v="9"/>
    <s v="ROD500345"/>
    <x v="5"/>
    <x v="116"/>
    <x v="163"/>
    <m/>
    <s v="CC"/>
    <m/>
    <m/>
    <d v="2025-03-05T00:00:00"/>
    <d v="2025-03-07T00:00:00"/>
    <x v="10"/>
    <x v="2"/>
  </r>
  <r>
    <m/>
    <m/>
    <x v="22"/>
    <x v="9"/>
    <s v="ROD500442"/>
    <x v="5"/>
    <x v="96"/>
    <x v="164"/>
    <d v="2025-03-27T00:00:00"/>
    <s v="CC"/>
    <m/>
    <m/>
    <d v="2025-03-19T00:00:00"/>
    <d v="2025-03-25T00:00:00"/>
    <x v="10"/>
    <x v="2"/>
  </r>
  <r>
    <m/>
    <m/>
    <x v="14"/>
    <x v="9"/>
    <s v="ROD500469"/>
    <x v="4"/>
    <x v="117"/>
    <x v="165"/>
    <d v="2025-03-27T00:00:00"/>
    <s v="13/05: un mail a été envoyé"/>
    <s v="M"/>
    <n v="656678086"/>
    <d v="2025-03-25T00:00:00"/>
    <d v="2025-03-25T00:00:00"/>
    <x v="10"/>
    <x v="2"/>
  </r>
  <r>
    <m/>
    <m/>
    <x v="33"/>
    <x v="9"/>
    <s v="ROD500499"/>
    <x v="4"/>
    <x v="56"/>
    <x v="166"/>
    <d v="2025-05-23T00:00:00"/>
    <s v="travaux dans batiment seront terminés au mois de juin"/>
    <s v="M"/>
    <m/>
    <d v="2025-03-28T00:00:00"/>
    <d v="2025-03-28T00:00:00"/>
    <x v="10"/>
    <x v="2"/>
  </r>
  <r>
    <m/>
    <m/>
    <x v="34"/>
    <x v="9"/>
    <s v="ROD500614"/>
    <x v="4"/>
    <x v="118"/>
    <x v="167"/>
    <s v="13/05/2025 11h"/>
    <m/>
    <s v="M"/>
    <m/>
    <d v="2025-04-22T00:00:00"/>
    <d v="2025-04-23T00:00:00"/>
    <x v="3"/>
    <x v="2"/>
  </r>
  <r>
    <m/>
    <m/>
    <x v="2"/>
    <x v="9"/>
    <s v="ROD500627"/>
    <x v="4"/>
    <x v="97"/>
    <x v="168"/>
    <s v="05/06 9H30 "/>
    <s v="43,817631 2,755534"/>
    <s v="M"/>
    <n v="785973431"/>
    <d v="2025-04-25T00:00:00"/>
    <s v="25/042025"/>
    <x v="3"/>
    <x v="2"/>
  </r>
  <r>
    <m/>
    <m/>
    <x v="32"/>
    <x v="9"/>
    <s v="ROD500638"/>
    <x v="4"/>
    <x v="37"/>
    <x v="169"/>
    <s v="lundi 9h30 sans retard "/>
    <m/>
    <s v="M"/>
    <m/>
    <d v="2025-04-28T00:00:00"/>
    <d v="2025-04-28T00:00:00"/>
    <x v="3"/>
    <x v="2"/>
  </r>
  <r>
    <m/>
    <m/>
    <x v="5"/>
    <x v="9"/>
    <s v="ROD500708"/>
    <x v="7"/>
    <x v="37"/>
    <x v="170"/>
    <m/>
    <s v="travaux pas encore réalisés"/>
    <s v="M"/>
    <m/>
    <d v="2025-05-14T00:00:00"/>
    <d v="2025-05-14T00:00:00"/>
    <x v="11"/>
    <x v="2"/>
  </r>
  <r>
    <m/>
    <m/>
    <x v="35"/>
    <x v="9"/>
    <s v="ROD500727"/>
    <x v="4"/>
    <x v="119"/>
    <x v="171"/>
    <m/>
    <s v="travaux terminés au mois de mars 2026"/>
    <s v="M"/>
    <m/>
    <d v="2025-05-19T00:00:00"/>
    <d v="2025-05-22T00:00:00"/>
    <x v="11"/>
    <x v="2"/>
  </r>
  <r>
    <m/>
    <m/>
    <x v="36"/>
    <x v="9"/>
    <s v="ROD500728"/>
    <x v="4"/>
    <x v="120"/>
    <x v="172"/>
    <m/>
    <s v="travaux pas encore commencés &amp; Batiment inaccessible"/>
    <s v="M"/>
    <m/>
    <d v="2025-05-19T00:00:00"/>
    <d v="2025-05-19T00:00:00"/>
    <x v="11"/>
    <x v="2"/>
  </r>
  <r>
    <m/>
    <m/>
    <x v="34"/>
    <x v="9"/>
    <s v="ROD500771"/>
    <x v="4"/>
    <x v="53"/>
    <x v="173"/>
    <s v="20/06 9H"/>
    <m/>
    <s v="M"/>
    <m/>
    <d v="2025-05-27T00:00:00"/>
    <d v="2025-05-27T00:00:00"/>
    <x v="11"/>
    <x v="2"/>
  </r>
  <r>
    <m/>
    <m/>
    <x v="34"/>
    <x v="9"/>
    <s v="ROD500772"/>
    <x v="4"/>
    <x v="42"/>
    <x v="52"/>
    <d v="2025-05-30T00:00:00"/>
    <m/>
    <s v="M"/>
    <m/>
    <d v="2025-05-27T00:00:00"/>
    <d v="2025-05-27T00:00:00"/>
    <x v="11"/>
    <x v="2"/>
  </r>
  <r>
    <m/>
    <m/>
    <x v="37"/>
    <x v="9"/>
    <s v="ROD500778"/>
    <x v="4"/>
    <x v="10"/>
    <x v="174"/>
    <m/>
    <s v="travaux pas encore commencés "/>
    <s v="M"/>
    <m/>
    <d v="2025-05-28T00:00:00"/>
    <d v="2025-05-28T00:00:00"/>
    <x v="11"/>
    <x v="2"/>
  </r>
  <r>
    <m/>
    <m/>
    <x v="1"/>
    <x v="9"/>
    <s v="ROD500818"/>
    <x v="5"/>
    <x v="47"/>
    <x v="175"/>
    <d v="2025-06-24T00:00:00"/>
    <s v="TRAVAUX PREVUS 24 SEPT"/>
    <m/>
    <m/>
    <d v="2025-06-03T00:00:00"/>
    <d v="2025-06-18T00:00:00"/>
    <x v="7"/>
    <x v="2"/>
  </r>
  <r>
    <m/>
    <m/>
    <x v="4"/>
    <x v="9"/>
    <s v="ROD500837"/>
    <x v="4"/>
    <x v="99"/>
    <x v="176"/>
    <s v="mardi le 17/06 9h"/>
    <m/>
    <s v="M"/>
    <m/>
    <d v="2025-06-09T00:00:00"/>
    <d v="2025-06-10T00:00:00"/>
    <x v="7"/>
    <x v="2"/>
  </r>
  <r>
    <m/>
    <m/>
    <x v="38"/>
    <x v="9"/>
    <s v="ROD500894"/>
    <x v="21"/>
    <x v="37"/>
    <x v="177"/>
    <m/>
    <m/>
    <m/>
    <m/>
    <d v="2025-06-18T00:00:00"/>
    <d v="2025-06-19T00:00:00"/>
    <x v="7"/>
    <x v="2"/>
  </r>
  <r>
    <m/>
    <m/>
    <x v="6"/>
    <x v="9"/>
    <s v="ROD500947"/>
    <x v="4"/>
    <x v="23"/>
    <x v="178"/>
    <s v="MARDI"/>
    <m/>
    <m/>
    <m/>
    <d v="2025-06-27T00:00:00"/>
    <d v="2025-06-27T00:00:00"/>
    <x v="7"/>
    <x v="2"/>
  </r>
  <r>
    <m/>
    <m/>
    <x v="2"/>
    <x v="9"/>
    <s v="ROD500998"/>
    <x v="6"/>
    <x v="97"/>
    <x v="179"/>
    <m/>
    <s v="ROD500627"/>
    <s v="M"/>
    <m/>
    <d v="2025-07-08T00:00:00"/>
    <d v="2025-07-08T00:00:00"/>
    <x v="4"/>
    <x v="2"/>
  </r>
  <r>
    <m/>
    <m/>
    <x v="12"/>
    <x v="9"/>
    <s v="ROD501001"/>
    <x v="6"/>
    <x v="99"/>
    <x v="180"/>
    <m/>
    <s v="ROD500837"/>
    <s v="M"/>
    <m/>
    <d v="2025-07-08T00:00:00"/>
    <d v="2025-07-08T00:00:00"/>
    <x v="4"/>
    <x v="2"/>
  </r>
  <r>
    <m/>
    <m/>
    <x v="2"/>
    <x v="9"/>
    <s v="ROD501002"/>
    <x v="6"/>
    <x v="62"/>
    <x v="87"/>
    <m/>
    <s v="ROD500273"/>
    <s v="M"/>
    <m/>
    <d v="2025-07-08T00:00:00"/>
    <d v="2025-07-08T00:00:00"/>
    <x v="4"/>
    <x v="2"/>
  </r>
  <r>
    <m/>
    <m/>
    <x v="39"/>
    <x v="9"/>
    <s v="ROD500992"/>
    <x v="4"/>
    <x v="67"/>
    <x v="94"/>
    <s v="24/07 à 12h"/>
    <s v="Travxu début septembre pour 3mois"/>
    <s v="M"/>
    <m/>
    <d v="2025-07-07T00:00:00"/>
    <d v="2025-07-08T00:00:00"/>
    <x v="4"/>
    <x v="2"/>
  </r>
  <r>
    <m/>
    <m/>
    <x v="40"/>
    <x v="9"/>
    <s v="ROD501081"/>
    <x v="4"/>
    <x v="18"/>
    <x v="181"/>
    <s v="jeudi le 24/07 "/>
    <m/>
    <m/>
    <m/>
    <d v="2025-07-16T00:00:00"/>
    <d v="2025-07-16T00:00:00"/>
    <x v="4"/>
    <x v="2"/>
  </r>
  <r>
    <m/>
    <m/>
    <x v="1"/>
    <x v="9"/>
    <s v="ROD500144"/>
    <x v="4"/>
    <x v="93"/>
    <x v="161"/>
    <d v="2025-02-04T00:00:00"/>
    <m/>
    <s v="M"/>
    <m/>
    <d v="2025-01-30T00:00:00"/>
    <d v="2025-01-31T00:00:00"/>
    <x v="8"/>
    <x v="2"/>
  </r>
  <r>
    <m/>
    <m/>
    <x v="3"/>
    <x v="9"/>
    <s v="ROD501196"/>
    <x v="15"/>
    <x v="121"/>
    <x v="182"/>
    <s v="rdv pris avec le client 13/08 "/>
    <m/>
    <m/>
    <m/>
    <d v="2025-08-11T00:00:00"/>
    <d v="2025-08-08T00:00:00"/>
    <x v="5"/>
    <x v="2"/>
  </r>
  <r>
    <m/>
    <m/>
    <x v="0"/>
    <x v="9"/>
    <s v="ROD500264"/>
    <x v="4"/>
    <x v="105"/>
    <x v="183"/>
    <d v="2025-02-27T00:00:00"/>
    <s v="FIN TVX: FIN JUIN 2025"/>
    <s v="C"/>
    <n v="565451655"/>
    <d v="2025-02-20T00:00:00"/>
    <d v="2025-02-20T00:00:00"/>
    <x v="6"/>
    <x v="2"/>
  </r>
  <r>
    <m/>
    <m/>
    <x v="5"/>
    <x v="9"/>
    <s v="ROD500633"/>
    <x v="4"/>
    <x v="39"/>
    <x v="184"/>
    <m/>
    <s v="travaux en standby"/>
    <s v="M"/>
    <m/>
    <d v="2025-04-25T00:00:00"/>
    <d v="2025-04-25T00:00:00"/>
    <x v="3"/>
    <x v="2"/>
  </r>
  <r>
    <m/>
    <m/>
    <x v="2"/>
    <x v="9"/>
    <s v="ROD401726"/>
    <x v="0"/>
    <x v="23"/>
    <x v="178"/>
    <m/>
    <s v="Travaux KO"/>
    <m/>
    <m/>
    <d v="2024-10-07T00:00:00"/>
    <d v="2024-10-07T00:00:00"/>
    <x v="0"/>
    <x v="0"/>
  </r>
  <r>
    <m/>
    <m/>
    <x v="1"/>
    <x v="9"/>
    <s v="ROD500712"/>
    <x v="21"/>
    <x v="17"/>
    <x v="185"/>
    <m/>
    <m/>
    <m/>
    <m/>
    <d v="2025-05-16T00:00:00"/>
    <d v="2025-05-16T00:00:00"/>
    <x v="11"/>
    <x v="2"/>
  </r>
  <r>
    <m/>
    <m/>
    <x v="4"/>
    <x v="9"/>
    <s v="ROD501190"/>
    <x v="5"/>
    <x v="122"/>
    <x v="186"/>
    <s v="VT OK "/>
    <s v="manque commentaire"/>
    <m/>
    <m/>
    <d v="2025-08-11T00:00:00"/>
    <d v="2025-08-07T00:00:00"/>
    <x v="5"/>
    <x v="2"/>
  </r>
  <r>
    <m/>
    <m/>
    <x v="7"/>
    <x v="9"/>
    <s v="ROD500893"/>
    <x v="5"/>
    <x v="81"/>
    <x v="187"/>
    <s v="VT OK "/>
    <m/>
    <m/>
    <m/>
    <d v="2025-06-18T00:00:00"/>
    <d v="2025-06-23T00:00:00"/>
    <x v="7"/>
    <x v="2"/>
  </r>
  <r>
    <m/>
    <m/>
    <x v="41"/>
    <x v="9"/>
    <s v="ROD501264"/>
    <x v="5"/>
    <x v="96"/>
    <x v="188"/>
    <d v="2025-09-04T00:00:00"/>
    <m/>
    <m/>
    <m/>
    <d v="2025-08-26T00:00:00"/>
    <d v="2025-08-27T00:00:00"/>
    <x v="5"/>
    <x v="2"/>
  </r>
  <r>
    <m/>
    <m/>
    <x v="3"/>
    <x v="10"/>
    <s v="ROD500574"/>
    <x v="17"/>
    <x v="123"/>
    <x v="189"/>
    <s v="30/04/2025 9H"/>
    <m/>
    <m/>
    <m/>
    <d v="2025-04-14T00:00:00"/>
    <d v="2025-04-15T00:00:00"/>
    <x v="3"/>
    <x v="2"/>
  </r>
  <r>
    <m/>
    <m/>
    <x v="2"/>
    <x v="10"/>
    <s v="ROD500889"/>
    <x v="12"/>
    <x v="97"/>
    <x v="168"/>
    <m/>
    <m/>
    <s v="M"/>
    <m/>
    <d v="2025-06-18T00:00:00"/>
    <d v="2025-06-18T00:00:00"/>
    <x v="7"/>
    <x v="2"/>
  </r>
  <r>
    <m/>
    <m/>
    <x v="3"/>
    <x v="10"/>
    <s v="ROD501231"/>
    <x v="0"/>
    <x v="102"/>
    <x v="190"/>
    <m/>
    <m/>
    <m/>
    <m/>
    <d v="2025-08-20T00:00:00"/>
    <d v="2025-08-20T00:00:00"/>
    <x v="5"/>
    <x v="2"/>
  </r>
  <r>
    <m/>
    <m/>
    <x v="2"/>
    <x v="11"/>
    <s v="ROD401415"/>
    <x v="16"/>
    <x v="124"/>
    <x v="191"/>
    <m/>
    <m/>
    <m/>
    <m/>
    <d v="2023-08-14T00:00:00"/>
    <d v="2025-03-31T00:00:00"/>
    <x v="5"/>
    <x v="1"/>
  </r>
  <r>
    <m/>
    <m/>
    <x v="42"/>
    <x v="11"/>
    <s v="ROD402003"/>
    <x v="22"/>
    <x v="125"/>
    <x v="192"/>
    <m/>
    <m/>
    <m/>
    <m/>
    <d v="2024-11-25T00:00:00"/>
    <d v="2024-11-26T00:00:00"/>
    <x v="2"/>
    <x v="0"/>
  </r>
  <r>
    <m/>
    <m/>
    <x v="29"/>
    <x v="11"/>
    <s v="ROD500177"/>
    <x v="11"/>
    <x v="125"/>
    <x v="192"/>
    <m/>
    <m/>
    <m/>
    <m/>
    <d v="2025-02-06T00:00:00"/>
    <d v="2025-02-06T00:00:00"/>
    <x v="6"/>
    <x v="2"/>
  </r>
  <r>
    <m/>
    <m/>
    <x v="6"/>
    <x v="11"/>
    <s v="ROD500713"/>
    <x v="23"/>
    <x v="17"/>
    <x v="185"/>
    <m/>
    <m/>
    <m/>
    <m/>
    <d v="2025-05-16T00:00:00"/>
    <d v="2025-05-16T00:00:00"/>
    <x v="11"/>
    <x v="2"/>
  </r>
  <r>
    <m/>
    <m/>
    <x v="43"/>
    <x v="11"/>
    <s v="ROD401150"/>
    <x v="9"/>
    <x v="18"/>
    <x v="193"/>
    <d v="2025-01-28T00:00:00"/>
    <m/>
    <m/>
    <m/>
    <d v="2024-07-01T00:00:00"/>
    <d v="2025-01-23T00:00:00"/>
    <x v="4"/>
    <x v="0"/>
  </r>
  <r>
    <m/>
    <m/>
    <x v="1"/>
    <x v="11"/>
    <s v="ROD500990"/>
    <x v="21"/>
    <x v="126"/>
    <x v="194"/>
    <m/>
    <m/>
    <m/>
    <m/>
    <d v="2025-07-07T00:00:00"/>
    <d v="2025-07-08T00:00:00"/>
    <x v="4"/>
    <x v="2"/>
  </r>
  <r>
    <m/>
    <m/>
    <x v="1"/>
    <x v="11"/>
    <s v="ROD500519"/>
    <x v="22"/>
    <x v="69"/>
    <x v="195"/>
    <d v="2025-06-26T00:00:00"/>
    <m/>
    <m/>
    <m/>
    <d v="2025-04-01T00:00:00"/>
    <d v="2025-04-04T00:00:00"/>
    <x v="3"/>
    <x v="2"/>
  </r>
  <r>
    <m/>
    <m/>
    <x v="44"/>
    <x v="11"/>
    <s v="ROD501270"/>
    <x v="11"/>
    <x v="127"/>
    <x v="196"/>
    <m/>
    <m/>
    <m/>
    <m/>
    <d v="2025-08-28T00:00:00"/>
    <d v="2025-08-28T00:00:00"/>
    <x v="5"/>
    <x v="2"/>
  </r>
  <r>
    <m/>
    <m/>
    <x v="44"/>
    <x v="11"/>
    <s v="ROD501032"/>
    <x v="21"/>
    <x v="128"/>
    <x v="197"/>
    <m/>
    <m/>
    <m/>
    <m/>
    <d v="2025-07-09T00:00:00"/>
    <d v="2025-07-09T00:00:00"/>
    <x v="4"/>
    <x v="2"/>
  </r>
  <r>
    <m/>
    <m/>
    <x v="0"/>
    <x v="11"/>
    <s v="ROD501369"/>
    <x v="24"/>
    <x v="37"/>
    <x v="198"/>
    <m/>
    <m/>
    <m/>
    <m/>
    <m/>
    <m/>
    <x v="12"/>
    <x v="5"/>
  </r>
  <r>
    <m/>
    <m/>
    <x v="1"/>
    <x v="12"/>
    <s v="ROD500994"/>
    <x v="21"/>
    <x v="97"/>
    <x v="199"/>
    <m/>
    <m/>
    <m/>
    <m/>
    <d v="2025-07-08T00:00:00"/>
    <d v="2025-07-08T00:00:00"/>
    <x v="4"/>
    <x v="2"/>
  </r>
  <r>
    <m/>
    <m/>
    <x v="3"/>
    <x v="12"/>
    <s v="ROD401441"/>
    <x v="1"/>
    <x v="129"/>
    <x v="200"/>
    <s v="Retour le 12/09"/>
    <s v="à remonter par chaima"/>
    <m/>
    <m/>
    <d v="2024-08-23T00:00:00"/>
    <d v="2024-08-23T00:00:00"/>
    <x v="5"/>
    <x v="0"/>
  </r>
  <r>
    <m/>
    <m/>
    <x v="6"/>
    <x v="12"/>
    <s v="ROD400681"/>
    <x v="9"/>
    <x v="33"/>
    <x v="152"/>
    <m/>
    <m/>
    <m/>
    <m/>
    <d v="2024-04-22T00:00:00"/>
    <d v="2024-08-30T00:00:00"/>
    <x v="3"/>
    <x v="0"/>
  </r>
  <r>
    <m/>
    <m/>
    <x v="8"/>
    <x v="12"/>
    <s v="ROD501165"/>
    <x v="21"/>
    <x v="103"/>
    <x v="201"/>
    <d v="2025-08-08T00:00:00"/>
    <m/>
    <m/>
    <m/>
    <d v="2025-08-04T00:00:00"/>
    <d v="2025-08-05T00:00:00"/>
    <x v="5"/>
    <x v="2"/>
  </r>
  <r>
    <m/>
    <m/>
    <x v="8"/>
    <x v="12"/>
    <s v="ROD501166"/>
    <x v="21"/>
    <x v="103"/>
    <x v="201"/>
    <m/>
    <s v="doublon"/>
    <m/>
    <m/>
    <d v="2025-08-04T00:00:00"/>
    <d v="2025-08-05T00:00:00"/>
    <x v="5"/>
    <x v="2"/>
  </r>
  <r>
    <m/>
    <m/>
    <x v="8"/>
    <x v="12"/>
    <s v="ROD501153"/>
    <x v="10"/>
    <x v="40"/>
    <x v="202"/>
    <d v="2025-08-05T00:00:00"/>
    <m/>
    <m/>
    <m/>
    <d v="2025-07-31T00:00:00"/>
    <d v="2025-07-31T00:00:00"/>
    <x v="4"/>
    <x v="2"/>
  </r>
  <r>
    <m/>
    <m/>
    <x v="14"/>
    <x v="12"/>
    <s v="ROD501313"/>
    <x v="23"/>
    <x v="126"/>
    <x v="194"/>
    <m/>
    <m/>
    <m/>
    <m/>
    <d v="2025-09-05T00:00:00"/>
    <d v="2025-09-08T00:00:00"/>
    <x v="9"/>
    <x v="2"/>
  </r>
  <r>
    <m/>
    <m/>
    <x v="3"/>
    <x v="13"/>
    <s v="ROD500526"/>
    <x v="5"/>
    <x v="130"/>
    <x v="203"/>
    <s v="07/05/2025-Retour le 12/09"/>
    <s v=" avec intervention Enedis - à remonter par khedher"/>
    <m/>
    <m/>
    <d v="2025-04-01T00:00:00"/>
    <d v="2025-04-04T00:00:00"/>
    <x v="3"/>
    <x v="2"/>
  </r>
  <r>
    <m/>
    <m/>
    <x v="3"/>
    <x v="13"/>
    <s v="ROD501172"/>
    <x v="5"/>
    <x v="65"/>
    <x v="204"/>
    <s v="07/08/2025- Retour le 10/09"/>
    <s v="à remonter par khedher"/>
    <m/>
    <m/>
    <d v="2025-08-05T00:00:00"/>
    <d v="2025-08-05T00:00:00"/>
    <x v="5"/>
    <x v="2"/>
  </r>
  <r>
    <m/>
    <m/>
    <x v="44"/>
    <x v="13"/>
    <s v="ROD501247"/>
    <x v="0"/>
    <x v="131"/>
    <x v="205"/>
    <s v="01/09/2025 -Retour le 12/09"/>
    <s v="à remonter par sondos"/>
    <m/>
    <m/>
    <d v="2025-08-22T00:00:00"/>
    <d v="2025-08-25T00:00:00"/>
    <x v="5"/>
    <x v="2"/>
  </r>
  <r>
    <m/>
    <m/>
    <x v="3"/>
    <x v="13"/>
    <s v="ROD501186"/>
    <x v="15"/>
    <x v="132"/>
    <x v="206"/>
    <s v="Lundi le 25/08 à 11h - Retour le 10/09"/>
    <s v="à remonter par khedher"/>
    <m/>
    <m/>
    <d v="2025-08-07T00:00:00"/>
    <d v="2025-08-07T00:00:00"/>
    <x v="5"/>
    <x v="2"/>
  </r>
  <r>
    <m/>
    <m/>
    <x v="14"/>
    <x v="14"/>
    <s v="ROD500549"/>
    <x v="4"/>
    <x v="4"/>
    <x v="207"/>
    <d v="2025-05-23T00:00:00"/>
    <m/>
    <s v="M"/>
    <m/>
    <d v="2025-04-07T00:00:00"/>
    <d v="2025-04-07T00:00:00"/>
    <x v="3"/>
    <x v="2"/>
  </r>
  <r>
    <m/>
    <m/>
    <x v="12"/>
    <x v="14"/>
    <s v="ROD400503"/>
    <x v="9"/>
    <x v="43"/>
    <x v="152"/>
    <m/>
    <m/>
    <m/>
    <m/>
    <d v="2024-03-22T00:00:00"/>
    <d v="2024-08-30T00:00:00"/>
    <x v="10"/>
    <x v="0"/>
  </r>
  <r>
    <m/>
    <m/>
    <x v="8"/>
    <x v="14"/>
    <s v="ROD501253"/>
    <x v="5"/>
    <x v="37"/>
    <x v="208"/>
    <d v="2025-09-04T00:00:00"/>
    <m/>
    <m/>
    <m/>
    <d v="2025-08-22T00:00:00"/>
    <d v="2025-08-25T00:00:00"/>
    <x v="5"/>
    <x v="2"/>
  </r>
  <r>
    <m/>
    <m/>
    <x v="44"/>
    <x v="14"/>
    <s v="ROD501292"/>
    <x v="3"/>
    <x v="133"/>
    <x v="209"/>
    <d v="2025-09-11T00:00:00"/>
    <s v=" à remonter par chaima"/>
    <m/>
    <m/>
    <d v="2025-09-02T00:00:00"/>
    <d v="2025-09-02T00:00:00"/>
    <x v="9"/>
    <x v="2"/>
  </r>
  <r>
    <m/>
    <m/>
    <x v="1"/>
    <x v="15"/>
    <s v="ROD501302"/>
    <x v="1"/>
    <x v="134"/>
    <x v="210"/>
    <d v="2025-09-08T00:00:00"/>
    <s v="à remonter par chaima"/>
    <m/>
    <m/>
    <d v="2025-09-03T00:00:00"/>
    <d v="2025-09-03T00:00:00"/>
    <x v="9"/>
    <x v="2"/>
  </r>
  <r>
    <m/>
    <m/>
    <x v="2"/>
    <x v="15"/>
    <s v="ROD401345"/>
    <x v="21"/>
    <x v="17"/>
    <x v="211"/>
    <m/>
    <m/>
    <m/>
    <m/>
    <d v="2024-07-30T00:00:00"/>
    <d v="2025-03-18T00:00:00"/>
    <x v="4"/>
    <x v="0"/>
  </r>
  <r>
    <m/>
    <m/>
    <x v="30"/>
    <x v="15"/>
    <s v="ROD400501"/>
    <x v="9"/>
    <x v="43"/>
    <x v="152"/>
    <m/>
    <s v="introuvable sur sharepoint "/>
    <m/>
    <m/>
    <d v="2024-03-22T00:00:00"/>
    <d v="2024-08-30T00:00:00"/>
    <x v="10"/>
    <x v="0"/>
  </r>
  <r>
    <m/>
    <m/>
    <x v="45"/>
    <x v="15"/>
    <s v="ROD401442"/>
    <x v="4"/>
    <x v="10"/>
    <x v="212"/>
    <s v="18/09 à 10h"/>
    <s v="liée à ROD401933- rdv fixé pour jeudi 18/09 à 10h (à confirmer)"/>
    <s v="M"/>
    <m/>
    <d v="2024-08-23T00:00:00"/>
    <d v="2024-08-23T00:00:00"/>
    <x v="5"/>
    <x v="0"/>
  </r>
  <r>
    <m/>
    <m/>
    <x v="25"/>
    <x v="15"/>
    <s v="ROD401748"/>
    <x v="4"/>
    <x v="135"/>
    <x v="213"/>
    <s v="lundi le 08/09  pris à 9h "/>
    <m/>
    <m/>
    <m/>
    <d v="2024-10-11T00:00:00"/>
    <d v="2024-08-14T00:00:00"/>
    <x v="0"/>
    <x v="0"/>
  </r>
  <r>
    <m/>
    <m/>
    <x v="38"/>
    <x v="15"/>
    <s v="ROD401933"/>
    <x v="6"/>
    <x v="10"/>
    <x v="212"/>
    <s v="18/09 à 10h"/>
    <s v="rdv fixé pour jeudi 18/09 à 10h (à confirmer)"/>
    <s v="M"/>
    <m/>
    <d v="2024-11-13T00:00:00"/>
    <d v="2024-11-13T00:00:00"/>
    <x v="2"/>
    <x v="0"/>
  </r>
  <r>
    <m/>
    <m/>
    <x v="16"/>
    <x v="15"/>
    <s v="ROD500004"/>
    <x v="5"/>
    <x v="89"/>
    <x v="214"/>
    <m/>
    <s v="pas d'acces aux poteaux d'apres amine"/>
    <m/>
    <m/>
    <d v="2025-01-02T00:00:00"/>
    <d v="2025-01-02T00:00:00"/>
    <x v="8"/>
    <x v="2"/>
  </r>
  <r>
    <m/>
    <m/>
    <x v="27"/>
    <x v="15"/>
    <s v="ROD501131"/>
    <x v="0"/>
    <x v="99"/>
    <x v="215"/>
    <m/>
    <s v="mail envoyé au client"/>
    <m/>
    <m/>
    <d v="2025-07-29T00:00:00"/>
    <d v="2025-07-30T00:00:00"/>
    <x v="4"/>
    <x v="2"/>
  </r>
  <r>
    <m/>
    <m/>
    <x v="43"/>
    <x v="15"/>
    <s v="ROD501312"/>
    <x v="21"/>
    <x v="136"/>
    <x v="216"/>
    <d v="2025-09-18T00:00:00"/>
    <m/>
    <m/>
    <m/>
    <d v="2025-09-05T00:00:00"/>
    <d v="2025-09-08T00:00:00"/>
    <x v="9"/>
    <x v="2"/>
  </r>
  <r>
    <m/>
    <m/>
    <x v="3"/>
    <x v="15"/>
    <s v="ROD501174"/>
    <x v="5"/>
    <x v="137"/>
    <x v="217"/>
    <d v="2025-09-12T00:00:00"/>
    <s v="à remonter par khedher"/>
    <m/>
    <m/>
    <d v="2025-08-05T00:00:00"/>
    <d v="2025-09-09T00:00:00"/>
    <x v="5"/>
    <x v="2"/>
  </r>
  <r>
    <m/>
    <m/>
    <x v="27"/>
    <x v="15"/>
    <s v="ROD501318"/>
    <x v="15"/>
    <x v="44"/>
    <x v="218"/>
    <d v="2025-09-11T00:00:00"/>
    <s v="tvx pas encore effectués, mail envoyé"/>
    <m/>
    <m/>
    <d v="2025-09-08T00:00:00"/>
    <d v="2025-09-09T00:00:00"/>
    <x v="9"/>
    <x v="2"/>
  </r>
  <r>
    <m/>
    <m/>
    <x v="27"/>
    <x v="15"/>
    <s v="ROD501323"/>
    <x v="25"/>
    <x v="37"/>
    <x v="198"/>
    <d v="2025-09-18T00:00:00"/>
    <m/>
    <m/>
    <m/>
    <d v="2025-09-12T00:00:00"/>
    <d v="2025-09-12T00:00:00"/>
    <x v="9"/>
    <x v="2"/>
  </r>
  <r>
    <m/>
    <m/>
    <x v="27"/>
    <x v="15"/>
    <s v="ROD501325"/>
    <x v="10"/>
    <x v="80"/>
    <x v="219"/>
    <m/>
    <m/>
    <m/>
    <m/>
    <d v="2025-09-12T00:00:00"/>
    <d v="2025-09-12T00:00:00"/>
    <x v="9"/>
    <x v="2"/>
  </r>
  <r>
    <m/>
    <m/>
    <x v="29"/>
    <x v="15"/>
    <s v="ROD501327"/>
    <x v="11"/>
    <x v="80"/>
    <x v="219"/>
    <m/>
    <m/>
    <m/>
    <m/>
    <d v="2025-09-12T00:00:00"/>
    <d v="2025-09-12T00:00:00"/>
    <x v="9"/>
    <x v="2"/>
  </r>
  <r>
    <m/>
    <m/>
    <x v="1"/>
    <x v="15"/>
    <s v="ROD501348"/>
    <x v="15"/>
    <x v="17"/>
    <x v="220"/>
    <s v="26/09/2025 9H30 à réaliser par stephane "/>
    <s v="TRAITE"/>
    <m/>
    <m/>
    <d v="2025-09-12T00:00:00"/>
    <d v="2025-09-12T00:00:00"/>
    <x v="9"/>
    <x v="2"/>
  </r>
  <r>
    <m/>
    <m/>
    <x v="19"/>
    <x v="15"/>
    <s v="ROD501349"/>
    <x v="5"/>
    <x v="34"/>
    <x v="221"/>
    <m/>
    <m/>
    <m/>
    <m/>
    <d v="2025-09-12T00:00:00"/>
    <d v="2025-09-12T00:00:00"/>
    <x v="9"/>
    <x v="2"/>
  </r>
  <r>
    <m/>
    <m/>
    <x v="14"/>
    <x v="15"/>
    <s v="ROD501346"/>
    <x v="26"/>
    <x v="138"/>
    <x v="222"/>
    <d v="2025-09-18T00:00:00"/>
    <s v="Liée à la ROD501307 (traité par sondos)"/>
    <m/>
    <m/>
    <d v="2025-09-15T00:00:00"/>
    <d v="2025-09-16T00:00:00"/>
    <x v="9"/>
    <x v="2"/>
  </r>
  <r>
    <m/>
    <m/>
    <x v="14"/>
    <x v="15"/>
    <s v="ROD501357"/>
    <x v="27"/>
    <x v="3"/>
    <x v="223"/>
    <d v="2025-09-18T00:00:00"/>
    <m/>
    <m/>
    <m/>
    <d v="2025-09-17T00:00:00"/>
    <d v="2025-09-17T00:00:00"/>
    <x v="9"/>
    <x v="5"/>
  </r>
  <r>
    <m/>
    <m/>
    <x v="2"/>
    <x v="15"/>
    <s v="ROD501365"/>
    <x v="9"/>
    <x v="74"/>
    <x v="224"/>
    <m/>
    <m/>
    <m/>
    <m/>
    <m/>
    <m/>
    <x v="8"/>
    <x v="5"/>
  </r>
  <r>
    <m/>
    <m/>
    <x v="1"/>
    <x v="15"/>
    <s v="ROD501366"/>
    <x v="3"/>
    <x v="139"/>
    <x v="225"/>
    <m/>
    <m/>
    <m/>
    <m/>
    <m/>
    <m/>
    <x v="8"/>
    <x v="5"/>
  </r>
  <r>
    <m/>
    <m/>
    <x v="46"/>
    <x v="16"/>
    <m/>
    <x v="28"/>
    <x v="140"/>
    <x v="152"/>
    <m/>
    <m/>
    <m/>
    <m/>
    <m/>
    <m/>
    <x v="12"/>
    <x v="5"/>
  </r>
  <r>
    <m/>
    <m/>
    <x v="46"/>
    <x v="16"/>
    <m/>
    <x v="28"/>
    <x v="140"/>
    <x v="152"/>
    <m/>
    <m/>
    <m/>
    <m/>
    <m/>
    <m/>
    <x v="12"/>
    <x v="5"/>
  </r>
  <r>
    <m/>
    <m/>
    <x v="46"/>
    <x v="16"/>
    <m/>
    <x v="28"/>
    <x v="140"/>
    <x v="152"/>
    <m/>
    <m/>
    <m/>
    <m/>
    <m/>
    <m/>
    <x v="12"/>
    <x v="5"/>
  </r>
  <r>
    <m/>
    <m/>
    <x v="46"/>
    <x v="16"/>
    <m/>
    <x v="28"/>
    <x v="140"/>
    <x v="152"/>
    <m/>
    <m/>
    <m/>
    <m/>
    <m/>
    <m/>
    <x v="12"/>
    <x v="5"/>
  </r>
  <r>
    <m/>
    <m/>
    <x v="46"/>
    <x v="16"/>
    <m/>
    <x v="28"/>
    <x v="140"/>
    <x v="152"/>
    <m/>
    <m/>
    <m/>
    <m/>
    <m/>
    <m/>
    <x v="12"/>
    <x v="5"/>
  </r>
  <r>
    <m/>
    <m/>
    <x v="46"/>
    <x v="16"/>
    <m/>
    <x v="28"/>
    <x v="140"/>
    <x v="152"/>
    <m/>
    <m/>
    <m/>
    <m/>
    <m/>
    <m/>
    <x v="12"/>
    <x v="5"/>
  </r>
  <r>
    <m/>
    <m/>
    <x v="46"/>
    <x v="16"/>
    <m/>
    <x v="28"/>
    <x v="140"/>
    <x v="152"/>
    <m/>
    <m/>
    <m/>
    <m/>
    <m/>
    <m/>
    <x v="1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71787-C769-4C74-9B3D-2A993B53A917}" name="Tableau croisé dynamique9" cacheId="116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P1:Q9" firstHeaderRow="1" firstDataRow="1" firstDataCol="1"/>
  <pivotFields count="18">
    <pivotField axis="axisRow" showAll="0">
      <items count="11">
        <item m="1" x="7"/>
        <item m="1" x="8"/>
        <item x="0"/>
        <item m="1" x="9"/>
        <item x="5"/>
        <item x="1"/>
        <item x="6"/>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v="2"/>
    </i>
    <i>
      <x v="4"/>
    </i>
    <i>
      <x v="5"/>
    </i>
    <i>
      <x v="6"/>
    </i>
    <i>
      <x v="7"/>
    </i>
    <i>
      <x v="8"/>
    </i>
    <i>
      <x v="9"/>
    </i>
    <i t="grand">
      <x/>
    </i>
  </rowItems>
  <colItems count="1">
    <i/>
  </colItems>
  <dataFields count="1">
    <dataField name="Somme de DRE KO"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Tableau croisé dynamique3" cacheId="1164"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G8:H16" firstHeaderRow="1" firstDataRow="1" firstDataCol="1" rowPageCount="5" colPageCount="1"/>
  <pivotFields count="20">
    <pivotField compact="0" outline="0" showAll="0"/>
    <pivotField compact="0" outline="0" showAll="0"/>
    <pivotField axis="axisPage" compact="0" outline="0" showAll="0">
      <items count="40">
        <item x="0"/>
        <item m="1" x="38"/>
        <item m="1" x="37"/>
        <item m="1" x="25"/>
        <item m="1" x="24"/>
        <item m="1" x="26"/>
        <item m="1" x="31"/>
        <item m="1" x="28"/>
        <item m="1" x="20"/>
        <item m="1" x="30"/>
        <item m="1" x="29"/>
        <item x="10"/>
        <item m="1" x="32"/>
        <item x="16"/>
        <item m="1" x="36"/>
        <item m="1" x="27"/>
        <item m="1" x="22"/>
        <item m="1" x="33"/>
        <item m="1" x="35"/>
        <item m="1" x="34"/>
        <item m="1" x="21"/>
        <item x="8"/>
        <item m="1" x="23"/>
        <item x="6"/>
        <item x="2"/>
        <item m="1" x="17"/>
        <item x="11"/>
        <item x="7"/>
        <item x="12"/>
        <item m="1" x="18"/>
        <item m="1" x="19"/>
        <item x="13"/>
        <item x="15"/>
        <item x="1"/>
        <item x="3"/>
        <item x="5"/>
        <item x="9"/>
        <item x="4"/>
        <item x="14"/>
        <item t="default"/>
      </items>
    </pivotField>
    <pivotField compact="0" outline="0" showAll="0"/>
    <pivotField axis="axisPage" compact="0" outline="0" showAll="0">
      <items count="17">
        <item m="1" x="15"/>
        <item m="1" x="13"/>
        <item m="1" x="11"/>
        <item h="1" x="3"/>
        <item h="1" x="2"/>
        <item m="1" x="7"/>
        <item h="1" x="0"/>
        <item x="1"/>
        <item h="1" x="4"/>
        <item h="1" x="5"/>
        <item h="1" x="6"/>
        <item m="1" x="14"/>
        <item m="1" x="12"/>
        <item m="1" x="10"/>
        <item m="1" x="9"/>
        <item m="1" x="8"/>
        <item t="default"/>
      </items>
    </pivotField>
    <pivotField dataField="1" compact="0" outline="0" showAll="0"/>
    <pivotField axis="axisPage" compact="0" outline="0" showAll="0">
      <items count="8">
        <item x="4"/>
        <item x="2"/>
        <item m="1" x="6"/>
        <item x="3"/>
        <item x="5"/>
        <item x="0"/>
        <item x="1"/>
        <item t="default"/>
      </items>
    </pivotField>
    <pivotField compact="0" outline="0" showAll="0"/>
    <pivotField compact="0" outline="0" showAll="0"/>
    <pivotField axis="axisRow" showAll="0" sortType="ascending">
      <items count="29">
        <item sd="0" x="4"/>
        <item sd="0" x="14"/>
        <item sd="0" x="16"/>
        <item sd="0" x="18"/>
        <item sd="0" x="0"/>
        <item sd="0" x="12"/>
        <item sd="0" x="5"/>
        <item sd="0" x="6"/>
        <item sd="0" x="8"/>
        <item sd="0" x="15"/>
        <item sd="0" x="7"/>
        <item sd="0" x="1"/>
        <item sd="0" x="2"/>
        <item sd="0" x="3"/>
        <item sd="0" x="17"/>
        <item sd="0" x="11"/>
        <item sd="0" x="20"/>
        <item sd="0" x="21"/>
        <item sd="0" m="1" x="26"/>
        <item sd="0" x="9"/>
        <item sd="0" x="13"/>
        <item sd="0" x="24"/>
        <item sd="0" x="22"/>
        <item sd="0" m="1" x="27"/>
        <item sd="0" x="10"/>
        <item sd="0" x="19"/>
        <item sd="0" x="23"/>
        <item sd="0" x="25"/>
        <item t="default" sd="0"/>
      </items>
    </pivotField>
    <pivotField axis="axisRow" showAll="0">
      <items count="47">
        <item x="21"/>
        <item x="3"/>
        <item x="14"/>
        <item x="17"/>
        <item x="4"/>
        <item x="8"/>
        <item x="13"/>
        <item x="15"/>
        <item m="1" x="43"/>
        <item x="20"/>
        <item m="1" x="44"/>
        <item m="1" x="40"/>
        <item x="6"/>
        <item x="32"/>
        <item x="9"/>
        <item x="34"/>
        <item x="33"/>
        <item x="24"/>
        <item x="28"/>
        <item x="29"/>
        <item x="26"/>
        <item x="23"/>
        <item x="31"/>
        <item x="25"/>
        <item x="30"/>
        <item m="1" x="45"/>
        <item x="27"/>
        <item x="38"/>
        <item x="7"/>
        <item m="1" x="41"/>
        <item x="1"/>
        <item x="5"/>
        <item m="1" x="42"/>
        <item x="18"/>
        <item x="16"/>
        <item x="2"/>
        <item x="22"/>
        <item m="1" x="39"/>
        <item x="10"/>
        <item x="11"/>
        <item x="12"/>
        <item x="19"/>
        <item x="0"/>
        <item x="35"/>
        <item x="36"/>
        <item x="37"/>
        <item t="default"/>
      </items>
    </pivotField>
    <pivotField compact="0" outline="0" showAll="0"/>
    <pivotField compact="0" outline="0" showAll="0"/>
    <pivotField axis="axisRow" compact="0" outline="0" showAll="0">
      <items count="11">
        <item x="0"/>
        <item x="3"/>
        <item x="8"/>
        <item x="4"/>
        <item x="5"/>
        <item x="9"/>
        <item x="1"/>
        <item x="2"/>
        <item x="6"/>
        <item x="7"/>
        <item t="default"/>
      </items>
    </pivotField>
    <pivotField compact="0" outline="0" showAll="0"/>
    <pivotField compact="0" outline="0" showAll="0"/>
    <pivotField compact="0" outline="0" showAll="0"/>
    <pivotField compact="0" outline="0" showAll="0"/>
    <pivotField axis="axisPage" compact="0" outline="0" showAll="0">
      <items count="11">
        <item x="1"/>
        <item x="2"/>
        <item x="7"/>
        <item x="3"/>
        <item x="4"/>
        <item m="1" x="9"/>
        <item x="6"/>
        <item x="5"/>
        <item m="1" x="8"/>
        <item x="0"/>
        <item t="default"/>
      </items>
    </pivotField>
    <pivotField axis="axisPage" compact="0" outline="0" showAll="0">
      <items count="9">
        <item m="1" x="6"/>
        <item x="5"/>
        <item x="4"/>
        <item x="2"/>
        <item x="0"/>
        <item x="1"/>
        <item x="3"/>
        <item m="1" x="7"/>
        <item t="default"/>
      </items>
    </pivotField>
  </pivotFields>
  <rowFields count="3">
    <field x="9"/>
    <field x="10"/>
    <field x="13"/>
  </rowFields>
  <rowItems count="8">
    <i>
      <x/>
    </i>
    <i>
      <x v="6"/>
    </i>
    <i>
      <x v="7"/>
    </i>
    <i>
      <x v="8"/>
    </i>
    <i>
      <x v="10"/>
    </i>
    <i>
      <x v="12"/>
    </i>
    <i>
      <x v="13"/>
    </i>
    <i t="grand">
      <x/>
    </i>
  </rowItems>
  <colItems count="1">
    <i/>
  </colItems>
  <pageFields count="5">
    <pageField fld="4" item="7" hier="-1"/>
    <pageField fld="6" hier="-1"/>
    <pageField fld="2" hier="-1"/>
    <pageField fld="18" hier="-1"/>
    <pageField fld="19" hier="-1"/>
  </pageFields>
  <dataFields count="1">
    <dataField name="Nombre de POI"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ableau croisé dynamique6" cacheId="117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K8:L170" firstHeaderRow="1" firstDataRow="1" firstDataCol="1" rowPageCount="5" colPageCount="1"/>
  <pivotFields count="16">
    <pivotField showAll="0" defaultSubtotal="0"/>
    <pivotField showAll="0"/>
    <pivotField axis="axisPage" showAll="0" defaultSubtotal="0">
      <items count="164">
        <item x="0"/>
        <item m="1" x="154"/>
        <item m="1" x="152"/>
        <item m="1" x="151"/>
        <item m="1" x="163"/>
        <item m="1" x="158"/>
        <item m="1" x="159"/>
        <item m="1" x="153"/>
        <item m="1" x="160"/>
        <item m="1" x="155"/>
        <item m="1" x="144"/>
        <item m="1" x="157"/>
        <item m="1" x="162"/>
        <item m="1" x="150"/>
        <item m="1" x="145"/>
        <item m="1" x="148"/>
        <item m="1" x="136"/>
        <item m="1" x="140"/>
        <item m="1" x="123"/>
        <item m="1" x="138"/>
        <item m="1" x="134"/>
        <item m="1" x="132"/>
        <item m="1" x="131"/>
        <item m="1" x="128"/>
        <item m="1" x="130"/>
        <item m="1" x="122"/>
        <item m="1" x="80"/>
        <item m="1" x="117"/>
        <item m="1" x="121"/>
        <item m="1" x="114"/>
        <item m="1" x="107"/>
        <item m="1" x="106"/>
        <item m="1" x="96"/>
        <item m="1" x="91"/>
        <item m="1" x="97"/>
        <item m="1" x="88"/>
        <item m="1" x="81"/>
        <item x="46"/>
        <item m="1" x="135"/>
        <item x="45"/>
        <item m="1" x="94"/>
        <item x="31"/>
        <item m="1" x="98"/>
        <item m="1" x="161"/>
        <item m="1" x="139"/>
        <item m="1" x="77"/>
        <item m="1" x="120"/>
        <item m="1" x="143"/>
        <item m="1" x="87"/>
        <item m="1" x="125"/>
        <item m="1" x="147"/>
        <item m="1" x="50"/>
        <item m="1" x="92"/>
        <item m="1" x="137"/>
        <item m="1" x="156"/>
        <item m="1" x="84"/>
        <item m="1" x="83"/>
        <item m="1" x="146"/>
        <item m="1" x="113"/>
        <item m="1" x="149"/>
        <item m="1" x="141"/>
        <item m="1" x="49"/>
        <item m="1" x="85"/>
        <item m="1" x="126"/>
        <item m="1" x="116"/>
        <item m="1" x="133"/>
        <item m="1" x="58"/>
        <item m="1" x="142"/>
        <item m="1" x="104"/>
        <item m="1" x="111"/>
        <item m="1" x="103"/>
        <item m="1" x="127"/>
        <item m="1" x="115"/>
        <item m="1" x="82"/>
        <item m="1" x="64"/>
        <item m="1" x="70"/>
        <item m="1" x="90"/>
        <item m="1" x="112"/>
        <item m="1" x="89"/>
        <item m="1" x="119"/>
        <item m="1" x="78"/>
        <item m="1" x="86"/>
        <item m="1" x="129"/>
        <item m="1" x="54"/>
        <item m="1" x="118"/>
        <item m="1" x="124"/>
        <item m="1" x="101"/>
        <item m="1" x="76"/>
        <item m="1" x="105"/>
        <item m="1" x="102"/>
        <item m="1" x="74"/>
        <item m="1" x="95"/>
        <item m="1" x="65"/>
        <item m="1" x="109"/>
        <item m="1" x="60"/>
        <item m="1" x="52"/>
        <item m="1" x="108"/>
        <item m="1" x="59"/>
        <item m="1" x="51"/>
        <item m="1" x="93"/>
        <item m="1" x="110"/>
        <item m="1" x="71"/>
        <item m="1" x="100"/>
        <item m="1" x="47"/>
        <item m="1" x="61"/>
        <item m="1" x="99"/>
        <item m="1" x="57"/>
        <item x="3"/>
        <item m="1" x="62"/>
        <item m="1" x="53"/>
        <item m="1" x="79"/>
        <item x="44"/>
        <item m="1" x="66"/>
        <item m="1" x="69"/>
        <item m="1" x="55"/>
        <item m="1" x="56"/>
        <item x="43"/>
        <item m="1" x="48"/>
        <item m="1" x="63"/>
        <item x="22"/>
        <item x="27"/>
        <item x="2"/>
        <item x="1"/>
        <item x="6"/>
        <item x="37"/>
        <item m="1" x="73"/>
        <item x="12"/>
        <item x="5"/>
        <item x="36"/>
        <item m="1" x="68"/>
        <item x="32"/>
        <item x="34"/>
        <item x="7"/>
        <item m="1" x="72"/>
        <item m="1" x="75"/>
        <item m="1" x="67"/>
        <item x="4"/>
        <item x="8"/>
        <item x="9"/>
        <item x="10"/>
        <item x="11"/>
        <item x="13"/>
        <item x="14"/>
        <item x="15"/>
        <item x="16"/>
        <item x="17"/>
        <item x="18"/>
        <item x="19"/>
        <item x="20"/>
        <item x="21"/>
        <item x="23"/>
        <item x="24"/>
        <item x="25"/>
        <item x="26"/>
        <item x="28"/>
        <item x="29"/>
        <item x="30"/>
        <item x="33"/>
        <item x="35"/>
        <item x="38"/>
        <item x="39"/>
        <item x="40"/>
        <item x="41"/>
        <item x="42"/>
      </items>
    </pivotField>
    <pivotField axis="axisPage" showAll="0" defaultSubtotal="0">
      <items count="32">
        <item m="1" x="30"/>
        <item m="1" x="20"/>
        <item m="1" x="25"/>
        <item m="1" x="23"/>
        <item m="1" x="24"/>
        <item m="1" x="22"/>
        <item m="1" x="26"/>
        <item m="1" x="21"/>
        <item m="1" x="28"/>
        <item m="1" x="31"/>
        <item m="1" x="18"/>
        <item m="1" x="27"/>
        <item m="1" x="29"/>
        <item x="16"/>
        <item m="1" x="19"/>
        <item m="1" x="17"/>
        <item x="0"/>
        <item x="1"/>
        <item x="2"/>
        <item x="3"/>
        <item x="4"/>
        <item x="5"/>
        <item x="6"/>
        <item x="7"/>
        <item x="8"/>
        <item x="9"/>
        <item x="10"/>
        <item x="11"/>
        <item x="12"/>
        <item x="13"/>
        <item x="14"/>
        <item x="15"/>
      </items>
    </pivotField>
    <pivotField dataField="1" showAll="0" defaultSubtotal="0"/>
    <pivotField axis="axisPage" multipleItemSelectionAllowed="1" showAll="0" defaultSubtotal="0">
      <items count="29">
        <item x="18"/>
        <item x="0"/>
        <item x="9"/>
        <item x="3"/>
        <item x="5"/>
        <item x="10"/>
        <item x="11"/>
        <item x="1"/>
        <item x="12"/>
        <item x="22"/>
        <item x="16"/>
        <item x="21"/>
        <item x="4"/>
        <item x="2"/>
        <item x="8"/>
        <item x="7"/>
        <item x="6"/>
        <item x="28"/>
        <item x="17"/>
        <item x="20"/>
        <item x="23"/>
        <item x="26"/>
        <item x="19"/>
        <item x="15"/>
        <item x="13"/>
        <item x="14"/>
        <item x="24"/>
        <item x="25"/>
        <item x="27"/>
      </items>
    </pivotField>
    <pivotField axis="axisRow" showAll="0" sortType="ascending" defaultSubtotal="0">
      <items count="156">
        <item sd="0" x="118"/>
        <item x="11"/>
        <item sd="0" x="38"/>
        <item sd="0" x="107"/>
        <item sd="0" m="1" x="151"/>
        <item x="122"/>
        <item sd="0" x="39"/>
        <item sd="0" x="120"/>
        <item x="138"/>
        <item x="100"/>
        <item sd="0" m="1" x="153"/>
        <item sd="0" x="18"/>
        <item sd="0" m="1" x="149"/>
        <item sd="0" x="1"/>
        <item sd="0" x="85"/>
        <item sd="0" x="26"/>
        <item x="132"/>
        <item sd="0" x="41"/>
        <item sd="0" x="124"/>
        <item sd="0" m="1" x="144"/>
        <item sd="0" x="108"/>
        <item sd="0" x="97"/>
        <item sd="0" x="36"/>
        <item sd="0" x="99"/>
        <item sd="0" x="78"/>
        <item sd="0" x="58"/>
        <item sd="0" x="114"/>
        <item sd="0" x="76"/>
        <item x="65"/>
        <item sd="0" x="94"/>
        <item sd="0" x="105"/>
        <item sd="0" x="92"/>
        <item sd="0" x="126"/>
        <item sd="0" x="8"/>
        <item sd="0" x="90"/>
        <item sd="0" x="54"/>
        <item sd="0" x="96"/>
        <item sd="0" x="112"/>
        <item x="104"/>
        <item sd="0" x="28"/>
        <item sd="0" x="9"/>
        <item sd="0" x="69"/>
        <item sd="0" x="91"/>
        <item sd="0" x="62"/>
        <item sd="0" x="5"/>
        <item sd="0" x="12"/>
        <item sd="0" x="45"/>
        <item sd="0" x="64"/>
        <item sd="0" m="1" x="147"/>
        <item sd="0" x="37"/>
        <item sd="0" x="74"/>
        <item sd="0" m="1" x="152"/>
        <item sd="0" x="3"/>
        <item sd="0" x="6"/>
        <item sd="0" m="1" x="145"/>
        <item sd="0" x="109"/>
        <item sd="0" x="95"/>
        <item sd="0" x="79"/>
        <item sd="0" x="48"/>
        <item sd="0" x="22"/>
        <item sd="0" x="30"/>
        <item sd="0" x="13"/>
        <item sd="0" x="130"/>
        <item sd="0" x="83"/>
        <item sd="0" x="111"/>
        <item sd="0" x="80"/>
        <item sd="0" x="88"/>
        <item sd="0" x="101"/>
        <item sd="0" x="119"/>
        <item sd="0" m="1" x="142"/>
        <item sd="0" x="71"/>
        <item sd="0" x="86"/>
        <item x="137"/>
        <item sd="0" x="52"/>
        <item sd="0" x="75"/>
        <item sd="0" x="67"/>
        <item sd="0" x="59"/>
        <item sd="0" x="55"/>
        <item sd="0" x="123"/>
        <item sd="0" x="47"/>
        <item sd="0" x="60"/>
        <item x="139"/>
        <item sd="0" x="10"/>
        <item sd="0" x="116"/>
        <item sd="0" m="1" x="150"/>
        <item sd="0" x="42"/>
        <item sd="0" x="117"/>
        <item sd="0" x="87"/>
        <item sd="0" x="134"/>
        <item sd="0" m="1" x="141"/>
        <item sd="0" x="135"/>
        <item sd="0" x="125"/>
        <item sd="0" x="82"/>
        <item x="131"/>
        <item sd="0" x="63"/>
        <item sd="0" x="4"/>
        <item sd="0" m="1" x="155"/>
        <item x="66"/>
        <item x="49"/>
        <item sd="0" x="31"/>
        <item x="127"/>
        <item sd="0" m="1" x="143"/>
        <item x="133"/>
        <item sd="0" x="33"/>
        <item sd="0" x="72"/>
        <item sd="0" x="113"/>
        <item sd="0" x="50"/>
        <item sd="0" x="27"/>
        <item sd="0" x="77"/>
        <item sd="0" x="98"/>
        <item sd="0" x="43"/>
        <item sd="0" x="23"/>
        <item sd="0" x="115"/>
        <item sd="0" x="17"/>
        <item sd="0" x="32"/>
        <item sd="0" x="53"/>
        <item x="61"/>
        <item sd="0" x="21"/>
        <item sd="0" x="93"/>
        <item sd="0" x="70"/>
        <item sd="0" x="7"/>
        <item sd="0" x="46"/>
        <item sd="0" x="84"/>
        <item sd="0" m="1" x="148"/>
        <item sd="0" x="24"/>
        <item sd="0" x="35"/>
        <item sd="0" x="0"/>
        <item sd="0" x="128"/>
        <item sd="0" x="110"/>
        <item sd="0" x="73"/>
        <item sd="0" x="89"/>
        <item sd="0" x="2"/>
        <item sd="0" m="1" x="146"/>
        <item x="121"/>
        <item sd="0" x="29"/>
        <item sd="0" x="129"/>
        <item x="106"/>
        <item sd="0" x="19"/>
        <item sd="0" x="102"/>
        <item sd="0" m="1" x="154"/>
        <item sd="0" x="44"/>
        <item sd="0" x="20"/>
        <item sd="0" x="40"/>
        <item sd="0" x="25"/>
        <item sd="0" x="51"/>
        <item x="68"/>
        <item sd="0" x="56"/>
        <item sd="0" x="81"/>
        <item sd="0" x="34"/>
        <item sd="0" x="15"/>
        <item sd="0" x="103"/>
        <item sd="0" x="57"/>
        <item x="136"/>
        <item sd="0" x="14"/>
        <item sd="0" x="16"/>
        <item sd="0" x="140"/>
      </items>
    </pivotField>
    <pivotField axis="axisRow" showAll="0" defaultSubtotal="0">
      <items count="300">
        <item x="82"/>
        <item x="213"/>
        <item x="36"/>
        <item x="193"/>
        <item x="8"/>
        <item m="1" x="227"/>
        <item x="211"/>
        <item x="155"/>
        <item x="20"/>
        <item m="1" x="277"/>
        <item x="35"/>
        <item x="41"/>
        <item m="1" x="255"/>
        <item m="1" x="290"/>
        <item x="12"/>
        <item x="125"/>
        <item x="1"/>
        <item x="62"/>
        <item x="16"/>
        <item x="37"/>
        <item x="124"/>
        <item m="1" x="258"/>
        <item x="2"/>
        <item x="80"/>
        <item m="1" x="241"/>
        <item x="149"/>
        <item x="15"/>
        <item x="30"/>
        <item x="138"/>
        <item m="1" x="249"/>
        <item x="27"/>
        <item x="34"/>
        <item m="1" x="273"/>
        <item m="1" x="299"/>
        <item x="3"/>
        <item m="1" x="264"/>
        <item x="212"/>
        <item x="103"/>
        <item m="1" x="234"/>
        <item m="1" x="278"/>
        <item x="161"/>
        <item m="1" x="239"/>
        <item m="1" x="259"/>
        <item m="1" x="267"/>
        <item m="1" x="284"/>
        <item x="57"/>
        <item x="127"/>
        <item x="21"/>
        <item x="19"/>
        <item x="100"/>
        <item x="119"/>
        <item m="1" x="289"/>
        <item m="1" x="285"/>
        <item m="1" x="286"/>
        <item m="1" x="256"/>
        <item x="39"/>
        <item m="1" x="240"/>
        <item m="1" x="274"/>
        <item x="160"/>
        <item m="1" x="283"/>
        <item x="32"/>
        <item x="28"/>
        <item x="40"/>
        <item x="163"/>
        <item x="153"/>
        <item x="116"/>
        <item m="1" x="231"/>
        <item x="26"/>
        <item x="84"/>
        <item x="165"/>
        <item x="13"/>
        <item x="22"/>
        <item x="5"/>
        <item m="1" x="298"/>
        <item x="115"/>
        <item x="38"/>
        <item m="1" x="245"/>
        <item m="1" x="263"/>
        <item x="113"/>
        <item x="76"/>
        <item x="25"/>
        <item x="195"/>
        <item x="4"/>
        <item x="192"/>
        <item x="123"/>
        <item x="114"/>
        <item m="1" x="248"/>
        <item x="110"/>
        <item x="29"/>
        <item m="1" x="287"/>
        <item m="1" x="272"/>
        <item x="214"/>
        <item m="1" x="250"/>
        <item x="66"/>
        <item x="154"/>
        <item x="126"/>
        <item x="158"/>
        <item x="112"/>
        <item m="1" x="229"/>
        <item x="105"/>
        <item m="1" x="247"/>
        <item m="1" x="228"/>
        <item x="120"/>
        <item x="33"/>
        <item x="117"/>
        <item x="200"/>
        <item x="24"/>
        <item x="166"/>
        <item x="108"/>
        <item x="107"/>
        <item m="1" x="276"/>
        <item m="1" x="297"/>
        <item x="106"/>
        <item x="101"/>
        <item m="1" x="288"/>
        <item x="31"/>
        <item x="164"/>
        <item x="87"/>
        <item x="118"/>
        <item x="109"/>
        <item x="162"/>
        <item x="17"/>
        <item x="183"/>
        <item x="159"/>
        <item x="111"/>
        <item x="121"/>
        <item x="157"/>
        <item x="203"/>
        <item x="122"/>
        <item m="1" x="246"/>
        <item x="68"/>
        <item m="1" x="236"/>
        <item m="1" x="293"/>
        <item x="6"/>
        <item x="7"/>
        <item x="81"/>
        <item x="156"/>
        <item x="23"/>
        <item x="0"/>
        <item m="1" x="291"/>
        <item x="191"/>
        <item x="152"/>
        <item x="207"/>
        <item m="1" x="296"/>
        <item m="1" x="251"/>
        <item m="1" x="275"/>
        <item x="9"/>
        <item m="1" x="292"/>
        <item m="1" x="294"/>
        <item m="1" x="279"/>
        <item x="189"/>
        <item m="1" x="280"/>
        <item x="128"/>
        <item x="42"/>
        <item m="1" x="260"/>
        <item m="1" x="295"/>
        <item x="45"/>
        <item x="44"/>
        <item x="129"/>
        <item x="167"/>
        <item x="46"/>
        <item m="1" x="281"/>
        <item x="43"/>
        <item x="168"/>
        <item x="184"/>
        <item x="58"/>
        <item x="60"/>
        <item m="1" x="282"/>
        <item x="169"/>
        <item x="151"/>
        <item m="1" x="265"/>
        <item x="47"/>
        <item m="1" x="261"/>
        <item m="1" x="262"/>
        <item x="48"/>
        <item x="102"/>
        <item x="56"/>
        <item x="83"/>
        <item m="1" x="242"/>
        <item x="170"/>
        <item x="130"/>
        <item m="1" x="226"/>
        <item x="185"/>
        <item x="49"/>
        <item m="1" x="266"/>
        <item x="50"/>
        <item m="1" x="232"/>
        <item x="172"/>
        <item x="104"/>
        <item x="171"/>
        <item x="131"/>
        <item x="51"/>
        <item x="132"/>
        <item m="1" x="268"/>
        <item m="1" x="269"/>
        <item m="1" x="270"/>
        <item m="1" x="271"/>
        <item x="18"/>
        <item x="63"/>
        <item x="72"/>
        <item x="73"/>
        <item x="65"/>
        <item x="70"/>
        <item m="1" x="257"/>
        <item x="71"/>
        <item x="55"/>
        <item x="173"/>
        <item x="52"/>
        <item x="174"/>
        <item x="75"/>
        <item x="59"/>
        <item x="85"/>
        <item x="176"/>
        <item m="1" x="233"/>
        <item x="133"/>
        <item m="1" x="252"/>
        <item m="1" x="253"/>
        <item m="1" x="254"/>
        <item x="175"/>
        <item x="134"/>
        <item m="1" x="230"/>
        <item x="187"/>
        <item x="177"/>
        <item x="88"/>
        <item x="67"/>
        <item m="1" x="237"/>
        <item x="14"/>
        <item m="1" x="235"/>
        <item m="1" x="243"/>
        <item x="178"/>
        <item x="64"/>
        <item x="53"/>
        <item x="10"/>
        <item x="194"/>
        <item x="94"/>
        <item x="199"/>
        <item x="179"/>
        <item x="180"/>
        <item m="1" x="244"/>
        <item m="1" x="238"/>
        <item x="197"/>
        <item x="141"/>
        <item x="135"/>
        <item x="140"/>
        <item x="79"/>
        <item x="54"/>
        <item x="181"/>
        <item x="136"/>
        <item x="89"/>
        <item x="69"/>
        <item x="99"/>
        <item x="137"/>
        <item x="142"/>
        <item x="11"/>
        <item x="61"/>
        <item x="74"/>
        <item x="77"/>
        <item x="78"/>
        <item x="86"/>
        <item x="90"/>
        <item x="91"/>
        <item x="92"/>
        <item x="93"/>
        <item x="95"/>
        <item x="96"/>
        <item x="97"/>
        <item x="98"/>
        <item x="139"/>
        <item x="143"/>
        <item x="144"/>
        <item x="145"/>
        <item x="146"/>
        <item x="147"/>
        <item x="148"/>
        <item x="150"/>
        <item x="182"/>
        <item x="186"/>
        <item x="188"/>
        <item x="190"/>
        <item x="196"/>
        <item x="198"/>
        <item x="201"/>
        <item x="202"/>
        <item x="204"/>
        <item x="205"/>
        <item x="206"/>
        <item x="208"/>
        <item x="209"/>
        <item x="210"/>
        <item x="215"/>
        <item x="216"/>
        <item x="217"/>
        <item x="218"/>
        <item x="219"/>
        <item x="220"/>
        <item x="221"/>
        <item x="222"/>
        <item x="223"/>
        <item x="224"/>
        <item x="225"/>
      </items>
    </pivotField>
    <pivotField showAll="0" defaultSubtotal="0"/>
    <pivotField showAll="0"/>
    <pivotField showAll="0" defaultSubtotal="0"/>
    <pivotField showAll="0" defaultSubtotal="0"/>
    <pivotField showAll="0" defaultSubtotal="0"/>
    <pivotField showAll="0" defaultSubtotal="0"/>
    <pivotField axis="axisPage" showAll="0" defaultSubtotal="0">
      <items count="13">
        <item x="8"/>
        <item x="6"/>
        <item x="10"/>
        <item x="3"/>
        <item x="11"/>
        <item x="7"/>
        <item x="4"/>
        <item x="5"/>
        <item x="9"/>
        <item x="0"/>
        <item x="2"/>
        <item x="1"/>
        <item x="12"/>
      </items>
    </pivotField>
    <pivotField axis="axisPage" multipleItemSelectionAllowed="1" showAll="0" defaultSubtotal="0">
      <items count="6">
        <item x="1"/>
        <item x="0"/>
        <item x="2"/>
        <item x="5"/>
        <item x="4"/>
        <item x="3"/>
      </items>
    </pivotField>
  </pivotFields>
  <rowFields count="2">
    <field x="6"/>
    <field x="7"/>
  </rowFields>
  <rowItems count="162">
    <i>
      <x/>
    </i>
    <i>
      <x v="1"/>
    </i>
    <i r="1">
      <x v="253"/>
    </i>
    <i>
      <x v="2"/>
    </i>
    <i>
      <x v="3"/>
    </i>
    <i>
      <x v="5"/>
    </i>
    <i r="1">
      <x v="276"/>
    </i>
    <i>
      <x v="6"/>
    </i>
    <i>
      <x v="7"/>
    </i>
    <i>
      <x v="8"/>
    </i>
    <i r="1">
      <x v="296"/>
    </i>
    <i>
      <x v="9"/>
    </i>
    <i r="1">
      <x v="267"/>
    </i>
    <i>
      <x v="11"/>
    </i>
    <i>
      <x v="13"/>
    </i>
    <i>
      <x v="14"/>
    </i>
    <i>
      <x v="15"/>
    </i>
    <i>
      <x v="16"/>
    </i>
    <i r="1">
      <x v="285"/>
    </i>
    <i>
      <x v="17"/>
    </i>
    <i>
      <x v="18"/>
    </i>
    <i>
      <x v="20"/>
    </i>
    <i>
      <x v="21"/>
    </i>
    <i>
      <x v="22"/>
    </i>
    <i>
      <x v="23"/>
    </i>
    <i>
      <x v="24"/>
    </i>
    <i>
      <x v="25"/>
    </i>
    <i>
      <x v="26"/>
    </i>
    <i>
      <x v="27"/>
    </i>
    <i>
      <x v="28"/>
    </i>
    <i r="1">
      <x v="259"/>
    </i>
    <i r="1">
      <x v="283"/>
    </i>
    <i>
      <x v="29"/>
    </i>
    <i>
      <x v="30"/>
    </i>
    <i>
      <x v="31"/>
    </i>
    <i>
      <x v="32"/>
    </i>
    <i>
      <x v="33"/>
    </i>
    <i>
      <x v="34"/>
    </i>
    <i>
      <x v="35"/>
    </i>
    <i>
      <x v="36"/>
    </i>
    <i>
      <x v="37"/>
    </i>
    <i>
      <x v="38"/>
    </i>
    <i r="1">
      <x v="269"/>
    </i>
    <i>
      <x v="39"/>
    </i>
    <i>
      <x v="40"/>
    </i>
    <i>
      <x v="41"/>
    </i>
    <i>
      <x v="42"/>
    </i>
    <i>
      <x v="43"/>
    </i>
    <i>
      <x v="44"/>
    </i>
    <i>
      <x v="45"/>
    </i>
    <i>
      <x v="46"/>
    </i>
    <i>
      <x v="47"/>
    </i>
    <i>
      <x v="49"/>
    </i>
    <i>
      <x v="50"/>
    </i>
    <i>
      <x v="52"/>
    </i>
    <i>
      <x v="53"/>
    </i>
    <i>
      <x v="55"/>
    </i>
    <i>
      <x v="56"/>
    </i>
    <i>
      <x v="57"/>
    </i>
    <i>
      <x v="58"/>
    </i>
    <i>
      <x v="59"/>
    </i>
    <i>
      <x v="60"/>
    </i>
    <i>
      <x v="61"/>
    </i>
    <i>
      <x v="62"/>
    </i>
    <i>
      <x v="63"/>
    </i>
    <i>
      <x v="64"/>
    </i>
    <i>
      <x v="65"/>
    </i>
    <i>
      <x v="66"/>
    </i>
    <i>
      <x v="67"/>
    </i>
    <i>
      <x v="68"/>
    </i>
    <i>
      <x v="70"/>
    </i>
    <i>
      <x v="71"/>
    </i>
    <i>
      <x v="72"/>
    </i>
    <i r="1">
      <x v="291"/>
    </i>
    <i>
      <x v="73"/>
    </i>
    <i>
      <x v="74"/>
    </i>
    <i>
      <x v="75"/>
    </i>
    <i>
      <x v="76"/>
    </i>
    <i>
      <x v="77"/>
    </i>
    <i>
      <x v="78"/>
    </i>
    <i>
      <x v="79"/>
    </i>
    <i>
      <x v="80"/>
    </i>
    <i>
      <x v="81"/>
    </i>
    <i r="1">
      <x v="299"/>
    </i>
    <i>
      <x v="82"/>
    </i>
    <i>
      <x v="83"/>
    </i>
    <i>
      <x v="85"/>
    </i>
    <i>
      <x v="86"/>
    </i>
    <i>
      <x v="87"/>
    </i>
    <i>
      <x v="88"/>
    </i>
    <i>
      <x v="90"/>
    </i>
    <i>
      <x v="91"/>
    </i>
    <i>
      <x v="92"/>
    </i>
    <i>
      <x v="93"/>
    </i>
    <i r="1">
      <x v="284"/>
    </i>
    <i>
      <x v="94"/>
    </i>
    <i>
      <x v="95"/>
    </i>
    <i>
      <x v="97"/>
    </i>
    <i r="1">
      <x v="261"/>
    </i>
    <i>
      <x v="98"/>
    </i>
    <i r="1">
      <x v="254"/>
    </i>
    <i>
      <x v="99"/>
    </i>
    <i>
      <x v="100"/>
    </i>
    <i r="1">
      <x v="279"/>
    </i>
    <i>
      <x v="102"/>
    </i>
    <i r="1">
      <x v="287"/>
    </i>
    <i>
      <x v="103"/>
    </i>
    <i>
      <x v="104"/>
    </i>
    <i>
      <x v="105"/>
    </i>
    <i>
      <x v="106"/>
    </i>
    <i>
      <x v="107"/>
    </i>
    <i>
      <x v="108"/>
    </i>
    <i>
      <x v="109"/>
    </i>
    <i>
      <x v="110"/>
    </i>
    <i>
      <x v="111"/>
    </i>
    <i>
      <x v="112"/>
    </i>
    <i>
      <x v="113"/>
    </i>
    <i>
      <x v="114"/>
    </i>
    <i>
      <x v="115"/>
    </i>
    <i>
      <x v="116"/>
    </i>
    <i r="1">
      <x v="258"/>
    </i>
    <i>
      <x v="117"/>
    </i>
    <i>
      <x v="118"/>
    </i>
    <i>
      <x v="119"/>
    </i>
    <i>
      <x v="120"/>
    </i>
    <i>
      <x v="121"/>
    </i>
    <i>
      <x v="122"/>
    </i>
    <i>
      <x v="124"/>
    </i>
    <i>
      <x v="125"/>
    </i>
    <i>
      <x v="126"/>
    </i>
    <i>
      <x v="127"/>
    </i>
    <i>
      <x v="128"/>
    </i>
    <i>
      <x v="129"/>
    </i>
    <i>
      <x v="130"/>
    </i>
    <i>
      <x v="131"/>
    </i>
    <i>
      <x v="133"/>
    </i>
    <i r="1">
      <x v="275"/>
    </i>
    <i>
      <x v="134"/>
    </i>
    <i>
      <x v="135"/>
    </i>
    <i>
      <x v="136"/>
    </i>
    <i r="1">
      <x v="274"/>
    </i>
    <i>
      <x v="137"/>
    </i>
    <i>
      <x v="138"/>
    </i>
    <i>
      <x v="140"/>
    </i>
    <i>
      <x v="141"/>
    </i>
    <i>
      <x v="142"/>
    </i>
    <i>
      <x v="143"/>
    </i>
    <i>
      <x v="144"/>
    </i>
    <i>
      <x v="145"/>
    </i>
    <i r="1">
      <x v="263"/>
    </i>
    <i>
      <x v="146"/>
    </i>
    <i>
      <x v="147"/>
    </i>
    <i>
      <x v="148"/>
    </i>
    <i>
      <x v="149"/>
    </i>
    <i>
      <x v="150"/>
    </i>
    <i>
      <x v="151"/>
    </i>
    <i>
      <x v="152"/>
    </i>
    <i r="1">
      <x v="290"/>
    </i>
    <i>
      <x v="153"/>
    </i>
    <i>
      <x v="154"/>
    </i>
    <i>
      <x v="155"/>
    </i>
    <i t="grand">
      <x/>
    </i>
  </rowItems>
  <colItems count="1">
    <i/>
  </colItems>
  <pageFields count="5">
    <pageField fld="3" hier="-1"/>
    <pageField fld="5" hier="-1"/>
    <pageField fld="2" hier="-1"/>
    <pageField fld="14" hier="-1"/>
    <pageField fld="15" hier="-1"/>
  </pageFields>
  <dataFields count="1">
    <dataField name="Nombre de POI"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030D0C-D77C-44D9-A276-A52459DE833A}" name="Tableau croisé dynamique10" cacheId="116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5">
  <location ref="S1:T9" firstHeaderRow="1" firstDataRow="1" firstDataCol="1"/>
  <pivotFields count="18">
    <pivotField axis="axisRow" showAll="0">
      <items count="11">
        <item m="1" x="7"/>
        <item m="1" x="8"/>
        <item x="0"/>
        <item m="1" x="9"/>
        <item x="5"/>
        <item x="1"/>
        <item x="6"/>
        <item x="2"/>
        <item x="3"/>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v="2"/>
    </i>
    <i>
      <x v="4"/>
    </i>
    <i>
      <x v="5"/>
    </i>
    <i>
      <x v="6"/>
    </i>
    <i>
      <x v="7"/>
    </i>
    <i>
      <x v="8"/>
    </i>
    <i>
      <x v="9"/>
    </i>
    <i t="grand">
      <x/>
    </i>
  </rowItems>
  <colItems count="1">
    <i/>
  </colItems>
  <dataFields count="1">
    <dataField name="Somme de NB DE DOSSIERS" fld="1" baseField="0" baseItem="0"/>
  </dataFields>
  <chartFormats count="8">
    <chartFormat chart="3" format="110" series="1">
      <pivotArea type="data" outline="0" fieldPosition="0">
        <references count="1">
          <reference field="4294967294" count="1" selected="0">
            <x v="0"/>
          </reference>
        </references>
      </pivotArea>
    </chartFormat>
    <chartFormat chart="3" format="111">
      <pivotArea type="data" outline="0" fieldPosition="0">
        <references count="2">
          <reference field="4294967294" count="1" selected="0">
            <x v="0"/>
          </reference>
          <reference field="0" count="1" selected="0">
            <x v="2"/>
          </reference>
        </references>
      </pivotArea>
    </chartFormat>
    <chartFormat chart="3" format="112">
      <pivotArea type="data" outline="0" fieldPosition="0">
        <references count="2">
          <reference field="4294967294" count="1" selected="0">
            <x v="0"/>
          </reference>
          <reference field="0" count="1" selected="0">
            <x v="4"/>
          </reference>
        </references>
      </pivotArea>
    </chartFormat>
    <chartFormat chart="3" format="113">
      <pivotArea type="data" outline="0" fieldPosition="0">
        <references count="2">
          <reference field="4294967294" count="1" selected="0">
            <x v="0"/>
          </reference>
          <reference field="0" count="1" selected="0">
            <x v="5"/>
          </reference>
        </references>
      </pivotArea>
    </chartFormat>
    <chartFormat chart="3" format="114">
      <pivotArea type="data" outline="0" fieldPosition="0">
        <references count="2">
          <reference field="4294967294" count="1" selected="0">
            <x v="0"/>
          </reference>
          <reference field="0" count="1" selected="0">
            <x v="6"/>
          </reference>
        </references>
      </pivotArea>
    </chartFormat>
    <chartFormat chart="3" format="115">
      <pivotArea type="data" outline="0" fieldPosition="0">
        <references count="2">
          <reference field="4294967294" count="1" selected="0">
            <x v="0"/>
          </reference>
          <reference field="0" count="1" selected="0">
            <x v="7"/>
          </reference>
        </references>
      </pivotArea>
    </chartFormat>
    <chartFormat chart="3" format="116">
      <pivotArea type="data" outline="0" fieldPosition="0">
        <references count="2">
          <reference field="4294967294" count="1" selected="0">
            <x v="0"/>
          </reference>
          <reference field="0" count="1" selected="0">
            <x v="8"/>
          </reference>
        </references>
      </pivotArea>
    </chartFormat>
    <chartFormat chart="3" format="117">
      <pivotArea type="data" outline="0" fieldPosition="0">
        <references count="2">
          <reference field="4294967294" count="1" selected="0">
            <x v="0"/>
          </reference>
          <reference field="0" count="1" selected="0">
            <x v="9"/>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Tableau croisé dynamique8" cacheId="1165"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I8:J32" firstHeaderRow="1" firstDataRow="1" firstDataCol="1" rowPageCount="5" colPageCount="1"/>
  <pivotFields count="20">
    <pivotField compact="0" outline="0" showAll="0"/>
    <pivotField compact="0" outline="0" showAll="0"/>
    <pivotField axis="axisPage" compact="0" outline="0" showAll="0">
      <items count="36">
        <item m="1" x="30"/>
        <item m="1" x="31"/>
        <item m="1" x="32"/>
        <item m="1" x="33"/>
        <item m="1" x="29"/>
        <item m="1" x="26"/>
        <item m="1" x="27"/>
        <item m="1" x="34"/>
        <item m="1" x="25"/>
        <item m="1" x="22"/>
        <item m="1" x="23"/>
        <item m="1" x="24"/>
        <item m="1" x="28"/>
        <item x="15"/>
        <item x="0"/>
        <item x="3"/>
        <item x="11"/>
        <item m="1" x="21"/>
        <item m="1" x="16"/>
        <item x="7"/>
        <item x="12"/>
        <item x="5"/>
        <item x="8"/>
        <item x="9"/>
        <item m="1" x="17"/>
        <item x="10"/>
        <item x="4"/>
        <item m="1" x="18"/>
        <item m="1" x="19"/>
        <item x="14"/>
        <item m="1" x="20"/>
        <item x="6"/>
        <item x="13"/>
        <item x="2"/>
        <item x="1"/>
        <item t="default"/>
      </items>
    </pivotField>
    <pivotField compact="0" outline="0" showAll="0"/>
    <pivotField axis="axisPage" compact="0" outline="0" showAll="0">
      <items count="14">
        <item m="1" x="11"/>
        <item m="1" x="12"/>
        <item m="1" x="6"/>
        <item m="1" x="10"/>
        <item x="5"/>
        <item m="1" x="7"/>
        <item m="1" x="8"/>
        <item m="1" x="9"/>
        <item x="0"/>
        <item x="1"/>
        <item x="2"/>
        <item x="3"/>
        <item x="4"/>
        <item t="default"/>
      </items>
    </pivotField>
    <pivotField dataField="1" compact="0" outline="0" showAll="0"/>
    <pivotField axis="axisPage" compact="0" outline="0" showAll="0">
      <items count="11">
        <item x="7"/>
        <item x="2"/>
        <item x="1"/>
        <item x="4"/>
        <item x="6"/>
        <item x="5"/>
        <item x="0"/>
        <item x="8"/>
        <item x="9"/>
        <item x="3"/>
        <item t="default"/>
      </items>
    </pivotField>
    <pivotField compact="0" outline="0" showAll="0"/>
    <pivotField compact="0" outline="0" showAll="0"/>
    <pivotField axis="axisRow" showAll="0" sortType="ascending">
      <items count="32">
        <item sd="0" m="1" x="26"/>
        <item sd="0" x="11"/>
        <item sd="0" x="1"/>
        <item sd="0" x="20"/>
        <item sd="0" x="0"/>
        <item sd="0" x="21"/>
        <item sd="0" x="14"/>
        <item sd="0" x="15"/>
        <item sd="0" x="8"/>
        <item sd="0" x="6"/>
        <item sd="0" m="1" x="30"/>
        <item sd="0" x="16"/>
        <item sd="0" x="18"/>
        <item sd="0" m="1" x="25"/>
        <item sd="0" x="9"/>
        <item sd="0" x="7"/>
        <item sd="0" x="12"/>
        <item sd="0" m="1" x="23"/>
        <item sd="0" x="5"/>
        <item sd="0" x="4"/>
        <item sd="0" x="17"/>
        <item sd="0" m="1" x="27"/>
        <item sd="0" x="10"/>
        <item sd="0" m="1" x="24"/>
        <item sd="0" x="13"/>
        <item sd="0" x="2"/>
        <item sd="0" x="19"/>
        <item sd="0" x="3"/>
        <item sd="0" m="1" x="29"/>
        <item sd="0" m="1" x="28"/>
        <item sd="0" x="22"/>
        <item t="default" sd="0"/>
      </items>
    </pivotField>
    <pivotField axis="axisRow" showAll="0">
      <items count="33">
        <item x="15"/>
        <item x="7"/>
        <item m="1" x="28"/>
        <item x="6"/>
        <item x="0"/>
        <item x="22"/>
        <item m="1" x="29"/>
        <item m="1" x="27"/>
        <item m="1" x="26"/>
        <item m="1" x="25"/>
        <item x="5"/>
        <item x="2"/>
        <item m="1" x="30"/>
        <item x="9"/>
        <item x="19"/>
        <item x="1"/>
        <item x="14"/>
        <item x="23"/>
        <item x="4"/>
        <item x="13"/>
        <item x="10"/>
        <item x="3"/>
        <item m="1" x="31"/>
        <item x="21"/>
        <item x="20"/>
        <item x="24"/>
        <item x="16"/>
        <item x="17"/>
        <item x="11"/>
        <item x="12"/>
        <item x="18"/>
        <item x="8"/>
        <item t="default"/>
      </items>
    </pivotField>
    <pivotField compact="0" outline="0" showAll="0"/>
    <pivotField compact="0" outline="0" showAll="0"/>
    <pivotField axis="axisRow" compact="0" outline="0" showAll="0">
      <items count="2">
        <item x="0"/>
        <item t="default"/>
      </items>
    </pivotField>
    <pivotField compact="0" outline="0" showAll="0"/>
    <pivotField compact="0" outline="0" showAll="0"/>
    <pivotField compact="0" outline="0" showAll="0"/>
    <pivotField compact="0" outline="0" showAll="0"/>
    <pivotField axis="axisPage" compact="0" outline="0" showAll="0">
      <items count="11">
        <item x="4"/>
        <item x="3"/>
        <item x="2"/>
        <item x="0"/>
        <item x="8"/>
        <item x="6"/>
        <item x="1"/>
        <item x="5"/>
        <item x="9"/>
        <item x="7"/>
        <item t="default"/>
      </items>
    </pivotField>
    <pivotField axis="axisPage" compact="0" outline="0" showAll="0">
      <items count="7">
        <item x="3"/>
        <item x="2"/>
        <item m="1" x="5"/>
        <item x="1"/>
        <item x="0"/>
        <item x="4"/>
        <item t="default"/>
      </items>
    </pivotField>
  </pivotFields>
  <rowFields count="3">
    <field x="9"/>
    <field x="10"/>
    <field x="13"/>
  </rowFields>
  <rowItems count="24">
    <i>
      <x v="1"/>
    </i>
    <i>
      <x v="2"/>
    </i>
    <i>
      <x v="3"/>
    </i>
    <i>
      <x v="4"/>
    </i>
    <i>
      <x v="5"/>
    </i>
    <i>
      <x v="6"/>
    </i>
    <i>
      <x v="7"/>
    </i>
    <i>
      <x v="8"/>
    </i>
    <i>
      <x v="9"/>
    </i>
    <i>
      <x v="11"/>
    </i>
    <i>
      <x v="12"/>
    </i>
    <i>
      <x v="14"/>
    </i>
    <i>
      <x v="15"/>
    </i>
    <i>
      <x v="16"/>
    </i>
    <i>
      <x v="18"/>
    </i>
    <i>
      <x v="19"/>
    </i>
    <i>
      <x v="20"/>
    </i>
    <i>
      <x v="22"/>
    </i>
    <i>
      <x v="24"/>
    </i>
    <i>
      <x v="25"/>
    </i>
    <i>
      <x v="26"/>
    </i>
    <i>
      <x v="27"/>
    </i>
    <i>
      <x v="30"/>
    </i>
    <i t="grand">
      <x/>
    </i>
  </rowItems>
  <colItems count="1">
    <i/>
  </colItems>
  <pageFields count="5">
    <pageField fld="4" hier="-1"/>
    <pageField fld="6" hier="-1"/>
    <pageField fld="2" hier="-1"/>
    <pageField fld="18" hier="-1"/>
    <pageField fld="19" hier="-1"/>
  </pageFields>
  <dataFields count="1">
    <dataField name="Nombre de POI"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EA04E4-46D3-4A0E-BE19-23C0E86957A6}" name="Tableau croisé dynamique13" cacheId="117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E8:F103" firstHeaderRow="1" firstDataRow="1" firstDataCol="1" rowPageCount="3" colPageCount="1"/>
  <pivotFields count="12">
    <pivotField axis="axisPage" showAll="0">
      <items count="5">
        <item x="3"/>
        <item x="2"/>
        <item x="0"/>
        <item x="1"/>
        <item t="default"/>
      </items>
    </pivotField>
    <pivotField showAll="0"/>
    <pivotField dataField="1" showAll="0"/>
    <pivotField showAll="0"/>
    <pivotField showAll="0"/>
    <pivotField showAll="0"/>
    <pivotField numFmtId="49" showAll="0"/>
    <pivotField axis="axisRow" showAll="0">
      <items count="19">
        <item sd="0" x="1"/>
        <item sd="0" x="2"/>
        <item sd="0" x="17"/>
        <item sd="0" x="3"/>
        <item sd="0" x="4"/>
        <item sd="0" x="5"/>
        <item sd="0" x="6"/>
        <item sd="0" x="7"/>
        <item sd="0" x="8"/>
        <item sd="0" x="9"/>
        <item sd="0" x="10"/>
        <item sd="0" x="16"/>
        <item x="0"/>
        <item sd="0" x="12"/>
        <item sd="0" x="11"/>
        <item sd="0" x="13"/>
        <item sd="0" x="14"/>
        <item sd="0" x="15"/>
        <item t="default"/>
      </items>
    </pivotField>
    <pivotField axis="axisRow" showAll="0">
      <items count="124">
        <item x="115"/>
        <item x="109"/>
        <item x="2"/>
        <item x="82"/>
        <item x="100"/>
        <item x="106"/>
        <item x="29"/>
        <item x="119"/>
        <item x="36"/>
        <item x="62"/>
        <item x="107"/>
        <item x="117"/>
        <item m="1" x="122"/>
        <item x="71"/>
        <item x="8"/>
        <item x="0"/>
        <item x="91"/>
        <item x="22"/>
        <item x="58"/>
        <item x="49"/>
        <item x="23"/>
        <item x="37"/>
        <item x="43"/>
        <item x="19"/>
        <item x="87"/>
        <item x="28"/>
        <item x="85"/>
        <item x="16"/>
        <item x="51"/>
        <item x="113"/>
        <item x="114"/>
        <item x="93"/>
        <item x="108"/>
        <item x="92"/>
        <item x="63"/>
        <item x="99"/>
        <item x="94"/>
        <item x="61"/>
        <item x="17"/>
        <item x="45"/>
        <item x="1"/>
        <item x="14"/>
        <item x="74"/>
        <item x="52"/>
        <item x="65"/>
        <item x="5"/>
        <item x="9"/>
        <item x="38"/>
        <item x="48"/>
        <item x="118"/>
        <item x="25"/>
        <item x="105"/>
        <item x="95"/>
        <item x="57"/>
        <item x="59"/>
        <item x="31"/>
        <item x="83"/>
        <item x="112"/>
        <item x="7"/>
        <item x="39"/>
        <item x="116"/>
        <item x="98"/>
        <item x="88"/>
        <item x="12"/>
        <item x="101"/>
        <item x="73"/>
        <item x="68"/>
        <item x="26"/>
        <item x="64"/>
        <item x="90"/>
        <item x="13"/>
        <item x="40"/>
        <item x="27"/>
        <item x="42"/>
        <item x="60"/>
        <item x="96"/>
        <item x="110"/>
        <item x="10"/>
        <item x="75"/>
        <item x="67"/>
        <item x="102"/>
        <item x="89"/>
        <item x="46"/>
        <item x="111"/>
        <item x="66"/>
        <item x="97"/>
        <item x="18"/>
        <item x="120"/>
        <item x="30"/>
        <item x="104"/>
        <item x="84"/>
        <item x="21"/>
        <item x="15"/>
        <item x="86"/>
        <item x="69"/>
        <item x="47"/>
        <item x="72"/>
        <item x="34"/>
        <item x="20"/>
        <item x="41"/>
        <item x="32"/>
        <item x="11"/>
        <item x="6"/>
        <item x="81"/>
        <item x="76"/>
        <item x="78"/>
        <item x="53"/>
        <item x="54"/>
        <item x="50"/>
        <item x="70"/>
        <item x="55"/>
        <item x="35"/>
        <item x="24"/>
        <item x="79"/>
        <item x="33"/>
        <item x="80"/>
        <item x="56"/>
        <item x="44"/>
        <item x="4"/>
        <item x="77"/>
        <item x="3"/>
        <item m="1" x="121"/>
        <item x="103"/>
        <item t="default"/>
      </items>
    </pivotField>
    <pivotField showAll="0"/>
    <pivotField axis="axisPage" showAll="0">
      <items count="5">
        <item x="3"/>
        <item x="0"/>
        <item x="1"/>
        <item x="2"/>
        <item t="default"/>
      </items>
    </pivotField>
    <pivotField axis="axisPage" showAll="0">
      <items count="3">
        <item x="1"/>
        <item x="0"/>
        <item t="default"/>
      </items>
    </pivotField>
  </pivotFields>
  <rowFields count="2">
    <field x="7"/>
    <field x="8"/>
  </rowFields>
  <rowItems count="95">
    <i>
      <x/>
    </i>
    <i>
      <x v="1"/>
    </i>
    <i>
      <x v="2"/>
    </i>
    <i>
      <x v="3"/>
    </i>
    <i>
      <x v="4"/>
    </i>
    <i>
      <x v="5"/>
    </i>
    <i>
      <x v="6"/>
    </i>
    <i>
      <x v="7"/>
    </i>
    <i>
      <x v="8"/>
    </i>
    <i>
      <x v="9"/>
    </i>
    <i>
      <x v="10"/>
    </i>
    <i>
      <x v="11"/>
    </i>
    <i>
      <x v="12"/>
    </i>
    <i r="1">
      <x v="2"/>
    </i>
    <i r="1">
      <x v="6"/>
    </i>
    <i r="1">
      <x v="8"/>
    </i>
    <i r="1">
      <x v="9"/>
    </i>
    <i r="1">
      <x v="13"/>
    </i>
    <i r="1">
      <x v="14"/>
    </i>
    <i r="1">
      <x v="15"/>
    </i>
    <i r="1">
      <x v="17"/>
    </i>
    <i r="1">
      <x v="18"/>
    </i>
    <i r="1">
      <x v="19"/>
    </i>
    <i r="1">
      <x v="20"/>
    </i>
    <i r="1">
      <x v="21"/>
    </i>
    <i r="1">
      <x v="22"/>
    </i>
    <i r="1">
      <x v="23"/>
    </i>
    <i r="1">
      <x v="25"/>
    </i>
    <i r="1">
      <x v="27"/>
    </i>
    <i r="1">
      <x v="28"/>
    </i>
    <i r="1">
      <x v="34"/>
    </i>
    <i r="1">
      <x v="37"/>
    </i>
    <i r="1">
      <x v="38"/>
    </i>
    <i r="1">
      <x v="39"/>
    </i>
    <i r="1">
      <x v="40"/>
    </i>
    <i r="1">
      <x v="41"/>
    </i>
    <i r="1">
      <x v="42"/>
    </i>
    <i r="1">
      <x v="43"/>
    </i>
    <i r="1">
      <x v="44"/>
    </i>
    <i r="1">
      <x v="45"/>
    </i>
    <i r="1">
      <x v="46"/>
    </i>
    <i r="1">
      <x v="47"/>
    </i>
    <i r="1">
      <x v="48"/>
    </i>
    <i r="1">
      <x v="50"/>
    </i>
    <i r="1">
      <x v="53"/>
    </i>
    <i r="1">
      <x v="54"/>
    </i>
    <i r="1">
      <x v="55"/>
    </i>
    <i r="1">
      <x v="58"/>
    </i>
    <i r="1">
      <x v="59"/>
    </i>
    <i r="1">
      <x v="63"/>
    </i>
    <i r="1">
      <x v="65"/>
    </i>
    <i r="1">
      <x v="66"/>
    </i>
    <i r="1">
      <x v="67"/>
    </i>
    <i r="1">
      <x v="68"/>
    </i>
    <i r="1">
      <x v="70"/>
    </i>
    <i r="1">
      <x v="71"/>
    </i>
    <i r="1">
      <x v="72"/>
    </i>
    <i r="1">
      <x v="73"/>
    </i>
    <i r="1">
      <x v="74"/>
    </i>
    <i r="1">
      <x v="77"/>
    </i>
    <i r="1">
      <x v="78"/>
    </i>
    <i r="1">
      <x v="79"/>
    </i>
    <i r="1">
      <x v="82"/>
    </i>
    <i r="1">
      <x v="84"/>
    </i>
    <i r="1">
      <x v="86"/>
    </i>
    <i r="1">
      <x v="88"/>
    </i>
    <i r="1">
      <x v="91"/>
    </i>
    <i r="1">
      <x v="92"/>
    </i>
    <i r="1">
      <x v="94"/>
    </i>
    <i r="1">
      <x v="95"/>
    </i>
    <i r="1">
      <x v="96"/>
    </i>
    <i r="1">
      <x v="97"/>
    </i>
    <i r="1">
      <x v="98"/>
    </i>
    <i r="1">
      <x v="99"/>
    </i>
    <i r="1">
      <x v="100"/>
    </i>
    <i r="1">
      <x v="101"/>
    </i>
    <i r="1">
      <x v="102"/>
    </i>
    <i r="1">
      <x v="106"/>
    </i>
    <i r="1">
      <x v="107"/>
    </i>
    <i r="1">
      <x v="108"/>
    </i>
    <i r="1">
      <x v="109"/>
    </i>
    <i r="1">
      <x v="110"/>
    </i>
    <i r="1">
      <x v="111"/>
    </i>
    <i r="1">
      <x v="112"/>
    </i>
    <i r="1">
      <x v="114"/>
    </i>
    <i r="1">
      <x v="116"/>
    </i>
    <i r="1">
      <x v="117"/>
    </i>
    <i r="1">
      <x v="118"/>
    </i>
    <i r="1">
      <x v="120"/>
    </i>
    <i>
      <x v="13"/>
    </i>
    <i>
      <x v="14"/>
    </i>
    <i>
      <x v="15"/>
    </i>
    <i>
      <x v="16"/>
    </i>
    <i>
      <x v="17"/>
    </i>
    <i t="grand">
      <x/>
    </i>
  </rowItems>
  <colItems count="1">
    <i/>
  </colItems>
  <pageFields count="3">
    <pageField fld="0" hier="-1"/>
    <pageField fld="11" hier="-1"/>
    <pageField fld="10" hier="-1"/>
  </pageFields>
  <dataFields count="1">
    <dataField name="Nombre de COG" fld="2"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Tableau croisé dynamique2" cacheId="1169"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M8:N105" firstHeaderRow="1" firstDataRow="1" firstDataCol="1" rowPageCount="5" colPageCount="1"/>
  <pivotFields count="16">
    <pivotField compact="0" outline="0" showAll="0"/>
    <pivotField compact="0" outline="0" showAll="0"/>
    <pivotField axis="axisPage" compact="0" outline="0" multipleItemSelectionAllowed="1" showAll="0">
      <items count="158">
        <item m="1" x="61"/>
        <item x="0"/>
        <item m="1" x="155"/>
        <item m="1" x="140"/>
        <item m="1" x="143"/>
        <item m="1" x="111"/>
        <item m="1" x="154"/>
        <item m="1" x="151"/>
        <item m="1" x="153"/>
        <item m="1" x="150"/>
        <item m="1" x="145"/>
        <item m="1" x="144"/>
        <item m="1" x="147"/>
        <item m="1" x="152"/>
        <item m="1" x="141"/>
        <item m="1" x="146"/>
        <item m="1" x="149"/>
        <item m="1" x="142"/>
        <item m="1" x="139"/>
        <item m="1" x="137"/>
        <item m="1" x="138"/>
        <item m="1" x="122"/>
        <item m="1" x="98"/>
        <item m="1" x="131"/>
        <item m="1" x="99"/>
        <item m="1" x="123"/>
        <item m="1" x="127"/>
        <item m="1" x="106"/>
        <item m="1" x="115"/>
        <item m="1" x="110"/>
        <item m="1" x="118"/>
        <item m="1" x="114"/>
        <item m="1" x="109"/>
        <item m="1" x="104"/>
        <item m="1" x="102"/>
        <item m="1" x="95"/>
        <item m="1" x="89"/>
        <item m="1" x="85"/>
        <item m="1" x="94"/>
        <item m="1" x="84"/>
        <item m="1" x="79"/>
        <item m="1" x="70"/>
        <item m="1" x="41"/>
        <item m="1" x="48"/>
        <item m="1" x="53"/>
        <item m="1" x="77"/>
        <item m="1" x="49"/>
        <item x="36"/>
        <item x="22"/>
        <item x="37"/>
        <item m="1" x="156"/>
        <item m="1" x="73"/>
        <item m="1" x="101"/>
        <item m="1" x="88"/>
        <item m="1" x="42"/>
        <item m="1" x="148"/>
        <item m="1" x="136"/>
        <item m="1" x="129"/>
        <item x="13"/>
        <item m="1" x="39"/>
        <item m="1" x="86"/>
        <item m="1" x="47"/>
        <item m="1" x="128"/>
        <item m="1" x="71"/>
        <item m="1" x="125"/>
        <item m="1" x="75"/>
        <item x="16"/>
        <item m="1" x="134"/>
        <item m="1" x="116"/>
        <item m="1" x="119"/>
        <item m="1" x="132"/>
        <item m="1" x="135"/>
        <item m="1" x="69"/>
        <item m="1" x="72"/>
        <item m="1" x="130"/>
        <item m="1" x="55"/>
        <item m="1" x="133"/>
        <item m="1" x="90"/>
        <item m="1" x="50"/>
        <item m="1" x="124"/>
        <item m="1" x="113"/>
        <item m="1" x="120"/>
        <item m="1" x="108"/>
        <item m="1" x="126"/>
        <item m="1" x="92"/>
        <item m="1" x="100"/>
        <item m="1" x="121"/>
        <item m="1" x="74"/>
        <item m="1" x="93"/>
        <item m="1" x="56"/>
        <item m="1" x="117"/>
        <item m="1" x="87"/>
        <item m="1" x="97"/>
        <item m="1" x="82"/>
        <item m="1" x="91"/>
        <item m="1" x="38"/>
        <item m="1" x="103"/>
        <item m="1" x="80"/>
        <item x="14"/>
        <item m="1" x="112"/>
        <item m="1" x="107"/>
        <item m="1" x="40"/>
        <item m="1" x="76"/>
        <item x="3"/>
        <item m="1" x="83"/>
        <item m="1" x="96"/>
        <item m="1" x="44"/>
        <item m="1" x="105"/>
        <item m="1" x="68"/>
        <item m="1" x="43"/>
        <item m="1" x="81"/>
        <item m="1" x="54"/>
        <item m="1" x="78"/>
        <item m="1" x="52"/>
        <item x="2"/>
        <item x="1"/>
        <item m="1" x="58"/>
        <item x="15"/>
        <item x="24"/>
        <item m="1" x="62"/>
        <item m="1" x="45"/>
        <item m="1" x="46"/>
        <item m="1" x="51"/>
        <item x="20"/>
        <item x="10"/>
        <item m="1" x="57"/>
        <item m="1" x="65"/>
        <item m="1" x="64"/>
        <item m="1" x="59"/>
        <item m="1" x="66"/>
        <item m="1" x="67"/>
        <item m="1" x="63"/>
        <item x="35"/>
        <item m="1" x="60"/>
        <item x="4"/>
        <item x="5"/>
        <item x="6"/>
        <item x="7"/>
        <item x="8"/>
        <item x="9"/>
        <item x="11"/>
        <item x="12"/>
        <item x="17"/>
        <item x="18"/>
        <item x="19"/>
        <item x="21"/>
        <item x="23"/>
        <item x="25"/>
        <item x="26"/>
        <item x="27"/>
        <item x="28"/>
        <item x="29"/>
        <item x="30"/>
        <item x="31"/>
        <item x="32"/>
        <item x="33"/>
        <item x="34"/>
        <item t="default"/>
      </items>
    </pivotField>
    <pivotField axis="axisPage" compact="0" outline="0" showAll="0">
      <items count="31">
        <item m="1" x="21"/>
        <item m="1" x="18"/>
        <item m="1" x="23"/>
        <item m="1" x="29"/>
        <item m="1" x="22"/>
        <item m="1" x="20"/>
        <item m="1" x="25"/>
        <item m="1" x="19"/>
        <item m="1" x="27"/>
        <item m="1" x="26"/>
        <item m="1" x="17"/>
        <item m="1" x="16"/>
        <item m="1" x="24"/>
        <item m="1" x="28"/>
        <item x="14"/>
        <item m="1" x="15"/>
        <item x="0"/>
        <item x="1"/>
        <item x="2"/>
        <item x="3"/>
        <item x="4"/>
        <item x="5"/>
        <item x="6"/>
        <item x="7"/>
        <item x="8"/>
        <item x="9"/>
        <item x="10"/>
        <item x="11"/>
        <item x="12"/>
        <item x="13"/>
        <item t="default"/>
      </items>
    </pivotField>
    <pivotField dataField="1" compact="0" outline="0" showAll="0"/>
    <pivotField axis="axisPage" compact="0" outline="0" multipleItemSelectionAllowed="1" showAll="0">
      <items count="35">
        <item x="25"/>
        <item x="8"/>
        <item x="18"/>
        <item x="6"/>
        <item x="10"/>
        <item x="21"/>
        <item x="15"/>
        <item x="16"/>
        <item x="0"/>
        <item x="27"/>
        <item m="1" x="31"/>
        <item x="2"/>
        <item x="22"/>
        <item x="1"/>
        <item x="26"/>
        <item x="17"/>
        <item x="11"/>
        <item x="14"/>
        <item x="19"/>
        <item x="29"/>
        <item x="3"/>
        <item x="24"/>
        <item x="4"/>
        <item x="30"/>
        <item x="20"/>
        <item x="9"/>
        <item x="5"/>
        <item x="23"/>
        <item x="12"/>
        <item m="1" x="33"/>
        <item x="13"/>
        <item m="1" x="32"/>
        <item x="7"/>
        <item x="28"/>
        <item t="default"/>
      </items>
    </pivotField>
    <pivotField axis="axisRow" showAll="0" sortType="ascending">
      <items count="127">
        <item sd="0" x="47"/>
        <item sd="0" m="1" x="119"/>
        <item sd="0" m="1" x="121"/>
        <item sd="0" x="12"/>
        <item sd="0" m="1" x="118"/>
        <item sd="0" m="1" x="117"/>
        <item sd="0" m="1" x="122"/>
        <item sd="0" m="1" x="113"/>
        <item sd="0" m="1" x="116"/>
        <item sd="0" x="5"/>
        <item sd="0" m="1" x="115"/>
        <item sd="0" m="1" x="114"/>
        <item sd="0" m="1" x="120"/>
        <item sd="0" m="1" x="111"/>
        <item sd="0" x="85"/>
        <item sd="0" x="64"/>
        <item sd="0" x="76"/>
        <item sd="0" x="46"/>
        <item sd="0" x="55"/>
        <item sd="0" m="1" x="101"/>
        <item sd="0" m="1" x="106"/>
        <item sd="0" x="17"/>
        <item sd="0" m="1" x="92"/>
        <item sd="0" x="87"/>
        <item sd="0" x="49"/>
        <item sd="0" m="1" x="102"/>
        <item sd="0" x="22"/>
        <item sd="0" x="19"/>
        <item sd="0" x="66"/>
        <item sd="0" x="86"/>
        <item sd="0" x="45"/>
        <item sd="0" x="25"/>
        <item sd="0" x="20"/>
        <item sd="0" x="26"/>
        <item sd="0" x="74"/>
        <item sd="0" x="11"/>
        <item sd="0" x="79"/>
        <item sd="0" x="67"/>
        <item sd="0" x="83"/>
        <item sd="0" x="41"/>
        <item sd="0" m="1" x="104"/>
        <item sd="0" x="89"/>
        <item sd="0" x="88"/>
        <item sd="0" x="61"/>
        <item sd="0" x="60"/>
        <item sd="0" m="1" x="108"/>
        <item sd="0" x="7"/>
        <item sd="0" x="65"/>
        <item x="9"/>
        <item sd="0" x="36"/>
        <item sd="0" x="1"/>
        <item sd="0" x="48"/>
        <item sd="0" m="1" x="98"/>
        <item sd="0" x="59"/>
        <item sd="0" x="4"/>
        <item sd="0" x="34"/>
        <item sd="0" x="58"/>
        <item sd="0" x="40"/>
        <item sd="0" x="18"/>
        <item sd="0" x="84"/>
        <item sd="0" x="71"/>
        <item sd="0" x="52"/>
        <item sd="0" m="1" x="95"/>
        <item sd="0" x="15"/>
        <item sd="0" x="80"/>
        <item sd="0" m="1" x="100"/>
        <item sd="0" x="13"/>
        <item sd="0" m="1" x="123"/>
        <item sd="0" x="0"/>
        <item sd="0" x="21"/>
        <item sd="0" x="73"/>
        <item sd="0" x="31"/>
        <item sd="0" m="1" x="110"/>
        <item sd="0" x="56"/>
        <item sd="0" x="23"/>
        <item sd="0" x="44"/>
        <item sd="0" x="35"/>
        <item sd="0" m="1" x="124"/>
        <item sd="0" x="8"/>
        <item sd="0" m="1" x="109"/>
        <item sd="0" x="28"/>
        <item sd="0" x="69"/>
        <item sd="0" m="1" x="103"/>
        <item sd="0" x="38"/>
        <item sd="0" m="1" x="94"/>
        <item sd="0" x="50"/>
        <item sd="0" m="1" x="112"/>
        <item sd="0" x="3"/>
        <item sd="0" m="1" x="99"/>
        <item sd="0" x="78"/>
        <item sd="0" x="10"/>
        <item sd="0" x="27"/>
        <item sd="0" x="32"/>
        <item sd="0" x="43"/>
        <item sd="0" m="1" x="96"/>
        <item sd="0" x="75"/>
        <item sd="0" x="24"/>
        <item sd="0" x="63"/>
        <item sd="0" x="90"/>
        <item sd="0" x="30"/>
        <item sd="0" x="70"/>
        <item sd="0" x="68"/>
        <item sd="0" x="14"/>
        <item sd="0" x="16"/>
        <item sd="0" x="81"/>
        <item sd="0" x="6"/>
        <item sd="0" m="1" x="107"/>
        <item sd="0" x="42"/>
        <item sd="0" x="53"/>
        <item sd="0" x="57"/>
        <item sd="0" x="62"/>
        <item x="51"/>
        <item sd="0" x="37"/>
        <item sd="0" x="72"/>
        <item sd="0" x="39"/>
        <item sd="0" x="33"/>
        <item sd="0" x="77"/>
        <item sd="0" x="2"/>
        <item sd="0" m="1" x="105"/>
        <item sd="0" m="1" x="125"/>
        <item sd="0" x="29"/>
        <item sd="0" x="82"/>
        <item sd="0" m="1" x="97"/>
        <item x="54"/>
        <item sd="0" m="1" x="93"/>
        <item sd="0" x="91"/>
        <item t="default" sd="0"/>
      </items>
    </pivotField>
    <pivotField axis="axisRow" showAll="0" sortType="ascending">
      <items count="214">
        <item x="73"/>
        <item sd="0" m="1" x="163"/>
        <item x="6"/>
        <item sd="0" x="88"/>
        <item sd="0" x="28"/>
        <item sd="0" x="27"/>
        <item sd="0" x="87"/>
        <item sd="0" m="1" x="200"/>
        <item x="15"/>
        <item sd="0" m="1" x="194"/>
        <item x="5"/>
        <item sd="0" x="79"/>
        <item sd="0" x="108"/>
        <item sd="0" m="1" x="205"/>
        <item sd="0" x="105"/>
        <item sd="0" m="1" x="196"/>
        <item sd="0" x="113"/>
        <item sd="0" m="1" x="203"/>
        <item x="1"/>
        <item x="16"/>
        <item sd="0" m="1" x="209"/>
        <item sd="0" x="12"/>
        <item sd="0" x="91"/>
        <item sd="0" x="4"/>
        <item sd="0" x="31"/>
        <item x="57"/>
        <item sd="0" x="63"/>
        <item sd="0" m="1" x="171"/>
        <item x="10"/>
        <item m="1" x="179"/>
        <item x="58"/>
        <item sd="0" x="118"/>
        <item sd="0" x="133"/>
        <item sd="0" m="1" x="155"/>
        <item sd="0" m="1" x="195"/>
        <item sd="0" m="1" x="176"/>
        <item x="19"/>
        <item x="74"/>
        <item sd="0" m="1" x="156"/>
        <item sd="0" x="38"/>
        <item x="109"/>
        <item sd="0" x="102"/>
        <item sd="0" x="34"/>
        <item sd="0" x="134"/>
        <item sd="0" x="3"/>
        <item x="80"/>
        <item sd="0" x="7"/>
        <item x="13"/>
        <item sd="0" m="1" x="183"/>
        <item sd="0" m="1" x="202"/>
        <item x="8"/>
        <item sd="0" x="150"/>
        <item x="61"/>
        <item x="62"/>
        <item sd="0" x="122"/>
        <item m="1" x="189"/>
        <item x="138"/>
        <item m="1" x="166"/>
        <item sd="0" m="1" x="160"/>
        <item sd="0" x="67"/>
        <item sd="0" x="149"/>
        <item sd="0" x="114"/>
        <item x="17"/>
        <item m="1" x="168"/>
        <item x="9"/>
        <item sd="0" m="1" x="201"/>
        <item sd="0" x="141"/>
        <item sd="0" x="35"/>
        <item x="56"/>
        <item sd="0" m="1" x="199"/>
        <item sd="0" x="30"/>
        <item sd="0" m="1" x="157"/>
        <item sd="0" x="25"/>
        <item sd="0" x="55"/>
        <item m="1" x="170"/>
        <item x="11"/>
        <item x="14"/>
        <item sd="0" x="139"/>
        <item sd="0" x="131"/>
        <item x="117"/>
        <item sd="0" x="46"/>
        <item x="22"/>
        <item sd="0" x="32"/>
        <item sd="0" x="143"/>
        <item sd="0" x="42"/>
        <item sd="0" x="39"/>
        <item x="106"/>
        <item sd="0" x="82"/>
        <item sd="0" x="60"/>
        <item sd="0" x="132"/>
        <item m="1" x="190"/>
        <item m="1" x="164"/>
        <item sd="0" x="142"/>
        <item sd="0" x="71"/>
        <item x="83"/>
        <item sd="0" x="26"/>
        <item sd="0" m="1" x="182"/>
        <item x="49"/>
        <item sd="0" x="70"/>
        <item sd="0" x="110"/>
        <item sd="0" m="1" x="158"/>
        <item x="125"/>
        <item sd="0" m="1" x="212"/>
        <item sd="0" x="48"/>
        <item m="1" x="162"/>
        <item x="103"/>
        <item sd="0" m="1" x="198"/>
        <item m="1" x="178"/>
        <item sd="0" x="44"/>
        <item sd="0" x="68"/>
        <item sd="0" x="97"/>
        <item sd="0" m="1" x="177"/>
        <item sd="0" x="123"/>
        <item sd="0" m="1" x="169"/>
        <item x="145"/>
        <item sd="0" x="121"/>
        <item sd="0" x="94"/>
        <item x="21"/>
        <item sd="0" m="1" x="154"/>
        <item sd="0" x="51"/>
        <item sd="0" m="1" x="173"/>
        <item sd="0" x="75"/>
        <item sd="0" x="89"/>
        <item sd="0" x="107"/>
        <item sd="0" m="1" x="186"/>
        <item sd="0" x="104"/>
        <item sd="0" x="147"/>
        <item sd="0" x="64"/>
        <item sd="0" x="52"/>
        <item x="81"/>
        <item sd="0" x="140"/>
        <item sd="0" x="69"/>
        <item sd="0" m="1" x="165"/>
        <item sd="0" x="0"/>
        <item sd="0" x="53"/>
        <item sd="0" x="135"/>
        <item sd="0" x="90"/>
        <item sd="0" m="1" x="185"/>
        <item sd="0" m="1" x="204"/>
        <item sd="0" m="1" x="167"/>
        <item sd="0" x="45"/>
        <item sd="0" x="98"/>
        <item sd="0" x="100"/>
        <item sd="0" x="65"/>
        <item sd="0" x="95"/>
        <item sd="0" m="1" x="206"/>
        <item x="124"/>
        <item sd="0" x="78"/>
        <item sd="0" x="85"/>
        <item sd="0" x="23"/>
        <item sd="0" x="18"/>
        <item m="1" x="188"/>
        <item x="72"/>
        <item sd="0" x="29"/>
        <item x="128"/>
        <item sd="0" x="115"/>
        <item sd="0" m="1" x="211"/>
        <item sd="0" x="43"/>
        <item sd="0" m="1" x="193"/>
        <item sd="0" m="1" x="172"/>
        <item sd="0" m="1" x="192"/>
        <item x="77"/>
        <item x="66"/>
        <item sd="0" x="146"/>
        <item sd="0" x="99"/>
        <item sd="0" x="54"/>
        <item sd="0" x="40"/>
        <item sd="0" x="127"/>
        <item sd="0" x="144"/>
        <item sd="0" x="24"/>
        <item sd="0" m="1" x="187"/>
        <item sd="0" x="129"/>
        <item sd="0" x="41"/>
        <item sd="0" x="111"/>
        <item sd="0" m="1" x="208"/>
        <item sd="0" x="36"/>
        <item sd="0" m="1" x="180"/>
        <item sd="0" x="93"/>
        <item sd="0" m="1" x="159"/>
        <item sd="0" x="136"/>
        <item x="59"/>
        <item sd="0" x="50"/>
        <item sd="0" x="126"/>
        <item sd="0" x="112"/>
        <item sd="0" x="33"/>
        <item x="84"/>
        <item x="152"/>
        <item sd="0" m="1" x="197"/>
        <item sd="0" x="101"/>
        <item x="20"/>
        <item sd="0" m="1" x="210"/>
        <item sd="0" m="1" x="175"/>
        <item x="151"/>
        <item sd="0" x="130"/>
        <item sd="0" x="120"/>
        <item sd="0" x="119"/>
        <item sd="0" x="148"/>
        <item sd="0" m="1" x="174"/>
        <item sd="0" x="2"/>
        <item sd="0" x="37"/>
        <item m="1" x="161"/>
        <item sd="0" m="1" x="184"/>
        <item sd="0" x="92"/>
        <item sd="0" m="1" x="207"/>
        <item sd="0" m="1" x="191"/>
        <item x="116"/>
        <item sd="0" x="137"/>
        <item sd="0" m="1" x="181"/>
        <item sd="0" x="76"/>
        <item sd="0" x="47"/>
        <item sd="0" x="86"/>
        <item sd="0" x="96"/>
        <item sd="0" x="153"/>
        <item t="default" sd="0"/>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4">
        <item x="6"/>
        <item x="10"/>
        <item x="3"/>
        <item x="9"/>
        <item x="2"/>
        <item x="0"/>
        <item x="5"/>
        <item x="12"/>
        <item x="1"/>
        <item x="11"/>
        <item x="7"/>
        <item x="4"/>
        <item x="8"/>
        <item t="default"/>
      </items>
    </pivotField>
    <pivotField axis="axisPage" compact="0" outline="0" showAll="0">
      <items count="7">
        <item x="4"/>
        <item x="3"/>
        <item x="0"/>
        <item x="1"/>
        <item x="5"/>
        <item x="2"/>
        <item t="default"/>
      </items>
    </pivotField>
  </pivotFields>
  <rowFields count="2">
    <field x="6"/>
    <field x="7"/>
  </rowFields>
  <rowItems count="97">
    <i>
      <x/>
    </i>
    <i>
      <x v="3"/>
    </i>
    <i>
      <x v="9"/>
    </i>
    <i>
      <x v="14"/>
    </i>
    <i>
      <x v="15"/>
    </i>
    <i>
      <x v="16"/>
    </i>
    <i>
      <x v="17"/>
    </i>
    <i>
      <x v="18"/>
    </i>
    <i>
      <x v="21"/>
    </i>
    <i>
      <x v="23"/>
    </i>
    <i>
      <x v="24"/>
    </i>
    <i>
      <x v="26"/>
    </i>
    <i>
      <x v="27"/>
    </i>
    <i>
      <x v="28"/>
    </i>
    <i>
      <x v="29"/>
    </i>
    <i>
      <x v="30"/>
    </i>
    <i>
      <x v="31"/>
    </i>
    <i>
      <x v="32"/>
    </i>
    <i>
      <x v="33"/>
    </i>
    <i>
      <x v="34"/>
    </i>
    <i>
      <x v="35"/>
    </i>
    <i>
      <x v="36"/>
    </i>
    <i>
      <x v="37"/>
    </i>
    <i>
      <x v="38"/>
    </i>
    <i>
      <x v="39"/>
    </i>
    <i>
      <x v="41"/>
    </i>
    <i>
      <x v="42"/>
    </i>
    <i>
      <x v="43"/>
    </i>
    <i>
      <x v="44"/>
    </i>
    <i>
      <x v="46"/>
    </i>
    <i>
      <x v="47"/>
    </i>
    <i>
      <x v="48"/>
    </i>
    <i r="1">
      <x v="28"/>
    </i>
    <i r="1">
      <x v="75"/>
    </i>
    <i>
      <x v="49"/>
    </i>
    <i>
      <x v="50"/>
    </i>
    <i>
      <x v="51"/>
    </i>
    <i>
      <x v="53"/>
    </i>
    <i>
      <x v="54"/>
    </i>
    <i>
      <x v="55"/>
    </i>
    <i>
      <x v="56"/>
    </i>
    <i>
      <x v="57"/>
    </i>
    <i>
      <x v="58"/>
    </i>
    <i>
      <x v="59"/>
    </i>
    <i>
      <x v="60"/>
    </i>
    <i>
      <x v="61"/>
    </i>
    <i>
      <x v="63"/>
    </i>
    <i>
      <x v="64"/>
    </i>
    <i>
      <x v="66"/>
    </i>
    <i>
      <x v="68"/>
    </i>
    <i>
      <x v="69"/>
    </i>
    <i>
      <x v="70"/>
    </i>
    <i>
      <x v="71"/>
    </i>
    <i>
      <x v="73"/>
    </i>
    <i>
      <x v="74"/>
    </i>
    <i>
      <x v="75"/>
    </i>
    <i>
      <x v="76"/>
    </i>
    <i>
      <x v="78"/>
    </i>
    <i>
      <x v="80"/>
    </i>
    <i>
      <x v="81"/>
    </i>
    <i>
      <x v="83"/>
    </i>
    <i>
      <x v="85"/>
    </i>
    <i>
      <x v="87"/>
    </i>
    <i>
      <x v="89"/>
    </i>
    <i>
      <x v="90"/>
    </i>
    <i>
      <x v="91"/>
    </i>
    <i>
      <x v="92"/>
    </i>
    <i>
      <x v="93"/>
    </i>
    <i>
      <x v="95"/>
    </i>
    <i>
      <x v="96"/>
    </i>
    <i>
      <x v="97"/>
    </i>
    <i>
      <x v="98"/>
    </i>
    <i>
      <x v="99"/>
    </i>
    <i>
      <x v="100"/>
    </i>
    <i>
      <x v="101"/>
    </i>
    <i>
      <x v="102"/>
    </i>
    <i>
      <x v="103"/>
    </i>
    <i>
      <x v="104"/>
    </i>
    <i>
      <x v="105"/>
    </i>
    <i>
      <x v="107"/>
    </i>
    <i>
      <x v="108"/>
    </i>
    <i>
      <x v="109"/>
    </i>
    <i>
      <x v="110"/>
    </i>
    <i>
      <x v="111"/>
    </i>
    <i r="1">
      <x v="152"/>
    </i>
    <i>
      <x v="112"/>
    </i>
    <i>
      <x v="113"/>
    </i>
    <i>
      <x v="114"/>
    </i>
    <i>
      <x v="115"/>
    </i>
    <i>
      <x v="116"/>
    </i>
    <i>
      <x v="117"/>
    </i>
    <i>
      <x v="120"/>
    </i>
    <i>
      <x v="121"/>
    </i>
    <i>
      <x v="123"/>
    </i>
    <i r="1">
      <x v="161"/>
    </i>
    <i>
      <x v="125"/>
    </i>
    <i t="grand">
      <x/>
    </i>
  </rowItems>
  <colItems count="1">
    <i/>
  </colItems>
  <pageFields count="5">
    <pageField fld="3" hier="-1"/>
    <pageField fld="5" hier="-1"/>
    <pageField fld="2" hier="-1"/>
    <pageField fld="14" hier="-1"/>
    <pageField fld="15" hier="-1"/>
  </pageFields>
  <dataFields count="1">
    <dataField name="Nombre de POI"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A1F35-FA27-444A-810A-EC43AB16B13B}" name="Tableau croisé dynamique11" cacheId="116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8:B79" firstHeaderRow="1" firstDataRow="1" firstDataCol="1" rowPageCount="4" colPageCount="1"/>
  <pivotFields count="20">
    <pivotField showAll="0"/>
    <pivotField showAll="0"/>
    <pivotField axis="axisPage" showAll="0">
      <items count="59">
        <item x="1"/>
        <item m="1" x="49"/>
        <item m="1" x="45"/>
        <item m="1" x="51"/>
        <item m="1" x="55"/>
        <item m="1" x="56"/>
        <item m="1" x="43"/>
        <item m="1" x="46"/>
        <item m="1" x="42"/>
        <item m="1" x="44"/>
        <item m="1" x="52"/>
        <item m="1" x="54"/>
        <item m="1" x="48"/>
        <item m="1" x="57"/>
        <item m="1" x="53"/>
        <item m="1" x="47"/>
        <item m="1" x="38"/>
        <item m="1" x="50"/>
        <item m="1" x="34"/>
        <item m="1" x="30"/>
        <item x="22"/>
        <item x="9"/>
        <item x="28"/>
        <item m="1" x="29"/>
        <item x="6"/>
        <item m="1" x="35"/>
        <item m="1" x="36"/>
        <item x="2"/>
        <item x="13"/>
        <item m="1" x="37"/>
        <item x="0"/>
        <item x="5"/>
        <item x="16"/>
        <item m="1" x="32"/>
        <item m="1" x="39"/>
        <item x="23"/>
        <item x="3"/>
        <item x="12"/>
        <item x="17"/>
        <item x="8"/>
        <item x="27"/>
        <item x="25"/>
        <item x="10"/>
        <item m="1" x="40"/>
        <item m="1" x="41"/>
        <item x="19"/>
        <item x="24"/>
        <item x="18"/>
        <item x="21"/>
        <item m="1" x="31"/>
        <item x="20"/>
        <item x="11"/>
        <item m="1" x="33"/>
        <item x="26"/>
        <item x="14"/>
        <item x="15"/>
        <item x="4"/>
        <item x="7"/>
        <item t="default"/>
      </items>
    </pivotField>
    <pivotField showAll="0"/>
    <pivotField showAll="0"/>
    <pivotField dataField="1" showAll="0"/>
    <pivotField axis="axisPage" showAll="0">
      <items count="14">
        <item x="11"/>
        <item x="10"/>
        <item x="2"/>
        <item x="8"/>
        <item x="7"/>
        <item x="6"/>
        <item x="4"/>
        <item x="9"/>
        <item x="0"/>
        <item x="12"/>
        <item x="3"/>
        <item x="5"/>
        <item x="1"/>
        <item t="default"/>
      </items>
    </pivotField>
    <pivotField numFmtId="14" showAll="0"/>
    <pivotField showAll="0"/>
    <pivotField axis="axisRow" showAll="0">
      <items count="72">
        <item sd="0" x="64"/>
        <item sd="0" x="65"/>
        <item sd="0" x="18"/>
        <item sd="0" x="55"/>
        <item sd="0" x="23"/>
        <item sd="0" x="0"/>
        <item x="36"/>
        <item sd="0" x="33"/>
        <item sd="0" x="21"/>
        <item sd="0" m="1" x="67"/>
        <item sd="0" m="1" x="68"/>
        <item sd="0" x="22"/>
        <item sd="0" x="59"/>
        <item sd="0" x="58"/>
        <item sd="0" x="61"/>
        <item sd="0" x="9"/>
        <item sd="0" x="29"/>
        <item sd="0" x="52"/>
        <item sd="0" x="46"/>
        <item sd="0" x="19"/>
        <item sd="0" x="1"/>
        <item sd="0" x="51"/>
        <item sd="0" x="2"/>
        <item sd="0" x="48"/>
        <item sd="0" x="53"/>
        <item sd="0" x="63"/>
        <item sd="0" x="28"/>
        <item sd="0" m="1" x="70"/>
        <item sd="0" x="54"/>
        <item sd="0" x="10"/>
        <item sd="0" x="11"/>
        <item sd="0" x="31"/>
        <item sd="0" x="5"/>
        <item sd="0" x="44"/>
        <item sd="0" x="27"/>
        <item sd="0" x="3"/>
        <item sd="0" m="1" x="69"/>
        <item sd="0" x="57"/>
        <item sd="0" x="6"/>
        <item sd="0" x="62"/>
        <item sd="0" x="26"/>
        <item sd="0" x="7"/>
        <item sd="0" x="16"/>
        <item sd="0" x="41"/>
        <item sd="0" x="30"/>
        <item sd="0" x="43"/>
        <item sd="0" x="8"/>
        <item sd="0" x="20"/>
        <item sd="0" x="45"/>
        <item sd="0" x="32"/>
        <item sd="0" x="42"/>
        <item sd="0" x="15"/>
        <item sd="0" x="34"/>
        <item sd="0" x="47"/>
        <item sd="0" x="12"/>
        <item sd="0" x="37"/>
        <item sd="0" x="13"/>
        <item sd="0" x="14"/>
        <item sd="0" x="60"/>
        <item sd="0" x="38"/>
        <item sd="0" x="50"/>
        <item sd="0" x="17"/>
        <item sd="0" x="35"/>
        <item sd="0" x="24"/>
        <item sd="0" x="39"/>
        <item sd="0" x="40"/>
        <item sd="0" x="4"/>
        <item sd="0" x="25"/>
        <item sd="0" x="49"/>
        <item sd="0" x="66"/>
        <item sd="0" x="56"/>
        <item t="default" sd="0"/>
      </items>
    </pivotField>
    <pivotField axis="axisRow" showAll="0">
      <items count="135">
        <item x="121"/>
        <item x="102"/>
        <item x="118"/>
        <item x="87"/>
        <item m="1" x="131"/>
        <item x="114"/>
        <item x="98"/>
        <item x="37"/>
        <item x="54"/>
        <item x="120"/>
        <item x="96"/>
        <item x="16"/>
        <item x="85"/>
        <item x="104"/>
        <item x="11"/>
        <item x="35"/>
        <item x="113"/>
        <item m="1" x="124"/>
        <item x="2"/>
        <item x="119"/>
        <item x="24"/>
        <item x="73"/>
        <item x="3"/>
        <item x="71"/>
        <item x="74"/>
        <item x="65"/>
        <item x="4"/>
        <item x="17"/>
        <item x="7"/>
        <item x="32"/>
        <item x="69"/>
        <item x="110"/>
        <item m="1" x="132"/>
        <item x="80"/>
        <item m="1" x="125"/>
        <item x="25"/>
        <item x="36"/>
        <item x="77"/>
        <item x="28"/>
        <item x="53"/>
        <item x="34"/>
        <item x="91"/>
        <item x="27"/>
        <item m="1" x="133"/>
        <item x="22"/>
        <item x="21"/>
        <item x="33"/>
        <item x="14"/>
        <item x="20"/>
        <item x="39"/>
        <item x="19"/>
        <item x="46"/>
        <item x="8"/>
        <item x="12"/>
        <item x="70"/>
        <item x="92"/>
        <item x="62"/>
        <item x="61"/>
        <item x="103"/>
        <item x="51"/>
        <item m="1" x="130"/>
        <item x="38"/>
        <item x="78"/>
        <item x="63"/>
        <item x="1"/>
        <item x="75"/>
        <item m="1" x="129"/>
        <item m="1" x="126"/>
        <item x="29"/>
        <item x="66"/>
        <item x="58"/>
        <item m="1" x="123"/>
        <item x="15"/>
        <item x="76"/>
        <item x="26"/>
        <item x="23"/>
        <item x="5"/>
        <item x="49"/>
        <item x="31"/>
        <item x="86"/>
        <item x="67"/>
        <item x="10"/>
        <item x="64"/>
        <item x="13"/>
        <item x="99"/>
        <item m="1" x="127"/>
        <item x="111"/>
        <item x="42"/>
        <item x="116"/>
        <item x="43"/>
        <item m="1" x="128"/>
        <item x="0"/>
        <item x="9"/>
        <item x="100"/>
        <item x="59"/>
        <item x="94"/>
        <item x="89"/>
        <item x="45"/>
        <item x="117"/>
        <item x="57"/>
        <item x="112"/>
        <item x="105"/>
        <item x="55"/>
        <item x="52"/>
        <item x="95"/>
        <item x="41"/>
        <item x="30"/>
        <item x="101"/>
        <item x="90"/>
        <item x="56"/>
        <item x="79"/>
        <item x="115"/>
        <item x="88"/>
        <item x="106"/>
        <item x="93"/>
        <item x="44"/>
        <item x="40"/>
        <item x="68"/>
        <item x="18"/>
        <item x="72"/>
        <item x="47"/>
        <item x="81"/>
        <item x="82"/>
        <item x="83"/>
        <item x="6"/>
        <item x="48"/>
        <item x="60"/>
        <item x="97"/>
        <item x="50"/>
        <item x="122"/>
        <item x="84"/>
        <item x="107"/>
        <item x="108"/>
        <item x="109"/>
        <item t="default"/>
      </items>
    </pivotField>
    <pivotField showAll="0"/>
    <pivotField showAll="0"/>
    <pivotField showAll="0"/>
    <pivotField showAll="0"/>
    <pivotField showAll="0"/>
    <pivotField showAll="0"/>
    <pivotField showAll="0"/>
    <pivotField axis="axisPage" showAll="0">
      <items count="14">
        <item x="1"/>
        <item x="4"/>
        <item x="8"/>
        <item x="3"/>
        <item x="6"/>
        <item x="5"/>
        <item x="10"/>
        <item x="12"/>
        <item x="9"/>
        <item x="7"/>
        <item x="11"/>
        <item x="0"/>
        <item x="2"/>
        <item t="default"/>
      </items>
    </pivotField>
    <pivotField axis="axisPage" showAll="0">
      <items count="10">
        <item x="2"/>
        <item x="8"/>
        <item x="6"/>
        <item x="7"/>
        <item x="0"/>
        <item x="3"/>
        <item x="1"/>
        <item x="4"/>
        <item x="5"/>
        <item t="default"/>
      </items>
    </pivotField>
  </pivotFields>
  <rowFields count="2">
    <field x="9"/>
    <field x="10"/>
  </rowFields>
  <rowItems count="71">
    <i>
      <x/>
    </i>
    <i>
      <x v="1"/>
    </i>
    <i>
      <x v="2"/>
    </i>
    <i>
      <x v="3"/>
    </i>
    <i>
      <x v="4"/>
    </i>
    <i>
      <x v="5"/>
    </i>
    <i>
      <x v="6"/>
    </i>
    <i r="1">
      <x v="3"/>
    </i>
    <i r="1">
      <x v="21"/>
    </i>
    <i r="1">
      <x v="133"/>
    </i>
    <i>
      <x v="7"/>
    </i>
    <i>
      <x v="8"/>
    </i>
    <i>
      <x v="11"/>
    </i>
    <i>
      <x v="12"/>
    </i>
    <i>
      <x v="13"/>
    </i>
    <i>
      <x v="14"/>
    </i>
    <i>
      <x v="15"/>
    </i>
    <i>
      <x v="16"/>
    </i>
    <i>
      <x v="17"/>
    </i>
    <i>
      <x v="18"/>
    </i>
    <i>
      <x v="19"/>
    </i>
    <i>
      <x v="20"/>
    </i>
    <i>
      <x v="21"/>
    </i>
    <i>
      <x v="22"/>
    </i>
    <i>
      <x v="23"/>
    </i>
    <i>
      <x v="24"/>
    </i>
    <i>
      <x v="25"/>
    </i>
    <i>
      <x v="26"/>
    </i>
    <i>
      <x v="28"/>
    </i>
    <i>
      <x v="29"/>
    </i>
    <i>
      <x v="30"/>
    </i>
    <i>
      <x v="31"/>
    </i>
    <i>
      <x v="32"/>
    </i>
    <i>
      <x v="33"/>
    </i>
    <i>
      <x v="34"/>
    </i>
    <i>
      <x v="35"/>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pageFields count="4">
    <pageField fld="2" hier="-1"/>
    <pageField fld="6" hier="-1"/>
    <pageField fld="18" hier="-1"/>
    <pageField fld="19" hier="-1"/>
  </pageFields>
  <dataFields count="1">
    <dataField name="Nombre de POI"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7D29F2-C614-4785-8885-75F4C90F941A}" name="Tableau croisé dynamique7" cacheId="1168"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C8:D95" firstHeaderRow="1" firstDataRow="1" firstDataCol="1" rowPageCount="5" colPageCount="1"/>
  <pivotFields count="16">
    <pivotField showAll="0"/>
    <pivotField showAll="0"/>
    <pivotField axis="axisPage" showAll="0">
      <items count="74">
        <item m="1" x="68"/>
        <item m="1" x="71"/>
        <item m="1" x="72"/>
        <item m="1" x="62"/>
        <item m="1" x="65"/>
        <item m="1" x="66"/>
        <item m="1" x="63"/>
        <item m="1" x="67"/>
        <item m="1" x="40"/>
        <item m="1" x="51"/>
        <item m="1" x="53"/>
        <item x="11"/>
        <item m="1" x="69"/>
        <item x="32"/>
        <item m="1" x="64"/>
        <item m="1" x="70"/>
        <item x="0"/>
        <item m="1" x="55"/>
        <item m="1" x="56"/>
        <item m="1" x="57"/>
        <item x="20"/>
        <item m="1" x="58"/>
        <item m="1" x="59"/>
        <item m="1" x="54"/>
        <item m="1" x="60"/>
        <item m="1" x="52"/>
        <item m="1" x="35"/>
        <item m="1" x="61"/>
        <item m="1" x="39"/>
        <item m="1" x="36"/>
        <item m="1" x="38"/>
        <item m="1" x="45"/>
        <item m="1" x="37"/>
        <item m="1" x="33"/>
        <item m="1" x="48"/>
        <item m="1" x="41"/>
        <item m="1" x="49"/>
        <item m="1" x="43"/>
        <item m="1" x="34"/>
        <item x="8"/>
        <item m="1" x="46"/>
        <item m="1" x="42"/>
        <item m="1" x="47"/>
        <item m="1" x="44"/>
        <item m="1" x="50"/>
        <item x="1"/>
        <item x="2"/>
        <item x="3"/>
        <item x="4"/>
        <item x="5"/>
        <item x="6"/>
        <item x="7"/>
        <item x="9"/>
        <item x="10"/>
        <item x="12"/>
        <item x="13"/>
        <item x="14"/>
        <item x="15"/>
        <item x="16"/>
        <item x="17"/>
        <item x="18"/>
        <item x="19"/>
        <item x="21"/>
        <item x="22"/>
        <item x="23"/>
        <item x="24"/>
        <item x="25"/>
        <item x="26"/>
        <item x="27"/>
        <item x="28"/>
        <item x="29"/>
        <item x="30"/>
        <item x="31"/>
        <item t="default"/>
      </items>
    </pivotField>
    <pivotField axis="axisPage" showAll="0">
      <items count="27">
        <item m="1" x="19"/>
        <item m="1" x="25"/>
        <item h="1" x="13"/>
        <item m="1" x="22"/>
        <item m="1" x="23"/>
        <item m="1" x="24"/>
        <item m="1" x="14"/>
        <item m="1" x="16"/>
        <item m="1" x="17"/>
        <item m="1" x="15"/>
        <item m="1" x="20"/>
        <item m="1" x="21"/>
        <item m="1" x="18"/>
        <item h="1" x="0"/>
        <item h="1" x="1"/>
        <item h="1" x="2"/>
        <item h="1" x="3"/>
        <item h="1" x="4"/>
        <item h="1" x="5"/>
        <item h="1" x="6"/>
        <item h="1" x="7"/>
        <item h="1" x="8"/>
        <item h="1" x="9"/>
        <item h="1" x="10"/>
        <item h="1" x="11"/>
        <item x="12"/>
        <item t="default"/>
      </items>
    </pivotField>
    <pivotField dataField="1" showAll="0"/>
    <pivotField axis="axisPage" showAll="0">
      <items count="27">
        <item x="9"/>
        <item x="3"/>
        <item x="13"/>
        <item x="14"/>
        <item x="25"/>
        <item x="7"/>
        <item x="10"/>
        <item x="24"/>
        <item x="12"/>
        <item x="15"/>
        <item x="18"/>
        <item x="1"/>
        <item x="0"/>
        <item x="11"/>
        <item x="16"/>
        <item x="8"/>
        <item x="17"/>
        <item x="6"/>
        <item x="4"/>
        <item x="5"/>
        <item x="2"/>
        <item x="19"/>
        <item x="20"/>
        <item x="21"/>
        <item x="22"/>
        <item x="23"/>
        <item t="default"/>
      </items>
    </pivotField>
    <pivotField axis="axisRow" showAll="0">
      <items count="110">
        <item sd="0" x="76"/>
        <item sd="0" x="77"/>
        <item sd="0" m="1" x="103"/>
        <item sd="0" x="54"/>
        <item sd="0" x="35"/>
        <item sd="0" x="44"/>
        <item sd="0" x="33"/>
        <item sd="0" x="23"/>
        <item sd="0" x="61"/>
        <item sd="0" x="11"/>
        <item sd="0" m="1" x="104"/>
        <item sd="0" x="12"/>
        <item sd="0" x="25"/>
        <item sd="0" x="13"/>
        <item sd="0" x="3"/>
        <item sd="0" x="14"/>
        <item sd="0" x="34"/>
        <item sd="0" m="1" x="107"/>
        <item sd="0" x="87"/>
        <item sd="0" x="30"/>
        <item sd="0" m="1" x="105"/>
        <item sd="0" x="38"/>
        <item sd="0" m="1" x="108"/>
        <item sd="0" x="15"/>
        <item sd="0" x="31"/>
        <item sd="0" x="55"/>
        <item sd="0" x="0"/>
        <item sd="0" x="64"/>
        <item sd="0" x="79"/>
        <item sd="0" x="27"/>
        <item sd="0" x="29"/>
        <item sd="0" x="19"/>
        <item sd="0" x="62"/>
        <item sd="0" x="39"/>
        <item sd="0" x="5"/>
        <item sd="0" x="7"/>
        <item sd="0" x="18"/>
        <item sd="0" x="51"/>
        <item sd="0" x="22"/>
        <item sd="0" x="17"/>
        <item sd="0" x="50"/>
        <item sd="0" x="28"/>
        <item sd="0" x="1"/>
        <item sd="0" x="47"/>
        <item sd="0" x="81"/>
        <item sd="0" x="26"/>
        <item sd="0" x="49"/>
        <item sd="0" x="8"/>
        <item sd="0" x="69"/>
        <item sd="0" x="9"/>
        <item sd="0" m="1" x="106"/>
        <item sd="0" x="42"/>
        <item sd="0" x="60"/>
        <item sd="0" x="24"/>
        <item sd="0" x="80"/>
        <item sd="0" x="41"/>
        <item sd="0" x="71"/>
        <item sd="0" x="63"/>
        <item sd="0" x="48"/>
        <item sd="0" x="32"/>
        <item sd="0" x="70"/>
        <item sd="0" x="10"/>
        <item x="2"/>
        <item x="4"/>
        <item x="6"/>
        <item x="16"/>
        <item x="20"/>
        <item x="21"/>
        <item x="36"/>
        <item x="37"/>
        <item x="40"/>
        <item x="43"/>
        <item x="45"/>
        <item x="46"/>
        <item x="52"/>
        <item x="53"/>
        <item x="56"/>
        <item x="57"/>
        <item x="58"/>
        <item x="59"/>
        <item x="65"/>
        <item x="66"/>
        <item x="67"/>
        <item x="68"/>
        <item x="72"/>
        <item x="73"/>
        <item x="74"/>
        <item x="75"/>
        <item x="78"/>
        <item x="82"/>
        <item x="83"/>
        <item x="84"/>
        <item x="85"/>
        <item x="86"/>
        <item x="88"/>
        <item x="89"/>
        <item x="90"/>
        <item x="91"/>
        <item x="92"/>
        <item x="93"/>
        <item x="94"/>
        <item x="95"/>
        <item x="96"/>
        <item x="97"/>
        <item x="98"/>
        <item x="99"/>
        <item x="100"/>
        <item x="101"/>
        <item x="102"/>
        <item t="default" sd="0"/>
      </items>
    </pivotField>
    <pivotField axis="axisRow" showAll="0">
      <items count="193">
        <item x="38"/>
        <item m="1" x="161"/>
        <item m="1" x="190"/>
        <item m="1" x="160"/>
        <item m="1" x="187"/>
        <item m="1" x="183"/>
        <item m="1" x="177"/>
        <item m="1" x="186"/>
        <item x="64"/>
        <item x="13"/>
        <item m="1" x="189"/>
        <item x="41"/>
        <item x="14"/>
        <item x="24"/>
        <item m="1" x="188"/>
        <item x="12"/>
        <item m="1" x="180"/>
        <item x="36"/>
        <item x="56"/>
        <item x="35"/>
        <item m="1" x="191"/>
        <item x="15"/>
        <item x="105"/>
        <item x="45"/>
        <item m="1" x="165"/>
        <item m="1" x="182"/>
        <item m="1" x="178"/>
        <item m="1" x="184"/>
        <item m="1" x="181"/>
        <item x="37"/>
        <item x="26"/>
        <item m="1" x="179"/>
        <item x="16"/>
        <item x="89"/>
        <item x="32"/>
        <item x="51"/>
        <item x="92"/>
        <item x="103"/>
        <item x="0"/>
        <item x="83"/>
        <item x="110"/>
        <item x="28"/>
        <item x="30"/>
        <item x="20"/>
        <item m="1" x="164"/>
        <item x="81"/>
        <item m="1" x="163"/>
        <item x="46"/>
        <item x="43"/>
        <item m="1" x="166"/>
        <item x="112"/>
        <item m="1" x="167"/>
        <item m="1" x="168"/>
        <item m="1" x="162"/>
        <item m="1" x="169"/>
        <item x="8"/>
        <item m="1" x="170"/>
        <item x="31"/>
        <item x="55"/>
        <item x="106"/>
        <item x="19"/>
        <item m="1" x="172"/>
        <item x="6"/>
        <item x="61"/>
        <item x="84"/>
        <item x="23"/>
        <item x="18"/>
        <item x="3"/>
        <item x="74"/>
        <item x="86"/>
        <item x="60"/>
        <item x="115"/>
        <item x="1"/>
        <item x="54"/>
        <item x="118"/>
        <item x="27"/>
        <item x="59"/>
        <item x="9"/>
        <item x="29"/>
        <item x="97"/>
        <item x="10"/>
        <item m="1" x="175"/>
        <item m="1" x="185"/>
        <item x="44"/>
        <item x="49"/>
        <item x="78"/>
        <item x="114"/>
        <item m="1" x="173"/>
        <item x="111"/>
        <item m="1" x="174"/>
        <item x="48"/>
        <item x="99"/>
        <item x="82"/>
        <item x="85"/>
        <item x="5"/>
        <item x="34"/>
        <item x="109"/>
        <item x="79"/>
        <item x="98"/>
        <item m="1" x="171"/>
        <item x="11"/>
        <item x="25"/>
        <item m="1" x="176"/>
        <item x="2"/>
        <item x="4"/>
        <item x="7"/>
        <item x="17"/>
        <item x="21"/>
        <item x="22"/>
        <item x="33"/>
        <item x="39"/>
        <item x="40"/>
        <item x="42"/>
        <item x="47"/>
        <item x="50"/>
        <item x="52"/>
        <item x="53"/>
        <item x="57"/>
        <item x="58"/>
        <item x="62"/>
        <item x="63"/>
        <item x="65"/>
        <item x="66"/>
        <item x="67"/>
        <item x="68"/>
        <item x="69"/>
        <item x="70"/>
        <item x="71"/>
        <item x="72"/>
        <item x="73"/>
        <item x="75"/>
        <item x="76"/>
        <item x="77"/>
        <item x="80"/>
        <item x="87"/>
        <item x="88"/>
        <item x="90"/>
        <item x="91"/>
        <item x="93"/>
        <item x="94"/>
        <item x="95"/>
        <item x="96"/>
        <item x="100"/>
        <item x="101"/>
        <item x="102"/>
        <item x="104"/>
        <item x="107"/>
        <item x="108"/>
        <item x="113"/>
        <item x="116"/>
        <item x="117"/>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pivotField showAll="0"/>
    <pivotField showAll="0"/>
    <pivotField showAll="0"/>
    <pivotField showAll="0"/>
    <pivotField showAll="0"/>
    <pivotField axis="axisPage" showAll="0">
      <items count="14">
        <item x="7"/>
        <item x="5"/>
        <item x="8"/>
        <item x="4"/>
        <item x="3"/>
        <item x="1"/>
        <item x="9"/>
        <item x="6"/>
        <item x="12"/>
        <item x="0"/>
        <item x="11"/>
        <item x="2"/>
        <item x="10"/>
        <item t="default"/>
      </items>
    </pivotField>
    <pivotField axis="axisPage" showAll="0">
      <items count="7">
        <item x="3"/>
        <item x="0"/>
        <item x="2"/>
        <item x="5"/>
        <item x="1"/>
        <item x="4"/>
        <item t="default"/>
      </items>
    </pivotField>
  </pivotFields>
  <rowFields count="2">
    <field x="6"/>
    <field x="7"/>
  </rowFields>
  <rowItems count="87">
    <i>
      <x/>
    </i>
    <i>
      <x v="1"/>
    </i>
    <i>
      <x v="4"/>
    </i>
    <i>
      <x v="12"/>
    </i>
    <i>
      <x v="13"/>
    </i>
    <i>
      <x v="14"/>
    </i>
    <i>
      <x v="18"/>
    </i>
    <i>
      <x v="19"/>
    </i>
    <i>
      <x v="25"/>
    </i>
    <i>
      <x v="26"/>
    </i>
    <i>
      <x v="28"/>
    </i>
    <i>
      <x v="29"/>
    </i>
    <i>
      <x v="35"/>
    </i>
    <i>
      <x v="41"/>
    </i>
    <i>
      <x v="44"/>
    </i>
    <i>
      <x v="45"/>
    </i>
    <i>
      <x v="54"/>
    </i>
    <i>
      <x v="58"/>
    </i>
    <i>
      <x v="59"/>
    </i>
    <i>
      <x v="63"/>
    </i>
    <i r="1">
      <x v="160"/>
    </i>
    <i>
      <x v="64"/>
    </i>
    <i r="1">
      <x v="151"/>
    </i>
    <i>
      <x v="66"/>
    </i>
    <i r="1">
      <x v="149"/>
    </i>
    <i>
      <x v="70"/>
    </i>
    <i r="1">
      <x v="183"/>
    </i>
    <i>
      <x v="73"/>
    </i>
    <i r="1">
      <x v="176"/>
    </i>
    <i>
      <x v="75"/>
    </i>
    <i r="1">
      <x v="152"/>
    </i>
    <i>
      <x v="82"/>
    </i>
    <i r="1">
      <x v="154"/>
    </i>
    <i>
      <x v="83"/>
    </i>
    <i r="1">
      <x v="155"/>
    </i>
    <i>
      <x v="84"/>
    </i>
    <i r="1">
      <x v="167"/>
    </i>
    <i>
      <x v="87"/>
    </i>
    <i r="1">
      <x v="145"/>
    </i>
    <i>
      <x v="88"/>
    </i>
    <i r="1">
      <x v="147"/>
    </i>
    <i>
      <x v="89"/>
    </i>
    <i r="1">
      <x v="153"/>
    </i>
    <i>
      <x v="90"/>
    </i>
    <i r="1">
      <x v="157"/>
    </i>
    <i>
      <x v="91"/>
    </i>
    <i r="1">
      <x v="158"/>
    </i>
    <i>
      <x v="92"/>
    </i>
    <i r="1">
      <x v="159"/>
    </i>
    <i>
      <x v="93"/>
    </i>
    <i r="1">
      <x v="161"/>
    </i>
    <i>
      <x v="94"/>
    </i>
    <i r="1">
      <x v="164"/>
    </i>
    <i r="1">
      <x v="169"/>
    </i>
    <i>
      <x v="95"/>
    </i>
    <i r="1">
      <x v="165"/>
    </i>
    <i>
      <x v="96"/>
    </i>
    <i r="1">
      <x v="166"/>
    </i>
    <i>
      <x v="97"/>
    </i>
    <i r="1">
      <x v="168"/>
    </i>
    <i r="1">
      <x v="175"/>
    </i>
    <i r="1">
      <x v="180"/>
    </i>
    <i>
      <x v="98"/>
    </i>
    <i r="1">
      <x v="171"/>
    </i>
    <i r="1">
      <x v="185"/>
    </i>
    <i>
      <x v="99"/>
    </i>
    <i r="1">
      <x v="172"/>
    </i>
    <i>
      <x v="100"/>
    </i>
    <i r="1">
      <x v="173"/>
    </i>
    <i>
      <x v="101"/>
    </i>
    <i r="1">
      <x v="174"/>
    </i>
    <i>
      <x v="102"/>
    </i>
    <i r="1">
      <x v="178"/>
    </i>
    <i r="1">
      <x v="186"/>
    </i>
    <i>
      <x v="103"/>
    </i>
    <i r="1">
      <x v="179"/>
    </i>
    <i>
      <x v="104"/>
    </i>
    <i r="1">
      <x v="184"/>
    </i>
    <i>
      <x v="105"/>
    </i>
    <i r="1">
      <x v="187"/>
    </i>
    <i>
      <x v="106"/>
    </i>
    <i r="1">
      <x v="188"/>
    </i>
    <i>
      <x v="107"/>
    </i>
    <i r="1">
      <x v="190"/>
    </i>
    <i>
      <x v="108"/>
    </i>
    <i r="1">
      <x v="191"/>
    </i>
    <i t="grand">
      <x/>
    </i>
  </rowItems>
  <colItems count="1">
    <i/>
  </colItems>
  <pageFields count="5">
    <pageField fld="3" item="25" hier="-1"/>
    <pageField fld="5" hier="-1"/>
    <pageField fld="2" hier="-1"/>
    <pageField fld="14" hier="-1"/>
    <pageField fld="15" hier="-1"/>
  </pageFields>
  <dataFields count="1">
    <dataField name="Nombre de POI"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5-05-03T15:17:18.61" personId="{631CE2F7-FA74-4A16-83A9-55C33BFAD67D}" id="{8CFFC04B-6AA4-489A-B035-9453DED94C32}">
    <text>LIEE A LA ROD500349</text>
  </threadedComment>
  <threadedComment ref="E13" dT="2025-06-02T17:38:37.03" personId="{122F393B-34CE-4249-B5CB-8F8E7EE60366}" id="{7EC02299-3FE8-474C-89A1-256536A5F4AA}">
    <text xml:space="preserve">LIEE A LA ROD500499
</text>
  </threadedComment>
  <threadedComment ref="E16" dT="2025-05-02T16:42:43.82" personId="{631CE2F7-FA74-4A16-83A9-55C33BFAD67D}" id="{7966DFF5-78A3-4DFC-A49D-DC66A4F33566}">
    <text>LIEE A LA ROD500543</text>
  </threadedComment>
  <threadedComment ref="E150" dT="2025-05-03T15:16:40.88" personId="{631CE2F7-FA74-4A16-83A9-55C33BFAD67D}" id="{1118CCF4-E50C-4A50-BF7E-1A0D4BF363E9}">
    <text>LIEE A LA ROD500621</text>
  </threadedComment>
  <threadedComment ref="E232" dT="2025-05-08T20:31:14.39" personId="{631CE2F7-FA74-4A16-83A9-55C33BFAD67D}" id="{12374F97-1D86-4D41-9D05-EA54DAF8FC0F}">
    <text>liée au MEN500238</text>
  </threadedComment>
  <threadedComment ref="E285" dT="2025-05-09T16:26:21.98" personId="{631CE2F7-FA74-4A16-83A9-55C33BFAD67D}" id="{CA2B9E42-68A4-4825-93EE-6A5613C8D6D3}">
    <text>LIEE ROD500681</text>
  </threadedComment>
  <threadedComment ref="E311" dT="2025-05-26T16:32:21.25" personId="{631CE2F7-FA74-4A16-83A9-55C33BFAD67D}" id="{EB93F4FD-670B-45D1-9C0C-6E52EC053631}">
    <text>RIP suite MEN300895</text>
  </threadedComment>
  <threadedComment ref="E312" dT="2025-05-26T16:31:39.77" personId="{631CE2F7-FA74-4A16-83A9-55C33BFAD67D}" id="{36B145B7-9D2B-4EC3-9141-9B37F6E55A92}">
    <text xml:space="preserve">cablage suite MEN300715 </text>
  </threadedComment>
  <threadedComment ref="E313" dT="2025-05-26T16:30:54.80" personId="{631CE2F7-FA74-4A16-83A9-55C33BFAD67D}" id="{7D85DCA0-0718-4DA0-B621-1ED4E679D39B}">
    <text>suite MEN400760</text>
  </threadedComment>
  <threadedComment ref="E349" dT="2025-10-31T15:55:43.80" personId="{631CE2F7-FA74-4A16-83A9-55C33BFAD67D}" id="{98BC4B45-F1A8-4CB5-B54E-1069F2222CF3}">
    <text>Liée ROD501608</text>
  </threadedComment>
  <threadedComment ref="E403" dT="2025-05-26T16:31:32.77" personId="{631CE2F7-FA74-4A16-83A9-55C33BFAD67D}" id="{D6AD8C2C-E307-41F1-A6F1-D88DCEB48F6F}">
    <text xml:space="preserve">cablage suite MEN300715 </text>
  </threadedComment>
  <threadedComment ref="E416" dT="2025-05-26T16:32:12.74" personId="{631CE2F7-FA74-4A16-83A9-55C33BFAD67D}" id="{B5EAE09E-2A2A-4BBB-BEF5-8C1963425FC4}">
    <text>CABLAGE suite MEN300895</text>
  </threadedComment>
</ThreadedComments>
</file>

<file path=xl/threadedComments/threadedComment2.xml><?xml version="1.0" encoding="utf-8"?>
<ThreadedComments xmlns="http://schemas.microsoft.com/office/spreadsheetml/2018/threadedcomments" xmlns:x="http://schemas.openxmlformats.org/spreadsheetml/2006/main">
  <threadedComment ref="E172" dT="2025-10-13T13:43:06.04" personId="{122F393B-34CE-4249-B5CB-8F8E7EE60366}" id="{B64D96CB-26D5-48C7-820B-B3EAE920B09E}">
    <text>Att retour sur autre projet pour process devis</text>
  </threadedComment>
  <threadedComment ref="E235" dT="2025-11-20T11:19:16.36" personId="{49E5F5D2-672F-4EE9-B5D4-C9638D429AE0}" id="{781ACC04-421D-4DBD-B8F9-1207B458FFC4}">
    <text>Liée au LOR501066</text>
  </threadedComment>
</ThreadedComments>
</file>

<file path=xl/threadedComments/threadedComment3.xml><?xml version="1.0" encoding="utf-8"?>
<ThreadedComments xmlns="http://schemas.microsoft.com/office/spreadsheetml/2018/threadedcomments" xmlns:x="http://schemas.openxmlformats.org/spreadsheetml/2006/main">
  <threadedComment ref="E99" dT="2025-11-25T07:29:11.01" personId="{49E5F5D2-672F-4EE9-B5D4-C9638D429AE0}" id="{4F3C1876-7958-4CDA-8070-B7904B44B09A}">
    <text>Att certificat d'adressage</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s://artechnologie13.sharepoint.com/sites/Bureaud'tudeAR-TECHNOLOGIE/DOSSIER%20POI/Forms/AllItems.aspx?id=%2Fsites%2FBureaud%27tudeAR%2DTECHNOLOGIE%2FDOSSIER%20POI%2FROD%2FROD501850&amp;sortField=Modified&amp;isAscending=false&amp;viewid=ba243776%2Df837%2D4ace%2D8ee9%2D939a5753cc77&amp;csf=1&amp;web=1&amp;e=ywV4ci&amp;CID=8a368264%2D6d13%2D449a%2D9bb4%2Dd27682d10b0a&amp;FolderCTID=0x0120001BD1B7A29D5EA04EB7553F36EEAEE8D2" TargetMode="External"/><Relationship Id="rId299" Type="http://schemas.openxmlformats.org/officeDocument/2006/relationships/hyperlink" Target="https://artechnologie13.sharepoint.com/sites/Bureaud'tudeAR-TECHNOLOGIE/DOSSIER%20POI/Forms/AllItems.aspx?id=%2Fsites%2FBureaud%27tudeAR%2DTECHNOLOGIE%2FDOSSIER%20POI%2FMEN%2FMEN500619&amp;sortField=Modified&amp;isAscending=false&amp;viewid=ba243776%2Df837%2D4ace%2D8ee9%2D939a5753cc77&amp;csf=1&amp;web=1&amp;e=xJSWPp&amp;CID=834583a6%2D0b09%2D4127%2D93b5%2Dc71f4baa33f8&amp;FolderCTID=0x0120001BD1B7A29D5EA04EB7553F36EEAEE8D2" TargetMode="External"/><Relationship Id="rId21" Type="http://schemas.openxmlformats.org/officeDocument/2006/relationships/hyperlink" Target="https://artechnologie13.sharepoint.com/:f:/r/sites/Bureaud%27tudeAR-TECHNOLOGIE/DOSSIER%20POI/ROD/ROD500778?csf=1&amp;web=1&amp;e=ppzka1" TargetMode="External"/><Relationship Id="rId63" Type="http://schemas.openxmlformats.org/officeDocument/2006/relationships/hyperlink" Target="https://artechnologie13.sharepoint.com/sites/Bureaud'tudeAR-TECHNOLOGIE/DOSSIER%20POI/Forms/AllItems.aspx?id=%2Fsites%2FBureaud%27tudeAR%2DTECHNOLOGIE%2FDOSSIER%20POI%2FROD%2FROD501151&amp;sortField=LinkFilename&amp;isAscending=false&amp;viewid=ba243776%2Df837%2D4ace%2D8ee9%2D939a5753cc77&amp;csf=1&amp;web=1&amp;e=wXAjoh&amp;CID=033b4116%2D656c%2D4ff3%2Da705%2D325ecfa46a89&amp;FolderCTID=0x0120001BD1B7A29D5EA04EB7553F36EEAEE8D2" TargetMode="External"/><Relationship Id="rId159" Type="http://schemas.openxmlformats.org/officeDocument/2006/relationships/hyperlink" Target="https://artechnologie13.sharepoint.com/sites/Bureaud'tudeAR-TECHNOLOGIE/DOSSIER%20POI/Forms/AllItems.aspx?id=%2Fsites%2FBureaud%27tudeAR%2DTECHNOLOGIE%2FDOSSIER%20POI%2FROD%2FROD500124&amp;sortField=Modified&amp;isAscending=false&amp;viewid=ba243776%2Df837%2D4ace%2D8ee9%2D939a5753cc77&amp;view=7" TargetMode="External"/><Relationship Id="rId324" Type="http://schemas.openxmlformats.org/officeDocument/2006/relationships/hyperlink" Target="https://artechnologie13.sharepoint.com/sites/Bureaud'tudeAR-TECHNOLOGIE/DOSSIER%20POI/Forms/AllItems.aspx?id=%2Fsites%2FBureaud%27tudeAR%2DTECHNOLOGIE%2FDOSSIER%20POI%2FMEN%2FMEN600032&amp;sortField=Modified&amp;isAscending=false&amp;viewid=ba243776%2Df837%2D4ace%2D8ee9%2D939a5753cc77&amp;FolderCTID=0x0120001BD1B7A29D5EA04EB7553F36EEAEE8D2" TargetMode="External"/><Relationship Id="rId170" Type="http://schemas.openxmlformats.org/officeDocument/2006/relationships/hyperlink" Target="https://artechnologie13.sharepoint.com/sites/Bureaud%27tudeAR-TECHNOLOGIE/DOSSIER%20POI/Forms/AllItems.aspx?id=%2Fsites%2FBureaud%27tudeAR%2DTECHNOLOGIE%2FDOSSIER%20POI%2FROD%2FROD600043&amp;sortField=Modified&amp;isAscending=false&amp;viewid=ba243776%2Df837%2D4ace%2D8ee9%2D939a5753cc77&amp;csf=1&amp;web=1&amp;e=gs979d&amp;CID=62f44cec%2D22a3%2D45af%2D97cb%2D96c2f484fdb6&amp;FolderCTID=0x0120001BD1B7A29D5EA04EB7553F36EEAEE8D2&amp;view=7" TargetMode="External"/><Relationship Id="rId226" Type="http://schemas.openxmlformats.org/officeDocument/2006/relationships/hyperlink" Target="https://artechnologie13.sharepoint.com/sites/Bureaud'tudeAR-TECHNOLOGIE/DOSSIER%20POI/Forms/AllItems.aspx?id=%2Fsites%2FBureaud%27tudeAR%2DTECHNOLOGIE%2FDOSSIER%20POI%2FMEN%2FMEN500339&amp;sortField=Modified&amp;isAscending=false&amp;viewid=ba243776%2Df837%2D4ace%2D8ee9%2D939a5753cc77&amp;csf=1&amp;web=1&amp;e=xUPcuK&amp;CID=e382a5b9%2D168f%2D4447%2D9601%2D78fc7bfb7038&amp;FolderCTID=0x0120001BD1B7A29D5EA04EB7553F36EEAEE8D2" TargetMode="External"/><Relationship Id="rId268" Type="http://schemas.openxmlformats.org/officeDocument/2006/relationships/hyperlink" Target="https://artechnologie13.sharepoint.com/:f:/r/sites/Bureaud%27tudeAR-TECHNOLOGIE/DOSSIER%20POI/MEN/MEN500215?csf=1&amp;web=1&amp;e=4x1aNk" TargetMode="External"/><Relationship Id="rId32" Type="http://schemas.openxmlformats.org/officeDocument/2006/relationships/hyperlink" Target="https://artechnologie13.sharepoint.com/sites/Bureaud'tudeAR-TECHNOLOGIE/DOSSIER%20POI/Forms/AllItems.aspx?id=%2Fsites%2FBureaud%27tudeAR%2DTECHNOLOGIE%2FDOSSIER%20POI%2FROD%2FROD500905&amp;sortField=Modified&amp;isAscending=false&amp;viewid=ba243776%2Df837%2D4ace%2D8ee9%2D939a5753cc77&amp;csf=1&amp;web=1&amp;e=xUPcuK&amp;CID=e382a5b9%2D168f%2D4447%2D9601%2D78fc7bfb7038&amp;FolderCTID=0x0120001BD1B7A29D5EA04EB7553F36EEAEE8D2" TargetMode="External"/><Relationship Id="rId74" Type="http://schemas.openxmlformats.org/officeDocument/2006/relationships/hyperlink" Target="https://artechnologie13.sharepoint.com/sites/Bureaud'tudeAR-TECHNOLOGIE/DOSSIER%20POI/Forms/AllItems.aspx?id=%2Fsites%2FBureaud%27tudeAR%2DTECHNOLOGIE%2FDOSSIER%20POI%2FROD%2FROD501394&amp;sortField=Modified&amp;isAscending=false&amp;viewid=ba243776%2Df837%2D4ace%2D8ee9%2D939a5753cc77&amp;csf=1&amp;web=1&amp;e=ywV4ci&amp;CID=8a368264%2D6d13%2D449a%2D9bb4%2Dd27682d10b0a&amp;FolderCTID=0x0120001BD1B7A29D5EA04EB7553F36EEAEE8D2" TargetMode="External"/><Relationship Id="rId128" Type="http://schemas.openxmlformats.org/officeDocument/2006/relationships/hyperlink" Target="https://artechnologie13.sharepoint.com/sites/Bureaud'tudeAR-TECHNOLOGIE/DOSSIER%20POI/Forms/AllItems.aspx?id=%2Fsites%2FBureaud%27tudeAR%2DTECHNOLOGIE%2FDOSSIER%20POI%2FROD%2FROD501933&amp;sortField=Modified&amp;isAscending=false&amp;viewid=ba243776%2Df837%2D4ace%2D8ee9%2D939a5753cc77" TargetMode="External"/><Relationship Id="rId335" Type="http://schemas.openxmlformats.org/officeDocument/2006/relationships/hyperlink" Target="https://artechnologie13.sharepoint.com/sites/Bureaud'tudeAR-TECHNOLOGIE/DOSSIER%20POI/Forms/AllItems.aspx?id=%2Fsites%2FBureaud%27tudeAR%2DTECHNOLOGIE%2FDOSSIER%20POI%2FMEN%2FMEN600064&amp;sortField=Modified&amp;isAscending=false&amp;viewid=ba243776%2Df837%2D4ace%2D8ee9%2D939a5753cc77&amp;FolderCTID=0x0120001BD1B7A29D5EA04EB7553F36EEAEE8D2" TargetMode="External"/><Relationship Id="rId5" Type="http://schemas.openxmlformats.org/officeDocument/2006/relationships/hyperlink" Target="https://artechnologie13.sharepoint.com/sites/Bureaud'tudeAR-TECHNOLOGIE/DOSSIER%20POI/Forms/AllItems.aspx?id=%2Fsites%2FBureaud%27tudeAR%2DTECHNOLOGIE%2FDOSSIER%20POI%2FROD%2FROD500442&amp;viewid=ba243776%2Df837%2D4ace%2D8ee9%2D939a5753cc77" TargetMode="External"/><Relationship Id="rId181" Type="http://schemas.openxmlformats.org/officeDocument/2006/relationships/hyperlink" Target="https://artechnologie13.sharepoint.com/sites/Bureaud'tudeAR-TECHNOLOGIE/DOSSIER%20POI/Forms/AllItems.aspx?id=%2Fsites%2FBureaud%27tudeAR%2DTECHNOLOGIE%2FDOSSIER%20POI%2FROD%2FROD600123&amp;sortField=Modified&amp;isAscending=false&amp;viewid=ba243776%2Df837%2D4ace%2D8ee9%2D939a5753cc77&amp;csf=1&amp;CID=028de158%2Dd4dc%2D48b6%2D89c4%2Ddb1f4163a833&amp;FolderCTID=0x0120001BD1B7A29D5EA04EB7553F36EEAEE8D2" TargetMode="External"/><Relationship Id="rId237" Type="http://schemas.openxmlformats.org/officeDocument/2006/relationships/hyperlink" Target="https://artechnologie13.sharepoint.com/sites/Bureaud'tudeAR-TECHNOLOGIE/DOSSIER%20POI/Forms/AllItems.aspx?id=%2Fsites%2FBureaud%27tudeAR%2DTECHNOLOGIE%2FDOSSIER%20POI%2FMEN%2FMEN500497&amp;sortField=Modified&amp;isAscending=false&amp;viewid=ba243776%2Df837%2D4ace%2D8ee9%2D939a5753cc77&amp;FolderCTID=0x0120001BD1B7A29D5EA04EB7553F36EEAEE8D2" TargetMode="External"/><Relationship Id="rId279" Type="http://schemas.openxmlformats.org/officeDocument/2006/relationships/hyperlink" Target="https://artechnologie13.sharepoint.com/:f:/r/sites/Bureaud%27tudeAR-TECHNOLOGIE/DOSSIER%20POI/MEN/MEN500281?csf=1&amp;web=1&amp;e=U6naDy" TargetMode="External"/><Relationship Id="rId43" Type="http://schemas.openxmlformats.org/officeDocument/2006/relationships/hyperlink" Target="https://artechnologie13.sharepoint.com/sites/Bureaud'tudeAR-TECHNOLOGIE/DOSSIER%20POI/Forms/AllItems.aspx?id=%2Fsites%2FBureaud%27tudeAR%2DTECHNOLOGIE%2FDOSSIER%20POI%2FROD%2FROD501142&amp;sortField=LinkFilename&amp;isAscending=false&amp;viewid=ba243776%2Df837%2D4ace%2D8ee9%2D939a5753cc77&amp;csf=1&amp;web=1&amp;e=wXAjoh&amp;CID=033b4116%2D656c%2D4ff3%2Da705%2D325ecfa46a89&amp;FolderCTID=0x0120001BD1B7A29D5EA04EB7553F36EEAEE8D2" TargetMode="External"/><Relationship Id="rId139" Type="http://schemas.openxmlformats.org/officeDocument/2006/relationships/hyperlink" Target="https://artechnologie13.sharepoint.com/sites/Bureaud'tudeAR-TECHNOLOGIE/DOSSIER%20POI/Forms/AllItems.aspx?id=%2Fsites%2FBureaud%27tudeAR%2DTECHNOLOGIE%2FDOSSIER%20POI%2FROD%2FROD502023&amp;sortField=Modified&amp;isAscending=false&amp;viewid=ba243776%2Df837%2D4ace%2D8ee9%2D939a5753cc77&amp;csf=1&amp;web=1&amp;e=JhATME&amp;CID=028de158%2Dd4dc%2D48b6%2D89c4%2Ddb1f4163a833&amp;FolderCTID=0x0120001BD1B7A29D5EA04EB7553F36EEAEE8D2" TargetMode="External"/><Relationship Id="rId290" Type="http://schemas.openxmlformats.org/officeDocument/2006/relationships/hyperlink" Target="https://artechnologie13.sharepoint.com/sites/Bureaud'tudeAR-TECHNOLOGIE/DOSSIER%20POI/Forms/AllItems.aspx?id=%2Fsites%2FBureaud%27tudeAR%2DTECHNOLOGIE%2FDOSSIER%20POI%2FMEN%2FMEN400055&amp;sortField=Modified&amp;isAscending=false&amp;viewid=ba243776%2Df837%2D4ace%2D8ee9%2D939a5753cc77&amp;csf=1&amp;web=1&amp;e=9aD7UJ&amp;CID=3985c2d8%2Ddc54%2D4a33%2D8ea9%2D8e2e628e3fdc&amp;FolderCTID=0x0120001BD1B7A29D5EA04EB7553F36EEAEE8D2" TargetMode="External"/><Relationship Id="rId304" Type="http://schemas.openxmlformats.org/officeDocument/2006/relationships/hyperlink" Target="https://artechnologie13.sharepoint.com/sites/Bureaud'tudeAR-TECHNOLOGIE/DOSSIER%20POI/Forms/AllItems.aspx?id=%2Fsites%2FBureaud%27tudeAR%2DTECHNOLOGIE%2FDOSSIER%20POI%2FMEN%2FMEN400334&amp;sortField=Modified&amp;isAscending=false&amp;viewid=ba243776%2Df837%2D4ace%2D8ee9%2D939a5753cc77&amp;FolderCTID=0x0120001BD1B7A29D5EA04EB7553F36EEAEE8D2" TargetMode="External"/><Relationship Id="rId85" Type="http://schemas.openxmlformats.org/officeDocument/2006/relationships/hyperlink" Target="https://artechnologie13.sharepoint.com/sites/Bureaud'tudeAR-TECHNOLOGIE/DOSSIER%20POI/Forms/AllItems.aspx?id=%2Fsites%2FBureaud%27tudeAR%2DTECHNOLOGIE%2FDOSSIER%20POI%2FROD%2FROD501656&amp;sortField=Modified&amp;isAscending=false&amp;viewid=ba243776%2Df837%2D4ace%2D8ee9%2D939a5753cc77&amp;csf=1&amp;web=1&amp;e=gs979d&amp;CID=62f44cec%2D22a3%2D45af%2D97cb%2D96c2f484fdb6&amp;FolderCTID=0x0120001BD1B7A29D5EA04EB7553F36EEAEE8D2&amp;view=7" TargetMode="External"/><Relationship Id="rId150" Type="http://schemas.openxmlformats.org/officeDocument/2006/relationships/hyperlink" Target="https://artechnologie13.sharepoint.com/sites/Bureaud'tudeAR-TECHNOLOGIE/DOSSIER%20POI/Forms/AllItems.aspx?id=%2Fsites%2FBureaud%27tudeAR%2DTECHNOLOGIE%2FDOSSIER%20POI%2FROD%2FROD502090&amp;sortField=Modified&amp;isAscending=false&amp;viewid=ba243776%2Df837%2D4ace%2D8ee9%2D939a5753cc77" TargetMode="External"/><Relationship Id="rId192" Type="http://schemas.openxmlformats.org/officeDocument/2006/relationships/hyperlink" Target="https://artechnologie13.sharepoint.com/sites/Bureaud'tudeAR-TECHNOLOGIE/DOSSIER%20POI/Forms/AllItems.aspx?id=%2Fsites%2FBureaud%27tudeAR%2DTECHNOLOGIE%2FDOSSIER%20POI%2FROD%2FROD600200&amp;sortField=Modified&amp;isAscending=false&amp;viewid=ba243776%2Df837%2D4ace%2D8ee9%2D939a5753cc77&amp;csf=1&amp;CID=028de158%2Dd4dc%2D48b6%2D89c4%2Ddb1f4163a833&amp;FolderCTID=0x0120001BD1B7A29D5EA04EB7553F36EEAEE8D2" TargetMode="External"/><Relationship Id="rId206" Type="http://schemas.openxmlformats.org/officeDocument/2006/relationships/hyperlink" Target="https://artechnologie13.sharepoint.com/sites/Bureaud'tudeAR-TECHNOLOGIE/DOSSIER%20POI/Forms/AllItems.aspx?id=%2Fsites%2FBureaud%27tudeAR%2DTECHNOLOGIE%2FDOSSIER%20POI%2FROD%2FROD600281&amp;sortField=Modified&amp;isAscending=false&amp;viewid=ba243776%2Df837%2D4ace%2D8ee9%2D939a5753cc77" TargetMode="External"/><Relationship Id="rId248" Type="http://schemas.openxmlformats.org/officeDocument/2006/relationships/hyperlink" Target="https://artechnologie13.sharepoint.com/sites/Bureaud'tudeAR-TECHNOLOGIE/DOSSIER%20POI/Forms/AllItems.aspx?id=%2Fsites%2FBureaud%27tudeAR%2DTECHNOLOGIE%2FDOSSIER%20POI%2FMEN%2FMEN500667&amp;sortField=Modified&amp;isAscending=false&amp;viewid=ba243776%2Df837%2D4ace%2D8ee9%2D939a5753cc77&amp;csf=1&amp;web=1&amp;e=xJSWPp&amp;CID=834583a6%2D0b09%2D4127%2D93b5%2Dc71f4baa33f8&amp;FolderCTID=0x0120001BD1B7A29D5EA04EB7553F36EEAEE8D2" TargetMode="External"/><Relationship Id="rId12" Type="http://schemas.openxmlformats.org/officeDocument/2006/relationships/hyperlink" Target="https://artechnologie13.sharepoint.com/sites/Bureaud'tudeAR-TECHNOLOGIE/DOSSIER%20POI/Forms/AllItems.aspx?id=%2Fsites%2FBureaud%27tudeAR%2DTECHNOLOGIE%2FDOSSIER%20POI%2FROD%2FROD500704&amp;sortField=Modified&amp;isAscending=false&amp;viewid=ba243776%2Df837%2D4ace%2D8ee9%2D939a5753cc77&amp;csf=1&amp;web=1&amp;e=zg2kyq&amp;CID=0c563d64%2Df1ef%2D4e74%2D84ad%2Da7db8c378009&amp;FolderCTID=0x0120001BD1B7A29D5EA04EB7553F36EEAEE8D2" TargetMode="External"/><Relationship Id="rId108" Type="http://schemas.openxmlformats.org/officeDocument/2006/relationships/hyperlink" Target="https://artechnologie13.sharepoint.com/sites/Bureaud'tudeAR-TECHNOLOGIE/DOSSIER%20POI/Forms/AllItems.aspx?id=%2Fsites%2FBureaud%27tudeAR%2DTECHNOLOGIE%2FDOSSIER%20POI%2FROD%2FROD500994&amp;sortField=Modified&amp;isAscending=false&amp;viewid=ba243776%2Df837%2D4ace%2D8ee9%2D939a5753cc77" TargetMode="External"/><Relationship Id="rId315" Type="http://schemas.openxmlformats.org/officeDocument/2006/relationships/hyperlink" Target="https://artechnologie13.sharepoint.com/sites/Bureaud'tudeAR-TECHNOLOGIE/DOSSIER%20POI/Forms/AllItems.aspx?id=%2Fsites%2FBureaud%27tudeAR%2DTECHNOLOGIE%2FDOSSIER%20POI%2FMEN%2FMEN600006&amp;sortField=Modified&amp;isAscending=false&amp;viewid=ba243776%2Df837%2D4ace%2D8ee9%2D939a5753cc77&amp;csf=1&amp;web=1&amp;e=xJSWPp&amp;CID=834583a6%2D0b09%2D4127%2D93b5%2Dc71f4baa33f8&amp;FolderCTID=0x0120001BD1B7A29D5EA04EB7553F36EEAEE8D2" TargetMode="External"/><Relationship Id="rId54" Type="http://schemas.openxmlformats.org/officeDocument/2006/relationships/hyperlink" Target="https://artechnologie13.sharepoint.com/sites/Bureaud'tudeAR-TECHNOLOGIE/DOSSIER%20POI/Forms/AllItems.aspx?id=%2Fsites%2FBureaud%27tudeAR%2DTECHNOLOGIE%2FDOSSIER%20POI%2FROD%2FROD501245&amp;sortField=Modified&amp;isAscending=false&amp;viewid=ba243776%2Df837%2D4ace%2D8ee9%2D939a5753cc77&amp;csf=1&amp;web=1&amp;e=JhATME&amp;CID=028de158%2Dd4dc%2D48b6%2D89c4%2Ddb1f4163a833&amp;FolderCTID=0x0120001BD1B7A29D5EA04EB7553F36EEAEE8D2" TargetMode="External"/><Relationship Id="rId96" Type="http://schemas.openxmlformats.org/officeDocument/2006/relationships/hyperlink" Target="https://artechnologie13.sharepoint.com/sites/Bureaud'tudeAR-TECHNOLOGIE/DOSSIER%20POI/Forms/AllItems.aspx?id=%2Fsites%2FBureaud%27tudeAR%2DTECHNOLOGIE%2FDOSSIER%20POI%2FROD%2FROD501174&amp;sortField=Modified&amp;isAscending=false&amp;viewid=ba243776%2Df837%2D4ace%2D8ee9%2D939a5753cc77&amp;csf=1&amp;web=1&amp;e=m0NFE2&amp;CID=c26ff311%2D2481%2D4e6e%2D9ec1%2D1d2e7a68be3e&amp;FolderCTID=0x0120001BD1B7A29D5EA04EB7553F36EEAEE8D2" TargetMode="External"/><Relationship Id="rId161" Type="http://schemas.openxmlformats.org/officeDocument/2006/relationships/hyperlink" Target="https://artechnologie13.sharepoint.com/sites/Bureaud'tudeAR-TECHNOLOGIE/DOSSIER%20POI/Forms/AllItems.aspx?id=%2Fsites%2FBureaud%27tudeAR%2DTECHNOLOGIE%2FDOSSIER%20POI%2FROD%2FROD501174&amp;sortField=Modified&amp;isAscending=false&amp;viewid=ba243776%2Df837%2D4ace%2D8ee9%2D939a5753cc77&amp;csf=1&amp;web=1&amp;e=m0NFE2&amp;CID=c26ff311%2D2481%2D4e6e%2D9ec1%2D1d2e7a68be3e&amp;FolderCTID=0x0120001BD1B7A29D5EA04EB7553F36EEAEE8D2" TargetMode="External"/><Relationship Id="rId217" Type="http://schemas.openxmlformats.org/officeDocument/2006/relationships/hyperlink" Target="https://artechnologie13.sharepoint.com/sites/Bureaud'tudeAR-TECHNOLOGIE/DOSSIER%20POI/Forms/AllItems.aspx?FolderCTID=0x0120001BD1B7A29D5EA04EB7553F36EEAEE8D2&amp;id=%2Fsites%2FBureaud%27tudeAR%2DTECHNOLOGIE%2FDOSSIER%20POI%2FROD%2FROD600260" TargetMode="External"/><Relationship Id="rId259" Type="http://schemas.openxmlformats.org/officeDocument/2006/relationships/hyperlink" Target="https://artechnologie13.sharepoint.com/sites/Bureaud'tudeAR-TECHNOLOGIE/DOSSIER%20POI/Forms/AllItems.aspx?id=%2Fsites%2FBureaud%27tudeAR%2DTECHNOLOGIE%2FDOSSIER%20POI%2FMEN%2FMEN600011&amp;sortField=Modified&amp;isAscending=false&amp;viewid=ba243776%2Df837%2D4ace%2D8ee9%2D939a5753cc77&amp;csf=1&amp;web=1&amp;e=xJSWPp&amp;CID=834583a6%2D0b09%2D4127%2D93b5%2Dc71f4baa33f8&amp;FolderCTID=0x0120001BD1B7A29D5EA04EB7553F36EEAEE8D2" TargetMode="External"/><Relationship Id="rId23" Type="http://schemas.openxmlformats.org/officeDocument/2006/relationships/hyperlink" Target="https://artechnologie13.sharepoint.com/sites/Bureaud'tudeAR-TECHNOLOGIE/DOSSIER%20POI/Forms/AllItems.aspx?id=%2Fsites%2FBureaud%27tudeAR%2DTECHNOLOGIE%2FDOSSIER%20POI%2FROD%2FROD500783&amp;sortField=Modified&amp;isAscending=false&amp;viewid=ba243776%2Df837%2D4ace%2D8ee9%2D939a5753cc77&amp;csf=1&amp;web=1&amp;e=pOswRS&amp;CID=3041e4f2%2Da174%2D40d4%2D9a60%2D7728e1cc1851&amp;FolderCTID=0x0120001BD1B7A29D5EA04EB7553F36EEAEE8D2" TargetMode="External"/><Relationship Id="rId119" Type="http://schemas.openxmlformats.org/officeDocument/2006/relationships/hyperlink" Target="https://artechnologie13.sharepoint.com/sites/Bureaud'tudeAR-TECHNOLOGIE/DOSSIER%20POI/Forms/AllItems.aspx?id=%2Fsites%2FBureaud%27tudeAR%2DTECHNOLOGIE%2FDOSSIER%20POI%2FROD%2FROD501175&amp;sortField=LinkFilename&amp;isAscending=false&amp;viewid=ba243776%2Df837%2D4ace%2D8ee9%2D939a5753cc77&amp;csf=1&amp;web=1&amp;e=wXAjoh&amp;CID=033b4116%2D656c%2D4ff3%2Da705%2D325ecfa46a89&amp;FolderCTID=0x0120001BD1B7A29D5EA04EB7553F36EEAEE8D2" TargetMode="External"/><Relationship Id="rId270" Type="http://schemas.openxmlformats.org/officeDocument/2006/relationships/hyperlink" Target="https://artechnologie13.sharepoint.com/:f:/r/sites/Bureaud%27tudeAR-TECHNOLOGIE/DOSSIER%20POI/MEN/MEN500221?csf=1&amp;web=1&amp;e=rvvt3Y" TargetMode="External"/><Relationship Id="rId326" Type="http://schemas.openxmlformats.org/officeDocument/2006/relationships/hyperlink" Target="https://artechnologie13.sharepoint.com/sites/Bureaud'tudeAR-TECHNOLOGIE/DOSSIER%20POI/Forms/AllItems.aspx?id=%2Fsites%2FBureaud%27tudeAR%2DTECHNOLOGIE%2FDOSSIER%20POI%2FMEN&amp;viewid=ba243776%2Df837%2D4ace%2D8ee9%2D939a5753cc77&amp;csf=1&amp;CID=a3f81ae2%2D18a1%2D4d34%2D9ccb%2Da353b40aae55&amp;FolderCTID=0x0120001BD1B7A29D5EA04EB7553F36EEAEE8D2&amp;view=7&amp;q=MEN500142" TargetMode="External"/><Relationship Id="rId65" Type="http://schemas.openxmlformats.org/officeDocument/2006/relationships/hyperlink" Target="https://artechnologie13.sharepoint.com/sites/Bureaud'tudeAR-TECHNOLOGIE/DOSSIER%20POI/Forms/AllItems.aspx?id=%2Fsites%2FBureaud%27tudeAR%2DTECHNOLOGIE%2FDOSSIER%20POI%2FROD%2FROD501424&amp;sortField=Modified&amp;isAscending=false&amp;viewid=ba243776%2Df837%2D4ace%2D8ee9%2D939a5753cc77&amp;csf=1&amp;web=1&amp;e=ywV4ci&amp;CID=8a368264%2D6d13%2D449a%2D9bb4%2Dd27682d10b0a&amp;FolderCTID=0x0120001BD1B7A29D5EA04EB7553F36EEAEE8D2" TargetMode="External"/><Relationship Id="rId130" Type="http://schemas.openxmlformats.org/officeDocument/2006/relationships/hyperlink" Target="https://artechnologie13.sharepoint.com/sites/Bureaud'tudeAR-TECHNOLOGIE/DOSSIER%20POI/Forms/AllItems.aspx?id=%2Fsites%2FBureaud%27tudeAR%2DTECHNOLOGIE%2FDOSSIER%20POI%2FROD%2FROD501652&amp;sortField=Modified&amp;isAscending=false&amp;viewid=ba243776%2Df837%2D4ace%2D8ee9%2D939a5753cc77&amp;csf=1&amp;web=1&amp;e=gs979d&amp;CID=62f44cec%2D22a3%2D45af%2D97cb%2D96c2f484fdb6&amp;FolderCTID=0x0120001BD1B7A29D5EA04EB7553F36EEAEE8D2&amp;view=7" TargetMode="External"/><Relationship Id="rId172" Type="http://schemas.openxmlformats.org/officeDocument/2006/relationships/hyperlink" Target="https://artechnologie13.sharepoint.com/sites/Bureaud'tudeAR-TECHNOLOGIE/DOSSIER%20POI/Forms/AllItems.aspx?id=%2Fsites%2FBureaud%27tudeAR%2DTECHNOLOGIE%2FDOSSIER%20POI%2FROD%2FROD500565&amp;viewid=ba243776%2Df837%2D4ace%2D8ee9%2D939a5753cc77&amp;csf=1&amp;web=1&amp;e=Hzs091&amp;CID=9adeb870%2Dcd38%2D4e3d%2D80a2%2Db523b83ff38f&amp;FolderCTID=0x0120001BD1B7A29D5EA04EB7553F36EEAEE8D2" TargetMode="External"/><Relationship Id="rId228" Type="http://schemas.openxmlformats.org/officeDocument/2006/relationships/hyperlink" Target="https://artechnologie13.sharepoint.com/sites/Bureaud'tudeAR-TECHNOLOGIE/DOSSIER%20POI/Forms/AllItems.aspx?id=%2Fsites%2FBureaud%27tudeAR%2DTECHNOLOGIE%2FDOSSIER%20POI%2FMEN%2FMEN500255&amp;sortField=Modified&amp;isAscending=false&amp;viewid=ba243776%2Df837%2D4ace%2D8ee9%2D939a5753cc77&amp;csf=1&amp;web=1&amp;e=P4zUxK&amp;CID=6a2d5e78%2Ddbaf%2D4417%2Db6d2%2Dc62ad13b4f40&amp;FolderCTID=0x0120001BD1B7A29D5EA04EB7553F36EEAEE8D2" TargetMode="External"/><Relationship Id="rId281" Type="http://schemas.openxmlformats.org/officeDocument/2006/relationships/hyperlink" Target="https://artechnologie13.sharepoint.com/sites/Bureaud'tudeAR-TECHNOLOGIE/DOSSIER%20POI/Forms/AllItems.aspx?id=%2Fsites%2FBureaud%27tudeAR%2DTECHNOLOGIE%2FDOSSIER%20POI%2FMEN%2FMEN500377&amp;sortField=Modified&amp;isAscending=false&amp;viewid=ba243776%2Df837%2D4ace%2D8ee9%2D939a5753cc77&amp;csf=1&amp;web=1&amp;e=xUPcuK&amp;CID=e382a5b9%2D168f%2D4447%2D9601%2D78fc7bfb7038&amp;FolderCTID=0x0120001BD1B7A29D5EA04EB7553F36EEAEE8D2" TargetMode="External"/><Relationship Id="rId337" Type="http://schemas.openxmlformats.org/officeDocument/2006/relationships/hyperlink" Target="https://artechnologie13.sharepoint.com/sites/Bureaud'tudeAR-TECHNOLOGIE/DOSSIER%20POI/Forms/AllItems.aspx?id=%2Fsites%2FBureaud%27tudeAR%2DTECHNOLOGIE%2FDOSSIER%20POI%2FMEN%2FMEN600071&amp;sortField=Modified&amp;isAscending=false&amp;viewid=ba243776%2Df837%2D4ace%2D8ee9%2D939a5753cc77&amp;FolderCTID=0x0120001BD1B7A29D5EA04EB7553F36EEAEE8D2" TargetMode="External"/><Relationship Id="rId34" Type="http://schemas.openxmlformats.org/officeDocument/2006/relationships/hyperlink" Target="https://artechnologie13.sharepoint.com/sites/Bureaud'tudeAR-TECHNOLOGIE/DOSSIER%20POI/Forms/AllItems.aspx?id=%2Fsites%2FBureaud%27tudeAR%2DTECHNOLOGIE%2FDOSSIER%20POI%2FROD%2FROD500837&amp;sortField=Modified&amp;isAscending=false&amp;viewid=ba243776%2Df837%2D4ace%2D8ee9%2D939a5753cc77&amp;csf=1&amp;web=1&amp;e=xUPcuK&amp;CID=e382a5b9%2D168f%2D4447%2D9601%2D78fc7bfb7038&amp;FolderCTID=0x0120001BD1B7A29D5EA04EB7553F36EEAEE8D2&amp;view=7" TargetMode="External"/><Relationship Id="rId76" Type="http://schemas.openxmlformats.org/officeDocument/2006/relationships/hyperlink" Target="https://artechnologie13.sharepoint.com/sites/Bureaud%27tudeAR-TECHNOLOGIE/DOSSIER%20POI/Forms/AllItems.aspx?id=%2Fsites%2FBureaud%27tudeAR%2DTECHNOLOGIE%2FDOSSIER%20POI%2FROD%2FROD501541&amp;sortField=Modified&amp;isAscending=false&amp;viewid=ba243776%2Df837%2D4ace%2D8ee9%2D939a5753cc77&amp;csf=1&amp;web=1&amp;e=m0NFE2&amp;CID=c26ff311%2D2481%2D4e6e%2D9ec1%2D1d2e7a68be3e&amp;FolderCTID=0x0120001BD1B7A29D5EA04EB7553F36EEAEE8D2" TargetMode="External"/><Relationship Id="rId141" Type="http://schemas.openxmlformats.org/officeDocument/2006/relationships/hyperlink" Target="https://artechnologie13.sharepoint.com/sites/Bureaud'tudeAR-TECHNOLOGIE/DOSSIER%20POI/Forms/AllItems.aspx?id=%2Fsites%2FBureaud%27tudeAR%2DTECHNOLOGIE%2FDOSSIER%20POI%2FROD%2FROD502026&amp;sortField=Modified&amp;isAscending=false&amp;viewid=ba243776%2Df837%2D4ace%2D8ee9%2D939a5753cc77&amp;csf=1&amp;web=1&amp;e=JhATME&amp;CID=028de158%2Dd4dc%2D48b6%2D89c4%2Ddb1f4163a833&amp;FolderCTID=0x0120001BD1B7A29D5EA04EB7553F36EEAEE8D2" TargetMode="External"/><Relationship Id="rId7" Type="http://schemas.openxmlformats.org/officeDocument/2006/relationships/hyperlink" Target="https://artechnologie13.sharepoint.com/:f:/r/sites/Bureaud%27tudeAR-TECHNOLOGIE/DOSSIER%20POI/ROD/ROD500610?csf=1&amp;web=1&amp;e=YqRygV" TargetMode="External"/><Relationship Id="rId183" Type="http://schemas.openxmlformats.org/officeDocument/2006/relationships/hyperlink" Target="https://artechnologie13.sharepoint.com/sites/Bureaud'tudeAR-TECHNOLOGIE/DOSSIER%20POI/Forms/AllItems.aspx?id=%2Fsites%2FBureaud%27tudeAR%2DTECHNOLOGIE%2FDOSSIER%20POI%2FROD%2FROD600083&amp;sortField=Modified&amp;isAscending=false&amp;viewid=ba243776%2Df837%2D4ace%2D8ee9%2D939a5753cc77&amp;csf=1&amp;CID=028de158%2Dd4dc%2D48b6%2D89c4%2Ddb1f4163a833&amp;FolderCTID=0x0120001BD1B7A29D5EA04EB7553F36EEAEE8D2" TargetMode="External"/><Relationship Id="rId239" Type="http://schemas.openxmlformats.org/officeDocument/2006/relationships/hyperlink" Target="https://artechnologie13.sharepoint.com/sites/Bureaud'tudeAR-TECHNOLOGIE/DOSSIER%20POI/Forms/AllItems.aspx?id=%2Fsites%2FBureaud%27tudeAR%2DTECHNOLOGIE%2FDOSSIER%20POI%2FMEN%2FNIM500791&amp;sortField=Modified&amp;isAscending=false&amp;viewid=ba243776%2Df837%2D4ace%2D8ee9%2D939a5753cc77" TargetMode="External"/><Relationship Id="rId250" Type="http://schemas.openxmlformats.org/officeDocument/2006/relationships/hyperlink" Target="https://artechnologie13.sharepoint.com/sites/Bureaud'tudeAR-TECHNOLOGIE/DOSSIER%20POI/Forms/AllItems.aspx?id=%2Fsites%2FBureaud%27tudeAR%2DTECHNOLOGIE%2FDOSSIER%20POI%2FMEN%2FMEN500709&amp;sortField=Modified&amp;isAscending=false&amp;viewid=ba243776%2Df837%2D4ace%2D8ee9%2D939a5753cc77&amp;csf=1&amp;web=1&amp;e=xJSWPp&amp;CID=834583a6%2D0b09%2D4127%2D93b5%2Dc71f4baa33f8&amp;FolderCTID=0x0120001BD1B7A29D5EA04EB7553F36EEAEE8D2" TargetMode="External"/><Relationship Id="rId292" Type="http://schemas.openxmlformats.org/officeDocument/2006/relationships/hyperlink" Target="https://artechnologie13.sharepoint.com/:f:/r/sites/Bureaud%27tudeAR-TECHNOLOGIE/DOSSIER%20POI/MEN/MEN500541?csf=1&amp;web=1&amp;e=xJSWPp" TargetMode="External"/><Relationship Id="rId306" Type="http://schemas.openxmlformats.org/officeDocument/2006/relationships/hyperlink" Target="https://artechnologie13.sharepoint.com/sites/Bureaud'tudeAR-TECHNOLOGIE/DOSSIER%20POI/Forms/AllItems.aspx?id=%2Fsites%2FBureaud%27tudeAR%2DTECHNOLOGIE%2FDOSSIER%20POI%2FMEN%2FMEN500653&amp;sortField=Modified&amp;isAscending=false&amp;viewid=ba243776%2Df837%2D4ace%2D8ee9%2D939a5753cc77" TargetMode="External"/><Relationship Id="rId45" Type="http://schemas.openxmlformats.org/officeDocument/2006/relationships/hyperlink" Target="https://artechnologie13.sharepoint.com/sites/Bureaud'tudeAR-TECHNOLOGIE/DOSSIER%20POI/Forms/AllItems.aspx?id=%2Fsites%2FBureaud%27tudeAR%2DTECHNOLOGIE%2FDOSSIER%20POI%2FROD%2FROD501153&amp;sortField=LinkFilename&amp;isAscending=false&amp;viewid=ba243776%2Df837%2D4ace%2D8ee9%2D939a5753cc77&amp;csf=1&amp;web=1&amp;e=wXAjoh&amp;CID=033b4116%2D656c%2D4ff3%2Da705%2D325ecfa46a89&amp;FolderCTID=0x0120001BD1B7A29D5EA04EB7553F36EEAEE8D2" TargetMode="External"/><Relationship Id="rId87" Type="http://schemas.openxmlformats.org/officeDocument/2006/relationships/hyperlink" Target="https://artechnologie13.sharepoint.com/sites/Bureaud'tudeAR-TECHNOLOGIE/DOSSIER%20POI/Forms/AllItems.aspx?id=%2Fsites%2FBureaud%27tudeAR%2DTECHNOLOGIE%2FDOSSIER%20POI%2FROD%2FROD400465&amp;sortField=Modified&amp;isAscending=false&amp;viewid=ba243776%2Df837%2D4ace%2D8ee9%2D939a5753cc77&amp;csf=1&amp;web=1&amp;e=gs979d&amp;CID=62f44cec%2D22a3%2D45af%2D97cb%2D96c2f484fdb6&amp;FolderCTID=0x0120001BD1B7A29D5EA04EB7553F36EEAEE8D2&amp;view=7" TargetMode="External"/><Relationship Id="rId110" Type="http://schemas.openxmlformats.org/officeDocument/2006/relationships/hyperlink" Target="https://artechnologie13.sharepoint.com/sites/Bureaud'tudeAR-TECHNOLOGIE/DOSSIER%20POI/Forms/AllItems.aspx?id=%2Fsites%2FBureaud%27tudeAR%2DTECHNOLOGIE%2FDOSSIER%20POI%2FROD%2FROD501804&amp;sortField=Modified&amp;isAscending=false&amp;viewid=ba243776%2Df837%2D4ace%2D8ee9%2D939a5753cc77" TargetMode="External"/><Relationship Id="rId152" Type="http://schemas.openxmlformats.org/officeDocument/2006/relationships/hyperlink" Target="https://artechnologie13.sharepoint.com/sites/Bureaud'tudeAR-TECHNOLOGIE/DOSSIER%20POI/Forms/AllItems.aspx?id=%2Fsites%2FBureaud%27tudeAR%2DTECHNOLOGIE%2FDOSSIER%20POI%2FROD%2FROD502091%2D%20ROD502092&amp;sortField=Modified&amp;isAscending=false&amp;viewid=ba243776%2Df837%2D4ace%2D8ee9%2D939a5753cc77" TargetMode="External"/><Relationship Id="rId194" Type="http://schemas.openxmlformats.org/officeDocument/2006/relationships/hyperlink" Target="https://artechnologie13.sharepoint.com/sites/Bureaud'tudeAR-TECHNOLOGIE/DOSSIER%20POI/Forms/AllItems.aspx?id=%2Fsites%2FBureaud%27tudeAR%2DTECHNOLOGIE%2FDOSSIER%20POI%2FROD%2FROD600113&amp;sortField=Modified&amp;isAscending=false&amp;viewid=ba243776%2Df837%2D4ace%2D8ee9%2D939a5753cc77&amp;csf=1&amp;CID=028de158%2Dd4dc%2D48b6%2D89c4%2Ddb1f4163a833&amp;FolderCTID=0x0120001BD1B7A29D5EA04EB7553F36EEAEE8D2" TargetMode="External"/><Relationship Id="rId208" Type="http://schemas.openxmlformats.org/officeDocument/2006/relationships/hyperlink" Target="https://artechnologie13.sharepoint.com/sites/Bureaud'tudeAR-TECHNOLOGIE/DOSSIER%20POI/Forms/AllItems.aspx?id=%2Fsites%2FBureaud%27tudeAR%2DTECHNOLOGIE%2FDOSSIER%20POI%2FROD%2FROD600309&amp;sortField=Modified&amp;isAscending=false&amp;viewid=ba243776%2Df837%2D4ace%2D8ee9%2D939a5753cc77" TargetMode="External"/><Relationship Id="rId240" Type="http://schemas.openxmlformats.org/officeDocument/2006/relationships/hyperlink" Target="https://artechnologie13.sharepoint.com/:f:/r/sites/Bureaud%27tudeAR-TECHNOLOGIE/DOSSIER%20POI/MEN/MEN500247?csf=1&amp;web=1&amp;e=C8nQYd" TargetMode="External"/><Relationship Id="rId261" Type="http://schemas.openxmlformats.org/officeDocument/2006/relationships/hyperlink" Target="https://artechnologie13.sharepoint.com/:f:/r/sites/Bureaud%27tudeAR-TECHNOLOGIE/DOSSIER%20POI/MEN/MEN500183?csf=1&amp;web=1&amp;e=JhPbWN" TargetMode="External"/><Relationship Id="rId14" Type="http://schemas.openxmlformats.org/officeDocument/2006/relationships/hyperlink" Target="https://artechnologie13.sharepoint.com/:f:/r/sites/Bureaud%27tudeAR-TECHNOLOGIE/DOSSIER%20POI/ROD/ROD500273?csf=1&amp;web=1&amp;e=rspNCz" TargetMode="External"/><Relationship Id="rId35" Type="http://schemas.openxmlformats.org/officeDocument/2006/relationships/hyperlink" Target="https://artechnologie13.sharepoint.com/sites/Bureaud'tudeAR-TECHNOLOGIE/DOSSIER%20POI/Forms/AllItems.aspx?id=%2Fsites%2FBureaud%27tudeAR%2DTECHNOLOGIE%2FDOSSIER%20POI%2FROD%2FROD500273&amp;sortField=Modified&amp;isAscending=false&amp;viewid=ba243776%2Df837%2D4ace%2D8ee9%2D939a5753cc77&amp;csf=1&amp;web=1&amp;e=xUPcuK&amp;CID=e382a5b9%2D168f%2D4447%2D9601%2D78fc7bfb7038&amp;FolderCTID=0x0120001BD1B7A29D5EA04EB7553F36EEAEE8D2&amp;view=7" TargetMode="External"/><Relationship Id="rId56" Type="http://schemas.openxmlformats.org/officeDocument/2006/relationships/hyperlink" Target="https://artechnologie13.sharepoint.com/sites/Bureaud'tudeAR-TECHNOLOGIE/DOSSIER%20POI/Forms/AllItems.aspx?id=%2Fsites%2FBureaud%27tudeAR%2DTECHNOLOGIE%2FDOSSIER%20POI%2FROD%2FROD401933&amp;viewid=ba243776%2Df837%2D4ace%2D8ee9%2D939a5753cc77" TargetMode="External"/><Relationship Id="rId77" Type="http://schemas.openxmlformats.org/officeDocument/2006/relationships/hyperlink" Target="https://artechnologie13.sharepoint.com/sites/Bureaud%27tudeAR-TECHNOLOGIE/DOSSIER%20POI/Forms/AllItems.aspx?id=%2Fsites%2FBureaud%27tudeAR%2DTECHNOLOGIE%2FDOSSIER%20POI%2FROD%2FROD300381&amp;sortField=Modified&amp;isAscending=false&amp;viewid=ba243776%2Df837%2D4ace%2D8ee9%2D939a5753cc77&amp;csf=1&amp;web=1&amp;e=m0NFE2&amp;CID=c26ff311%2D2481%2D4e6e%2D9ec1%2D1d2e7a68be3e&amp;FolderCTID=0x0120001BD1B7A29D5EA04EB7553F36EEAEE8D2" TargetMode="External"/><Relationship Id="rId100" Type="http://schemas.openxmlformats.org/officeDocument/2006/relationships/hyperlink" Target="https://artechnologie13.sharepoint.com/:f:/r/sites/Bureaud%27tudeAR-TECHNOLOGIE/DOSSIER%20POI/ROD/ROD500621?csf=1&amp;web=1&amp;e=1d6e2x" TargetMode="External"/><Relationship Id="rId282" Type="http://schemas.openxmlformats.org/officeDocument/2006/relationships/hyperlink" Target="https://artechnologie13.sharepoint.com/sites/Bureaud'tudeAR-TECHNOLOGIE/DOSSIER%20POI/Forms/AllItems.aspx?id=%2Fsites%2FBureaud%27tudeAR%2DTECHNOLOGIE%2FDOSSIER%20POI%2FMEN%2FMEN200785%20%2D%20MEN200889&amp;sortField=Modified&amp;isAscending=false&amp;viewid=ba243776%2Df837%2D4ace%2D8ee9%2D939a5753cc77&amp;view=7" TargetMode="External"/><Relationship Id="rId317" Type="http://schemas.openxmlformats.org/officeDocument/2006/relationships/hyperlink" Target="https://artechnologie13.sharepoint.com/sites/Bureaud'tudeAR-TECHNOLOGIE/DOSSIER%20POI/Forms/AllItems.aspx?id=%2Fsites%2FBureaud%27tudeAR%2DTECHNOLOGIE%2FDOSSIER%20POI%2FMEN%2FMEN500638&amp;sortField=Modified&amp;isAscending=false&amp;viewid=ba243776%2Df837%2D4ace%2D8ee9%2D939a5753cc77&amp;FolderCTID=0x0120001BD1B7A29D5EA04EB7553F36EEAEE8D2" TargetMode="External"/><Relationship Id="rId338" Type="http://schemas.openxmlformats.org/officeDocument/2006/relationships/hyperlink" Target="https://artechnologie13.sharepoint.com/sites/Bureaud'tudeAR-TECHNOLOGIE/DOSSIER%20POI/Forms/AllItems.aspx?id=%2Fsites%2FBureaud%27tudeAR%2DTECHNOLOGIE%2FDOSSIER%20POI%2FMEN%2FMEN500719%20%2B%20MEN500714&amp;sortField=Modified&amp;isAscending=false&amp;viewid=ba243776%2Df837%2D4ace%2D8ee9%2D939a5753cc77&amp;csf=1&amp;web=1&amp;e=xJSWPp&amp;CID=834583a6%2D0b09%2D4127%2D93b5%2Dc71f4baa33f8&amp;FolderCTID=0x0120001BD1B7A29D5EA04EB7553F36EEAEE8D2" TargetMode="External"/><Relationship Id="rId8" Type="http://schemas.openxmlformats.org/officeDocument/2006/relationships/hyperlink" Target="https://artechnologie13.sharepoint.com/:f:/r/sites/Bureaud%27tudeAR-TECHNOLOGIE/DOSSIER%20POI/ROD/ROD500597?csf=1&amp;web=1&amp;e=ietQ2j" TargetMode="External"/><Relationship Id="rId98" Type="http://schemas.openxmlformats.org/officeDocument/2006/relationships/hyperlink" Target="https://artechnologie13.sharepoint.com/sites/Bureaud'tudeAR-TECHNOLOGIE/DOSSIER%20POI/Forms/AllItems.aspx?id=%2Fsites%2FBureaud%27tudeAR%2DTECHNOLOGIE%2FDOSSIER%20POI%2FROD%2FROD501726&amp;sortField=Modified&amp;isAscending=false&amp;viewid=ba243776%2Df837%2D4ace%2D8ee9%2D939a5753cc77&amp;csf=1&amp;web=1&amp;e=vXgdJ3&amp;CID=c9dc382e%2De158%2D40c2%2Dae8c%2Dc31db901ab8f&amp;FolderCTID=0x0120001BD1B7A29D5EA04EB7553F36EEAEE8D2" TargetMode="External"/><Relationship Id="rId121" Type="http://schemas.openxmlformats.org/officeDocument/2006/relationships/hyperlink" Target="https://artechnologie13.sharepoint.com/sites/Bureaud'tudeAR-TECHNOLOGIE/DOSSIER%20POI/Forms/AllItems.aspx?id=%2Fsites%2FBureaud%27tudeAR%2DTECHNOLOGIE%2FDOSSIER%20POI%2FROD%2FROD501876&amp;sortField=Modified&amp;isAscending=false&amp;viewid=ba243776%2Df837%2D4ace%2D8ee9%2D939a5753cc77" TargetMode="External"/><Relationship Id="rId142" Type="http://schemas.openxmlformats.org/officeDocument/2006/relationships/hyperlink" Target="https://artechnologie13.sharepoint.com/sites/Bureaud'tudeAR-TECHNOLOGIE/DOSSIER%20POI/Forms/AllItems.aspx?id=%2Fsites%2FBureaud%27tudeAR%2DTECHNOLOGIE%2FDOSSIER%20POI%2FROD%2FROD502047&amp;sortField=Modified&amp;isAscending=false&amp;viewid=ba243776%2Df837%2D4ace%2D8ee9%2D939a5753cc77&amp;csf=1&amp;web=1&amp;e=JhATME&amp;CID=028de158%2Dd4dc%2D48b6%2D89c4%2Ddb1f4163a833&amp;FolderCTID=0x0120001BD1B7A29D5EA04EB7553F36EEAEE8D2" TargetMode="External"/><Relationship Id="rId163" Type="http://schemas.openxmlformats.org/officeDocument/2006/relationships/hyperlink" Target="https://artechnologie13.sharepoint.com/sites/Bureaud'tudeAR-TECHNOLOGIE/DOSSIER%20POI/Forms/AllItems.aspx?id=%2Fsites%2FBureaud%27tudeAR%2DTECHNOLOGIE%2FDOSSIER%20POI%2FROD%2FROD600028&amp;sortField=Modified&amp;isAscending=false&amp;viewid=ba243776%2Df837%2D4ace%2D8ee9%2D939a5753cc77" TargetMode="External"/><Relationship Id="rId184" Type="http://schemas.openxmlformats.org/officeDocument/2006/relationships/hyperlink" Target="https://artechnologie13.sharepoint.com/sites/Bureaud'tudeAR-TECHNOLOGIE/DOSSIER%20POI/Forms/AllItems.aspx?id=%2Fsites%2FBureaud%27tudeAR%2DTECHNOLOGIE%2FDOSSIER%20POI%2FROD%2FROD600086&amp;sortField=Modified&amp;isAscending=false&amp;viewid=ba243776%2Df837%2D4ace%2D8ee9%2D939a5753cc77&amp;csf=1&amp;CID=028de158%2Dd4dc%2D48b6%2D89c4%2Ddb1f4163a833&amp;FolderCTID=0x0120001BD1B7A29D5EA04EB7553F36EEAEE8D2" TargetMode="External"/><Relationship Id="rId219" Type="http://schemas.openxmlformats.org/officeDocument/2006/relationships/hyperlink" Target="https://artechnologie13.sharepoint.com/sites/Bureaud'tudeAR-TECHNOLOGIE/DOSSIER%20POI/Forms/AllItems.aspx?csf=1&amp;web=1&amp;e=EOmmI7&amp;CID=9baba9e2%2D6916%2D4517%2D93cc%2D1caf0f15f037&amp;FolderCTID=0x0120001BD1B7A29D5EA04EB7553F36EEAEE8D2&amp;isAscending=false&amp;id=%2Fsites%2FBureaud%27tudeAR%2DTECHNOLOGIE%2FDOSSIER%20POI%2FMEN%2FMEN500186&amp;sortField=LinkFilename&amp;viewid=ba243776%2Df837%2D4ace%2D8ee9%2D939a5753cc77" TargetMode="External"/><Relationship Id="rId230" Type="http://schemas.openxmlformats.org/officeDocument/2006/relationships/hyperlink" Target="https://artechnologie13.sharepoint.com/sites/Bureaud'tudeAR-TECHNOLOGIE/DOSSIER%20POI/Forms/AllItems.aspx?id=%2Fsites%2FBureaud%27tudeAR%2DTECHNOLOGIE%2FDOSSIER%20POI%2FMEN%2FMEN500412&amp;sortField=Modified&amp;isAscending=false&amp;viewid=ba243776%2Df837%2D4ace%2D8ee9%2D939a5753cc77&amp;view=7" TargetMode="External"/><Relationship Id="rId251" Type="http://schemas.openxmlformats.org/officeDocument/2006/relationships/hyperlink" Target="https://artechnologie13.sharepoint.com/sites/Bureaud'tudeAR-TECHNOLOGIE/DOSSIER%20POI/Forms/AllItems.aspx?id=%2Fsites%2FBureaud%27tudeAR%2DTECHNOLOGIE%2FDOSSIER%20POI%2FMEN%2FMEN500710&amp;sortField=Modified&amp;isAscending=false&amp;viewid=ba243776%2Df837%2D4ace%2D8ee9%2D939a5753cc77&amp;csf=1&amp;web=1&amp;e=xJSWPp&amp;CID=834583a6%2D0b09%2D4127%2D93b5%2Dc71f4baa33f8&amp;FolderCTID=0x0120001BD1B7A29D5EA04EB7553F36EEAEE8D2" TargetMode="External"/><Relationship Id="rId25" Type="http://schemas.openxmlformats.org/officeDocument/2006/relationships/hyperlink" Target="https://artechnologie13.sharepoint.com/sites/Bureaud'tudeAR-TECHNOLOGIE/DOSSIER%20POI/Forms/AllItems.aspx?id=%2Fsites%2FBureaud%27tudeAR%2DTECHNOLOGIE%2FDOSSIER%20POI%2FROD%2FROD500816&amp;sortField=Modified&amp;isAscending=false&amp;viewid=ba243776%2Df837%2D4ace%2D8ee9%2D939a5753cc77&amp;csf=1&amp;web=1&amp;e=hb9Sd3&amp;CID=7f672a6c%2D945a%2D48b6%2D9c17%2D062594ca5ff1&amp;FolderCTID=0x0120001BD1B7A29D5EA04EB7553F36EEAEE8D2" TargetMode="External"/><Relationship Id="rId46" Type="http://schemas.openxmlformats.org/officeDocument/2006/relationships/hyperlink" Target="https://artechnologie13.sharepoint.com/:f:/r/sites/Bureaud%27tudeAR-TECHNOLOGIE/DOSSIER%20POI/ROD/ROD501165?csf=1&amp;web=1&amp;e=jjFPDM" TargetMode="External"/><Relationship Id="rId67" Type="http://schemas.openxmlformats.org/officeDocument/2006/relationships/hyperlink" Target="https://artechnologie13.sharepoint.com/sites/Bureaud'tudeAR-TECHNOLOGIE/DOSSIER%20POI/Forms/AllItems.aspx?id=%2Fsites%2FBureaud%27tudeAR%2DTECHNOLOGIE%2FDOSSIER%20POI%2FROD%2FROD501453&amp;sortField=Modified&amp;isAscending=false&amp;viewid=ba243776%2Df837%2D4ace%2D8ee9%2D939a5753cc77&amp;csf=1&amp;web=1&amp;e=ywV4ci&amp;CID=8a368264%2D6d13%2D449a%2D9bb4%2Dd27682d10b0a&amp;FolderCTID=0x0120001BD1B7A29D5EA04EB7553F36EEAEE8D2" TargetMode="External"/><Relationship Id="rId272" Type="http://schemas.openxmlformats.org/officeDocument/2006/relationships/hyperlink" Target="https://artechnologie13.sharepoint.com/:f:/r/sites/Bureaud%27tudeAR-TECHNOLOGIE/DOSSIER%20POI/MEN/MEN500239?csf=1&amp;web=1&amp;e=9BqFSe" TargetMode="External"/><Relationship Id="rId293" Type="http://schemas.openxmlformats.org/officeDocument/2006/relationships/hyperlink" Target="https://artechnologie13.sharepoint.com/sites/Bureaud%27tudeAR-TECHNOLOGIE/DOSSIER%20POI/Forms/AllItems.aspx?id=%2Fsites%2FBureaud%27tudeAR%2DTECHNOLOGIE%2FDOSSIER%20POI%2FMEN%2FMEN500573&amp;viewid=ba243776%2Df837%2D4ace%2D8ee9%2D939a5753cc77&amp;q=MEN500573&amp;csf=1&amp;web=1&amp;e=xJSWPp&amp;CID=834583a6%2D0b09%2D4127%2D93b5%2Dc71f4baa33f8&amp;FolderCTID=0x0120001BD1B7A29D5EA04EB7553F36EEAEE8D2&amp;view=7" TargetMode="External"/><Relationship Id="rId307" Type="http://schemas.openxmlformats.org/officeDocument/2006/relationships/hyperlink" Target="https://artechnologie13.sharepoint.com/sites/Bureaud'tudeAR-TECHNOLOGIE/DOSSIER%20POI/Forms/AllItems.aspx?id=%2Fsites%2FBureaud%27tudeAR%2DTECHNOLOGIE%2FDOSSIER%20POI%2FMEN%2FMEN500201&amp;sortField=Modified&amp;isAscending=false&amp;viewid=ba243776%2Df837%2D4ace%2D8ee9%2D939a5753cc77&amp;csf=1&amp;web=1&amp;e=9aD7UJ&amp;CID=3985c2d8%2Ddc54%2D4a33%2D8ea9%2D8e2e628e3fdc&amp;FolderCTID=0x0120001BD1B7A29D5EA04EB7553F36EEAEE8D2" TargetMode="External"/><Relationship Id="rId328" Type="http://schemas.openxmlformats.org/officeDocument/2006/relationships/hyperlink" Target="https://artechnologie13.sharepoint.com/sites/Bureaud'tudeAR-TECHNOLOGIE/DOSSIER%20POI/Forms/AllItems.aspx?id=%2Fsites%2FBureaud%27tudeAR%2DTECHNOLOGIE%2FDOSSIER%20POI%2FMEN%2FMEN600030&amp;sortField=Modified&amp;isAscending=false&amp;viewid=ba243776%2Df837%2D4ace%2D8ee9%2D939a5753cc77&amp;FolderCTID=0x0120001BD1B7A29D5EA04EB7553F36EEAEE8D2" TargetMode="External"/><Relationship Id="rId88" Type="http://schemas.openxmlformats.org/officeDocument/2006/relationships/hyperlink" Target="https://artechnologie13.sharepoint.com/sites/Bureaud'tudeAR-TECHNOLOGIE/DOSSIER%20POI/Forms/AllItems.aspx?id=%2Fsites%2FBureaud%27tudeAR%2DTECHNOLOGIE%2FDOSSIER%20POI%2FROD%2FROD501160&amp;sortField=LinkFilename&amp;isAscending=false&amp;viewid=ba243776%2Df837%2D4ace%2D8ee9%2D939a5753cc77&amp;csf=1&amp;web=1&amp;e=wXAjoh&amp;CID=033b4116%2D656c%2D4ff3%2Da705%2D325ecfa46a89&amp;FolderCTID=0x0120001BD1B7A29D5EA04EB7553F36EEAEE8D2" TargetMode="External"/><Relationship Id="rId111" Type="http://schemas.openxmlformats.org/officeDocument/2006/relationships/hyperlink" Target="https://artechnologie13.sharepoint.com/sites/Bureaud'tudeAR-TECHNOLOGIE/DOSSIER%20POI/Forms/AllItems.aspx?id=%2Fsites%2FBureaud%27tudeAR%2DTECHNOLOGIE%2FDOSSIER%20POI%2FROD%2FROD501817&amp;sortField=Modified&amp;isAscending=false&amp;viewid=ba243776%2Df837%2D4ace%2D8ee9%2D939a5753cc77" TargetMode="External"/><Relationship Id="rId132" Type="http://schemas.openxmlformats.org/officeDocument/2006/relationships/hyperlink" Target="https://artechnologie13.sharepoint.com/sites/Bureaud'tudeAR-TECHNOLOGIE/DOSSIER%20POI/Forms/AllItems.aspx?id=%2Fsites%2FBureaud%27tudeAR%2DTECHNOLOGIE%2FDOSSIER%20POI%2FROD%2FROD501951&amp;sortField=Modified&amp;isAscending=false&amp;viewid=ba243776%2Df837%2D4ace%2D8ee9%2D939a5753cc77" TargetMode="External"/><Relationship Id="rId153" Type="http://schemas.openxmlformats.org/officeDocument/2006/relationships/hyperlink" Target="https://artechnologie13.sharepoint.com/sites/Bureaud'tudeAR-TECHNOLOGIE/DOSSIER%20POI/Forms/AllItems.aspx?id=%2Fsites%2FBureaud%27tudeAR%2DTECHNOLOGIE%2FDOSSIER%20POI%2FROD%2FROD502099&amp;sortField=Modified&amp;isAscending=false&amp;viewid=ba243776%2Df837%2D4ace%2D8ee9%2D939a5753cc77" TargetMode="External"/><Relationship Id="rId174" Type="http://schemas.openxmlformats.org/officeDocument/2006/relationships/hyperlink" Target="https://artechnologie13.sharepoint.com/sites/Bureaud'tudeAR-TECHNOLOGIE/DOSSIER%20POI/Forms/AllItems.aspx?id=%2Fsites%2FBureaud%27tudeAR%2DTECHNOLOGIE%2FDOSSIER%20POI%2FROD%2FROD600096&amp;sortField=Modified&amp;isAscending=false&amp;viewid=ba243776%2Df837%2D4ace%2D8ee9%2D939a5753cc77&amp;csf=1&amp;web=1&amp;e=JhATME&amp;CID=028de158%2Dd4dc%2D48b6%2D89c4%2Ddb1f4163a833&amp;FolderCTID=0x0120001BD1B7A29D5EA04EB7553F36EEAEE8D2" TargetMode="External"/><Relationship Id="rId195" Type="http://schemas.openxmlformats.org/officeDocument/2006/relationships/hyperlink" Target="https://artechnologie13.sharepoint.com/sites/Bureaud'tudeAR-TECHNOLOGIE/DOSSIER%20POI/Forms/AllItems.aspx?id=%2Fsites%2FBureaud%27tudeAR%2DTECHNOLOGIE%2FDOSSIER%20POI%2FROD%2FROD501804&amp;sortField=Modified&amp;isAscending=false&amp;viewid=ba243776%2Df837%2D4ace%2D8ee9%2D939a5753cc77" TargetMode="External"/><Relationship Id="rId209" Type="http://schemas.openxmlformats.org/officeDocument/2006/relationships/hyperlink" Target="https://artechnologie13.sharepoint.com/sites/Bureaud'tudeAR-TECHNOLOGIE/DOSSIER%20POI/Forms/AllItems.aspx?id=%2Fsites%2FBureaud%27tudeAR%2DTECHNOLOGIE%2FDOSSIER%20POI%2FROD%2FROD600275&amp;sortField=Modified&amp;isAscending=false&amp;viewid=ba243776%2Df837%2D4ace%2D8ee9%2D939a5753cc77" TargetMode="External"/><Relationship Id="rId220" Type="http://schemas.openxmlformats.org/officeDocument/2006/relationships/hyperlink" Target="https://artechnologie13.sharepoint.com/sites/Bureaud'tudeAR-TECHNOLOGIE/DOSSIER%20POI/Forms/AllItems.aspx?isAscending=false&amp;id=%2Fsites%2FBureaud%27tudeAR%2DTECHNOLOGIE%2FDOSSIER%20POI%2FMEN%2FMEN400649&amp;sortField=LinkFilename&amp;viewid=ba243776%2Df837%2D4ace%2D8ee9%2D939a5753cc77" TargetMode="External"/><Relationship Id="rId241" Type="http://schemas.openxmlformats.org/officeDocument/2006/relationships/hyperlink" Target="https://artechnologie13.sharepoint.com/sites/Bureaud'tudeAR-TECHNOLOGIE/DOSSIER%20POI/Forms/AllItems.aspx?id=%2Fsites%2FBureaud%27tudeAR%2DTECHNOLOGIE%2FDOSSIER%20POI%2FMEN%2FMEN500565&amp;sortField=Modified&amp;isAscending=false&amp;viewid=ba243776%2Df837%2D4ace%2D8ee9%2D939a5753cc77&amp;csf=1&amp;web=1&amp;e=412AH2&amp;CID=d2a5d3ab%2Dcba1%2D479a%2D9c5d%2D122ef1097c99&amp;FolderCTID=0x0120001BD1B7A29D5EA04EB7553F36EEAEE8D2&amp;view=7" TargetMode="External"/><Relationship Id="rId15" Type="http://schemas.openxmlformats.org/officeDocument/2006/relationships/hyperlink" Target="https://artechnologie13.sharepoint.com/:f:/r/sites/Bureaud%27tudeAR-TECHNOLOGIE/DOSSIER%20POI/ROD/ROD500717?csf=1&amp;web=1&amp;e=Pfy29S" TargetMode="External"/><Relationship Id="rId36" Type="http://schemas.openxmlformats.org/officeDocument/2006/relationships/hyperlink" Target="https://artechnologie13.sharepoint.com/sites/Bureaud'tudeAR-TECHNOLOGIE/DOSSIER%20POI/Forms/AllItems.aspx?id=%2Fsites%2FBureaud%27tudeAR%2DTECHNOLOGIE%2FDOSSIER%20POI%2FROD%2FROD500780&amp;sortField=Modified&amp;isAscending=false&amp;viewid=ba243776%2Df837%2D4ace%2D8ee9%2D939a5753cc77&amp;q=ROD500780&amp;csf=1&amp;web=1&amp;e=xUPcuK&amp;CID=e382a5b9%2D168f%2D4447%2D9601%2D78fc7bfb7038&amp;FolderCTID=0x0120001BD1B7A29D5EA04EB7553F36EEAEE8D2&amp;view=7" TargetMode="External"/><Relationship Id="rId57" Type="http://schemas.openxmlformats.org/officeDocument/2006/relationships/hyperlink" Target="https://artechnologie13.sharepoint.com/sites/Bureaud'tudeAR-TECHNOLOGIE/DOSSIER%20POI/Forms/AllItems.aspx?id=%2Fsites%2FBureaud%27tudeAR%2DTECHNOLOGIE%2FDOSSIER%20POI%2FROD%2FROD501318&amp;sortField=Modified&amp;isAscending=false&amp;viewid=ba243776%2Df837%2D4ace%2D8ee9%2D939a5753cc77&amp;csf=1&amp;web=1&amp;e=m0NFE2&amp;CID=c26ff311%2D2481%2D4e6e%2D9ec1%2D1d2e7a68be3e&amp;FolderCTID=0x0120001BD1B7A29D5EA04EB7553F36EEAEE8D2" TargetMode="External"/><Relationship Id="rId262" Type="http://schemas.openxmlformats.org/officeDocument/2006/relationships/hyperlink" Target="https://artechnologie13.sharepoint.com/sites/Bureaud'tudeAR-TECHNOLOGIE/DOSSIER%20POI/Forms/AllItems.aspx?id=%2Fsites%2FBureaud%27tudeAR%2DTECHNOLOGIE%2FDOSSIER%20POI%2FMEN%2FMEN500404&amp;sortField=Modified&amp;isAscending=false&amp;viewid=ba243776%2Df837%2D4ace%2D8ee9%2D939a5753cc77&amp;csf=1&amp;CID=11093229%2D73ad%2D422e%2D9fb9%2D6261fc8030f4&amp;FolderCTID=0x0120001BD1B7A29D5EA04EB7553F36EEAEE8D2" TargetMode="External"/><Relationship Id="rId283" Type="http://schemas.openxmlformats.org/officeDocument/2006/relationships/hyperlink" Target="https://artechnologie13.sharepoint.com/sites/Bureaud'tudeAR-TECHNOLOGIE/DOSSIER%20POI/Forms/AllItems.aspx?id=%2Fsites%2FBureaud%27tudeAR%2DTECHNOLOGIE%2FDOSSIER%20POI%2FMEN%2FMEN200785%20%2D%20MEN200889&amp;sortField=Modified&amp;isAscending=false&amp;viewid=ba243776%2Df837%2D4ace%2D8ee9%2D939a5753cc77&amp;view=7" TargetMode="External"/><Relationship Id="rId318"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EN%2FMEN500125" TargetMode="External"/><Relationship Id="rId339" Type="http://schemas.openxmlformats.org/officeDocument/2006/relationships/hyperlink" Target="https://artechnologie13.sharepoint.com/sites/Bureaud'tudeAR-TECHNOLOGIE/DOSSIER%20POI/Forms/AllItems.aspx?id=%2Fsites%2FBureaud%27tudeAR%2DTECHNOLOGIE%2FDOSSIER%20POI%2FMEN%2FMEN600050&amp;sortField=Modified&amp;isAscending=false&amp;viewid=ba243776%2Df837%2D4ace%2D8ee9%2D939a5753cc77&amp;FolderCTID=0x0120001BD1B7A29D5EA04EB7553F36EEAEE8D2" TargetMode="External"/><Relationship Id="rId78" Type="http://schemas.openxmlformats.org/officeDocument/2006/relationships/hyperlink" Target="https://artechnologie13.sharepoint.com/sites/Bureaud'tudeAR-TECHNOLOGIE/DOSSIER%20POI/Forms/AllItems.aspx?FolderCTID=0x0120001BD1B7A29D5EA04EB7553F36EEAEE8D2&amp;id=%2Fsites%2FBureaud%27tudeAR%2DTECHNOLOGIE%2FDOSSIER%20POI%2FROD%2FROD501498" TargetMode="External"/><Relationship Id="rId99" Type="http://schemas.openxmlformats.org/officeDocument/2006/relationships/hyperlink" Target="https://artechnologie13.sharepoint.com/sites/Bureaud'tudeAR-TECHNOLOGIE/DOSSIER%20POI/Forms/AllItems.aspx?id=%2Fsites%2FBureaud%27tudeAR%2DTECHNOLOGIE%2FDOSSIER%20POI%2FROD%2FROD501729&amp;sortField=Modified&amp;isAscending=false&amp;viewid=ba243776%2Df837%2D4ace%2D8ee9%2D939a5753cc77&amp;csf=1&amp;web=1&amp;e=vXgdJ3&amp;CID=c9dc382e%2De158%2D40c2%2Dae8c%2Dc31db901ab8f&amp;FolderCTID=0x0120001BD1B7A29D5EA04EB7553F36EEAEE8D2" TargetMode="External"/><Relationship Id="rId101" Type="http://schemas.openxmlformats.org/officeDocument/2006/relationships/hyperlink" Target="https://artechnologie13.sharepoint.com/sites/Bureaud'tudeAR-TECHNOLOGIE/DOSSIER%20POI/Forms/AllItems.aspx?id=%2Fsites%2FBureaud%27tudeAR%2DTECHNOLOGIE%2FDOSSIER%20POI%2FROD%2FROD501253&amp;sortField=Modified&amp;isAscending=false&amp;viewid=ba243776%2Df837%2D4ace%2D8ee9%2D939a5753cc77&amp;csf=1&amp;web=1&amp;e=JhATME&amp;CID=028de158%2Dd4dc%2D48b6%2D89c4%2Ddb1f4163a833&amp;FolderCTID=0x0120001BD1B7A29D5EA04EB7553F36EEAEE8D2" TargetMode="External"/><Relationship Id="rId122" Type="http://schemas.openxmlformats.org/officeDocument/2006/relationships/hyperlink" Target="https://artechnologie13.sharepoint.com/sites/Bureaud'tudeAR-TECHNOLOGIE/DOSSIER%20POI/Forms/AllItems.aspx?id=%2Fsites%2FBureaud%27tudeAR%2DTECHNOLOGIE%2FDOSSIER%20POI%2FROD%2FROD501887&amp;sortField=Modified&amp;isAscending=false&amp;viewid=ba243776%2Df837%2D4ace%2D8ee9%2D939a5753cc77" TargetMode="External"/><Relationship Id="rId143" Type="http://schemas.openxmlformats.org/officeDocument/2006/relationships/hyperlink" Target="https://artechnologie13.sharepoint.com/sites/Bureaud'tudeAR-TECHNOLOGIE/DOSSIER%20POI/Forms/AllItems.aspx?id=%2Fsites%2FBureaud%27tudeAR%2DTECHNOLOGIE%2FDOSSIER%20POI%2FROD%2FROD502064&amp;sortField=Modified&amp;isAscending=false&amp;viewid=ba243776%2Df837%2D4ace%2D8ee9%2D939a5753cc77&amp;csf=1&amp;web=1&amp;e=JhATME&amp;CID=028de158%2Dd4dc%2D48b6%2D89c4%2Ddb1f4163a833&amp;FolderCTID=0x0120001BD1B7A29D5EA04EB7553F36EEAEE8D2" TargetMode="External"/><Relationship Id="rId164" Type="http://schemas.openxmlformats.org/officeDocument/2006/relationships/hyperlink" Target="https://artechnologie13.sharepoint.com/sites/Bureaud'tudeAR-TECHNOLOGIE/DOSSIER%20POI/Forms/AllItems.aspx?id=%2Fsites%2FBureaud%27tudeAR%2DTECHNOLOGIE%2FDOSSIER%20POI%2FROD%2FROD501953&amp;sortField=Modified&amp;isAscending=false&amp;viewid=ba243776%2Df837%2D4ace%2D8ee9%2D939a5753cc77" TargetMode="External"/><Relationship Id="rId185" Type="http://schemas.openxmlformats.org/officeDocument/2006/relationships/hyperlink" Target="https://artechnologie13.sharepoint.com/sites/Bureaud'tudeAR-TECHNOLOGIE/DOSSIER%20POI/Forms/AllItems.aspx?id=%2Fsites%2FBureaud%27tudeAR%2DTECHNOLOGIE%2FDOSSIER%20POI%2FROD%2FROD600088&amp;sortField=Modified&amp;isAscending=false&amp;viewid=ba243776%2Df837%2D4ace%2D8ee9%2D939a5753cc77&amp;csf=1&amp;CID=028de158%2Dd4dc%2D48b6%2D89c4%2Ddb1f4163a833&amp;FolderCTID=0x0120001BD1B7A29D5EA04EB7553F36EEAEE8D2" TargetMode="External"/><Relationship Id="rId9"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sAscending=false&amp;id=%2Fsites%2FBureaud%27tudeAR%2DTECHNOLOGIE%2FDOSSIER%20POI%2FROD%2FROD500605&amp;sortField=LinkFilename&amp;viewid=ba243776%2Df837%2D4ace%2D8ee9%2D939a5753cc77" TargetMode="External"/><Relationship Id="rId210" Type="http://schemas.openxmlformats.org/officeDocument/2006/relationships/hyperlink" Target="https://artechnologie13.sharepoint.com/sites/Bureaud'tudeAR-TECHNOLOGIE/DOSSIER%20POI/Forms/AllItems.aspx?id=%2Fsites%2FBureaud%27tudeAR%2DTECHNOLOGIE%2FDOSSIER%20POI%2FROD%2FROD600308&amp;sortField=Modified&amp;isAscending=false&amp;viewid=ba243776%2Df837%2D4ace%2D8ee9%2D939a5753cc77" TargetMode="External"/><Relationship Id="rId26" Type="http://schemas.openxmlformats.org/officeDocument/2006/relationships/hyperlink" Target="https://artechnologie13.sharepoint.com/sites/Bureaud'tudeAR-TECHNOLOGIE/DOSSIER%20POI/Forms/AllItems.aspx?id=%2Fsites%2FBureaud%27tudeAR%2DTECHNOLOGIE%2FDOSSIER%20POI%2FROD%2FROD500822&amp;sortField=Modified&amp;isAscending=false&amp;viewid=ba243776%2Df837%2D4ace%2D8ee9%2D939a5753cc77&amp;csf=1&amp;web=1&amp;e=hb9Sd3&amp;CID=7f672a6c%2D945a%2D48b6%2D9c17%2D062594ca5ff1&amp;FolderCTID=0x0120001BD1B7A29D5EA04EB7553F36EEAEE8D2" TargetMode="External"/><Relationship Id="rId231" Type="http://schemas.openxmlformats.org/officeDocument/2006/relationships/hyperlink" Target="https://artechnologie13.sharepoint.com/sites/Bureaud'tudeAR-TECHNOLOGIE/DOSSIER%20POI/Forms/AllItems.aspx?id=%2Fsites%2FBureaud%27tudeAR%2DTECHNOLOGIE%2FDOSSIER%20POI%2FMEN%2FMEN400257&amp;viewid=ba243776%2Df837%2D4ace%2D8ee9%2D939a5753cc77" TargetMode="External"/><Relationship Id="rId252" Type="http://schemas.openxmlformats.org/officeDocument/2006/relationships/hyperlink" Target="https://artechnologie13.sharepoint.com/sites/Bureaud'tudeAR-TECHNOLOGIE/DOSSIER%20POI/Forms/AllItems.aspx?id=%2Fsites%2FBureaud%27tudeAR%2DTECHNOLOGIE%2FDOSSIER%20POI%2FMEN%2FMEN500712&amp;sortField=Modified&amp;isAscending=false&amp;viewid=ba243776%2Df837%2D4ace%2D8ee9%2D939a5753cc77&amp;csf=1&amp;web=1&amp;e=xJSWPp&amp;CID=834583a6%2D0b09%2D4127%2D93b5%2Dc71f4baa33f8&amp;FolderCTID=0x0120001BD1B7A29D5EA04EB7553F36EEAEE8D2" TargetMode="External"/><Relationship Id="rId273" Type="http://schemas.openxmlformats.org/officeDocument/2006/relationships/hyperlink" Target="https://artechnologie13.sharepoint.com/:f:/r/sites/Bureaud%27tudeAR-TECHNOLOGIE/DOSSIER%20POI/MEN/MEN500246?csf=1&amp;web=1&amp;e=9ax7XT" TargetMode="External"/><Relationship Id="rId294" Type="http://schemas.openxmlformats.org/officeDocument/2006/relationships/hyperlink" Target="https://artechnologie13.sharepoint.com/sites/Bureaud'tudeAR-TECHNOLOGIE/DOSSIER%20POI/Forms/AllItems.aspx?id=%2Fsites%2FBureaud%27tudeAR%2DTECHNOLOGIE%2FDOSSIER%20POI%2FMEN%2FMEN400235&amp;sortField=Modified&amp;isAscending=false&amp;viewid=ba243776%2Df837%2D4ace%2D8ee9%2D939a5753cc77&amp;csf=1&amp;web=1&amp;e=FpieW4&amp;CID=4545877a%2D8f8a%2D418b%2Dbacf%2D066017615bfb&amp;FolderCTID=0x0120001BD1B7A29D5EA04EB7553F36EEAEE8D2" TargetMode="External"/><Relationship Id="rId308" Type="http://schemas.openxmlformats.org/officeDocument/2006/relationships/hyperlink" Target="https://artechnologie13.sharepoint.com/sites/Bureaud'tudeAR-TECHNOLOGIE/DOSSIER%20POI/Forms/AllItems.aspx?id=%2Fsites%2FBureaud%27tudeAR%2DTECHNOLOGIE%2FDOSSIER%20POI%2FMEN%2FMEN500670&amp;sortField=Modified&amp;isAscending=false&amp;viewid=ba243776%2Df837%2D4ace%2D8ee9%2D939a5753cc77&amp;csf=1&amp;web=1&amp;e=xJSWPp&amp;CID=834583a6%2D0b09%2D4127%2D93b5%2Dc71f4baa33f8&amp;FolderCTID=0x0120001BD1B7A29D5EA04EB7553F36EEAEE8D2" TargetMode="External"/><Relationship Id="rId329" Type="http://schemas.openxmlformats.org/officeDocument/2006/relationships/hyperlink" Target="https://artechnologie13.sharepoint.com/:f:/r/sites/Bureaud%27tudeAR-TECHNOLOGIE/DOSSIER%20POI/MEN/MEN300841?csf=1&amp;web=1&amp;e=X3gll6" TargetMode="External"/><Relationship Id="rId47" Type="http://schemas.openxmlformats.org/officeDocument/2006/relationships/hyperlink" Target="https://artechnologie13.sharepoint.com/:f:/r/sites/Bureaud%27tudeAR-TECHNOLOGIE/DOSSIER%20POI/ROD/ROD501190?csf=1&amp;web=1&amp;e=rwhSh7" TargetMode="External"/><Relationship Id="rId68" Type="http://schemas.openxmlformats.org/officeDocument/2006/relationships/hyperlink" Target="https://artechnologie13.sharepoint.com/:f:/r/sites/Bureaud%27tudeAR-TECHNOLOGIE/DOSSIER%20POI/ROD/ROD501463?csf=1&amp;web=1&amp;e=2UATb9" TargetMode="External"/><Relationship Id="rId89" Type="http://schemas.openxmlformats.org/officeDocument/2006/relationships/hyperlink" Target="https://artechnologie13.sharepoint.com/:f:/r/sites/Bureaud%27tudeAR-TECHNOLOGIE/DOSSIER%20POI/ROD/ROD500638?csf=1&amp;web=1&amp;e=imoqfb" TargetMode="External"/><Relationship Id="rId112" Type="http://schemas.openxmlformats.org/officeDocument/2006/relationships/hyperlink" Target="https://artechnologie13.sharepoint.com/sites/Bureaud'tudeAR-TECHNOLOGIE/DOSSIER%20POI/Forms/AllItems.aspx?id=%2Fsites%2FBureaud%27tudeAR%2DTECHNOLOGIE%2FDOSSIER%20POI%2FROD%2FROD500045&amp;viewid=ba243776%2Df837%2D4ace%2D8ee9%2D939a5753cc77&amp;csf=1&amp;web=1&amp;e=bhBmpo&amp;CID=bc290411%2D21bc%2D446d%2D8183%2D28ba3580e5a1&amp;FolderCTID=0x0120001BD1B7A29D5EA04EB7553F36EEAEE8D2" TargetMode="External"/><Relationship Id="rId133" Type="http://schemas.openxmlformats.org/officeDocument/2006/relationships/hyperlink" Target="https://artechnologie13.sharepoint.com/sites/Bureaud'tudeAR-TECHNOLOGIE/DOSSIER%20POI/Forms/AllItems.aspx?id=%2Fsites%2FBureaud%27tudeAR%2DTECHNOLOGIE%2FDOSSIER%20POI%2FROD%2FROD501424&amp;sortField=Modified&amp;isAscending=false&amp;viewid=ba243776%2Df837%2D4ace%2D8ee9%2D939a5753cc77&amp;csf=1&amp;web=1&amp;e=ywV4ci&amp;CID=8a368264%2D6d13%2D449a%2D9bb4%2Dd27682d10b0a&amp;FolderCTID=0x0120001BD1B7A29D5EA04EB7553F36EEAEE8D2" TargetMode="External"/><Relationship Id="rId154" Type="http://schemas.openxmlformats.org/officeDocument/2006/relationships/hyperlink" Target="https://artechnologie13.sharepoint.com/sites/Bureaud'tudeAR-TECHNOLOGIE/DOSSIER%20POI/Forms/AllItems.aspx?id=%2Fsites%2FBureaud%27tudeAR%2DTECHNOLOGIE%2FDOSSIER%20POI%2FROD%2FROD502100&amp;sortField=Modified&amp;isAscending=false&amp;viewid=ba243776%2Df837%2D4ace%2D8ee9%2D939a5753cc77" TargetMode="External"/><Relationship Id="rId175" Type="http://schemas.openxmlformats.org/officeDocument/2006/relationships/hyperlink" Target="https://artechnologie13.sharepoint.com/sites/Bureaud'tudeAR-TECHNOLOGIE/DOSSIER%20POI/Forms/AllItems.aspx?id=%2Fsites%2FBureaud%27tudeAR%2DTECHNOLOGIE%2FDOSSIER%20POI%2FROD%2FROD600097&amp;sortField=Modified&amp;isAscending=false&amp;viewid=ba243776%2Df837%2D4ace%2D8ee9%2D939a5753cc77&amp;csf=1&amp;web=1&amp;e=JhATME&amp;CID=028de158%2Dd4dc%2D48b6%2D89c4%2Ddb1f4163a833&amp;FolderCTID=0x0120001BD1B7A29D5EA04EB7553F36EEAEE8D2" TargetMode="External"/><Relationship Id="rId340" Type="http://schemas.openxmlformats.org/officeDocument/2006/relationships/vmlDrawing" Target="../drawings/vmlDrawing1.vml"/><Relationship Id="rId196" Type="http://schemas.openxmlformats.org/officeDocument/2006/relationships/hyperlink" Target="https://artechnologie13.sharepoint.com/sites/Bureaud'tudeAR-TECHNOLOGIE/DOSSIER%20POI/Forms/AllItems.aspx?id=%2Fsites%2FBureaud%27tudeAR%2DTECHNOLOGIE%2FDOSSIER%20POI%2FROD%2FROD600166&amp;sortField=Modified&amp;isAscending=false&amp;viewid=ba243776%2Df837%2D4ace%2D8ee9%2D939a5753cc77&amp;csf=1&amp;CID=028de158%2Dd4dc%2D48b6%2D89c4%2Ddb1f4163a833&amp;FolderCTID=0x0120001BD1B7A29D5EA04EB7553F36EEAEE8D2" TargetMode="External"/><Relationship Id="rId200" Type="http://schemas.openxmlformats.org/officeDocument/2006/relationships/hyperlink" Target="https://artechnologie13.sharepoint.com/sites/Bureaud'tudeAR-TECHNOLOGIE/DOSSIER%20POI/Forms/AllItems.aspx?id=%2Fsites%2FBureaud%27tudeAR%2DTECHNOLOGIE%2FDOSSIER%20POI%2FROD%2FROD600261&amp;sortField=Modified&amp;isAscending=false&amp;viewid=ba243776%2Df837%2D4ace%2D8ee9%2D939a5753cc77&amp;csf=1&amp;CID=028de158%2Dd4dc%2D48b6%2D89c4%2Ddb1f4163a833&amp;FolderCTID=0x0120001BD1B7A29D5EA04EB7553F36EEAEE8D2" TargetMode="External"/><Relationship Id="rId16" Type="http://schemas.openxmlformats.org/officeDocument/2006/relationships/hyperlink" Target="https://artechnologie13.sharepoint.com/:f:/r/sites/Bureaud%27tudeAR-TECHNOLOGIE/DOSSIER%20POI/ROD/ROD500728?csf=1&amp;web=1&amp;e=0HYRzx" TargetMode="External"/><Relationship Id="rId221" Type="http://schemas.openxmlformats.org/officeDocument/2006/relationships/hyperlink" Target="https://artechnologie13.sharepoint.com/:f:/r/sites/Bureaud%27tudeAR-TECHNOLOGIE/DOSSIER%20POI/MEN/MEN500229?csf=1&amp;web=1&amp;e=FpieW4" TargetMode="External"/><Relationship Id="rId242" Type="http://schemas.openxmlformats.org/officeDocument/2006/relationships/hyperlink" Target="https://artechnologie13.sharepoint.com/sites/Bureaud'tudeAR-TECHNOLOGIE/DOSSIER%20POI/Forms/AllItems.aspx?id=%2Fsites%2FBureaud%27tudeAR%2DTECHNOLOGIE%2FDOSSIER%20POI%2FMEN%2FMEN500581&amp;sortField=Modified&amp;isAscending=false&amp;viewid=ba243776%2Df837%2D4ace%2D8ee9%2D939a5753cc77&amp;csf=1&amp;web=1&amp;e=xJSWPp&amp;CID=834583a6%2D0b09%2D4127%2D93b5%2Dc71f4baa33f8&amp;FolderCTID=0x0120001BD1B7A29D5EA04EB7553F36EEAEE8D2" TargetMode="External"/><Relationship Id="rId263" Type="http://schemas.openxmlformats.org/officeDocument/2006/relationships/hyperlink" Target="https://artechnologie13.sharepoint.com/sites/Bureaud'tudeAR-TECHNOLOGIE/DOSSIER%20POI/Forms/AllItems.aspx?FolderCTID=0x0120001BD1B7A29D5EA04EB7553F36EEAEE8D2&amp;id=%2Fsites%2FBureaud%27tudeAR-TECHNOLOGIE%2FDOSSIER+POI%2FMEN%2FMEN500038" TargetMode="External"/><Relationship Id="rId284"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EN%2FMEN500032" TargetMode="External"/><Relationship Id="rId319" Type="http://schemas.openxmlformats.org/officeDocument/2006/relationships/hyperlink" Target="https://artechnologie13.sharepoint.com/sites/Bureaud'tudeAR-TECHNOLOGIE/DOSSIER%20POI/Forms/AllItems.aspx?id=%2Fsites%2FBureaud%27tudeAR%2DTECHNOLOGIE%2FDOSSIER%20POI%2FMEN%2FMEN600016&amp;sortField=Modified&amp;isAscending=false&amp;viewid=ba243776%2Df837%2D4ace%2D8ee9%2D939a5753cc77&amp;csf=1&amp;web=1&amp;e=xJSWPp&amp;CID=834583a6%2D0b09%2D4127%2D93b5%2Dc71f4baa33f8&amp;FolderCTID=0x0120001BD1B7A29D5EA04EB7553F36EEAEE8D2" TargetMode="External"/><Relationship Id="rId37" Type="http://schemas.openxmlformats.org/officeDocument/2006/relationships/hyperlink" Target="https://artechnologie13.sharepoint.com/:f:/r/sites/Bureaud%27tudeAR-TECHNOLOGIE/DOSSIER%20POI/ROD/ROD501081?csf=1&amp;web=1&amp;e=kGBMXs" TargetMode="External"/><Relationship Id="rId58" Type="http://schemas.openxmlformats.org/officeDocument/2006/relationships/hyperlink" Target="https://artechnologie13.sharepoint.com/sites/Bureaud'tudeAR-TECHNOLOGIE/DOSSIER%20POI/Forms/AllItems.aspx?id=%2Fsites%2FBureaud%27tudeAR%2DTECHNOLOGIE%2FDOSSIER%20POI%2FROD%2FROD501332&amp;sortField=Modified&amp;isAscending=false&amp;viewid=ba243776%2Df837%2D4ace%2D8ee9%2D939a5753cc77&amp;csf=1&amp;web=1&amp;e=m0NFE2&amp;CID=c26ff311%2D2481%2D4e6e%2D9ec1%2D1d2e7a68be3e&amp;FolderCTID=0x0120001BD1B7A29D5EA04EB7553F36EEAEE8D2" TargetMode="External"/><Relationship Id="rId79" Type="http://schemas.openxmlformats.org/officeDocument/2006/relationships/hyperlink" Target="https://artechnologie13.sharepoint.com/sites/Bureaud'tudeAR-TECHNOLOGIE/DOSSIER%20POI/Forms/AllItems.aspx?id=%2Fsites%2FBureaud%27tudeAR%2DTECHNOLOGIE%2FDOSSIER%20POI%2FROD%2FROD501581&amp;viewid=ba243776%2Df837%2D4ace%2D8ee9%2D939a5753cc77&amp;csf=1&amp;web=1&amp;e=gs979d&amp;CID=62f44cec%2D22a3%2D45af%2D97cb%2D96c2f484fdb6&amp;FolderCTID=0x0120001BD1B7A29D5EA04EB7553F36EEAEE8D2&amp;view=7" TargetMode="External"/><Relationship Id="rId102" Type="http://schemas.openxmlformats.org/officeDocument/2006/relationships/hyperlink" Target="https://artechnologie13.sharepoint.com/sites/Bureaud'tudeAR-TECHNOLOGIE/DOSSIER%20POI/Forms/AllItems.aspx?id=%2Fsites%2FBureaud%27tudeAR%2DTECHNOLOGIE%2FDOSSIER%20POI%2FROD%2FROD501111&amp;sortField=Modified&amp;isAscending=false&amp;viewid=ba243776%2Df837%2D4ace%2D8ee9%2D939a5753cc77&amp;view=7" TargetMode="External"/><Relationship Id="rId123" Type="http://schemas.openxmlformats.org/officeDocument/2006/relationships/hyperlink" Target="https://artechnologie13.sharepoint.com/sites/Bureaud'tudeAR-TECHNOLOGIE/DOSSIER%20POI/Forms/AllItems.aspx?id=%2Fsites%2FBureaud%27tudeAR%2DTECHNOLOGIE%2FDOSSIER%20POI%2FROD%2FROD501913&amp;sortField=Modified&amp;isAscending=false&amp;viewid=ba243776%2Df837%2D4ace%2D8ee9%2D939a5753cc77" TargetMode="External"/><Relationship Id="rId144" Type="http://schemas.openxmlformats.org/officeDocument/2006/relationships/hyperlink" Target="https://artechnologie13.sharepoint.com/sites/Bureaud'tudeAR-TECHNOLOGIE/DOSSIER%20POI/Forms/AllItems.aspx?id=%2Fsites%2FBureaud%27tudeAR%2DTECHNOLOGIE%2FDOSSIER%20POI%2FROD%2FROD502067&amp;sortField=Modified&amp;isAscending=false&amp;viewid=ba243776%2Df837%2D4ace%2D8ee9%2D939a5753cc77&amp;csf=1&amp;web=1&amp;e=JhATME&amp;CID=028de158%2Dd4dc%2D48b6%2D89c4%2Ddb1f4163a833&amp;FolderCTID=0x0120001BD1B7A29D5EA04EB7553F36EEAEE8D2" TargetMode="External"/><Relationship Id="rId330" Type="http://schemas.openxmlformats.org/officeDocument/2006/relationships/hyperlink" Target="https://artechnologie13.sharepoint.com/sites/Bureaud'tudeAR-TECHNOLOGIE/DT1/Forms/AllItems.aspx?id=%2Fsites%2FBureaud%27tudeAR%2DTECHNOLOGIE%2FDT1%2FDEMANDES%2FMEN400647&amp;viewid=4a761c62%2Dc0e3%2D4ad1%2D9b90%2Daa69488d2e0e&amp;FolderCTID=0x012000D43E1045C1E5A24BB65CD5B8CBCFE3FF&amp;CT=1770388991639&amp;OR=OWA%2DNT%2DMail&amp;CID=886503e2%2Da749%2Dc797%2Def04%2D496d57d85370" TargetMode="External"/><Relationship Id="rId90" Type="http://schemas.openxmlformats.org/officeDocument/2006/relationships/hyperlink" Target="https://artechnologie13.sharepoint.com/sites/Bureaud'tudeAR-TECHNOLOGIE/DOSSIER%20POI/Forms/AllItems.aspx?id=%2Fsites%2FBureaud%27tudeAR%2DTECHNOLOGIE%2FDOSSIER%20POI%2FROD%2FROD401602&amp;sortField=Modified&amp;isAscending=false&amp;viewid=ba243776%2Df837%2D4ace%2D8ee9%2D939a5753cc77&amp;csf=1&amp;web=1&amp;e=ywV4ci&amp;CID=8a368264%2D6d13%2D449a%2D9bb4%2Dd27682d10b0a&amp;FolderCTID=0x0120001BD1B7A29D5EA04EB7553F36EEAEE8D2&amp;view=7" TargetMode="External"/><Relationship Id="rId165" Type="http://schemas.openxmlformats.org/officeDocument/2006/relationships/hyperlink" Target="https://artechnologie13.sharepoint.com/sites/Bureaud'tudeAR-TECHNOLOGIE/DOSSIER%20POI/Forms/AllItems.aspx?id=%2Fsites%2FBureaud%27tudeAR%2DTECHNOLOGIE%2FDOSSIER%20POI%2FROD%2FROD600035&amp;sortField=Modified&amp;isAscending=false&amp;viewid=ba243776%2Df837%2D4ace%2D8ee9%2D939a5753cc77" TargetMode="External"/><Relationship Id="rId186" Type="http://schemas.openxmlformats.org/officeDocument/2006/relationships/hyperlink" Target="https://artechnologie13.sharepoint.com/sites/Bureaud'tudeAR-TECHNOLOGIE/DOSSIER%20POI/Forms/AllItems.aspx?id=%2Fsites%2FBureaud%27tudeAR%2DTECHNOLOGIE%2FDOSSIER%20POI%2FROD%2FROD600147&amp;sortField=Modified&amp;isAscending=false&amp;viewid=ba243776%2Df837%2D4ace%2D8ee9%2D939a5753cc77&amp;csf=1&amp;CID=028de158%2Dd4dc%2D48b6%2D89c4%2Ddb1f4163a833&amp;FolderCTID=0x0120001BD1B7A29D5EA04EB7553F36EEAEE8D2" TargetMode="External"/><Relationship Id="rId211" Type="http://schemas.openxmlformats.org/officeDocument/2006/relationships/hyperlink" Target="https://artechnologie13.sharepoint.com/sites/Bureaud'tudeAR-TECHNOLOGIE/DOSSIER%20POI/Forms/AllItems.aspx?id=%2Fsites%2FBureaud%27tudeAR%2DTECHNOLOGIE%2FDOSSIER%20POI%2FROD%2FROD600310&amp;sortField=Modified&amp;isAscending=false&amp;viewid=ba243776%2Df837%2D4ace%2D8ee9%2D939a5753cc77" TargetMode="External"/><Relationship Id="rId232" Type="http://schemas.openxmlformats.org/officeDocument/2006/relationships/hyperlink" Target="https://artechnologie13.sharepoint.com/:f:/r/sites/Bureaud%27tudeAR-TECHNOLOGIE/DOSSIER%20POI/MEN/MEN500161?csf=1&amp;web=1&amp;e=dmjqtd" TargetMode="External"/><Relationship Id="rId253" Type="http://schemas.openxmlformats.org/officeDocument/2006/relationships/hyperlink" Target="https://artechnologie13.sharepoint.com/sites/Bureaud'tudeAR-TECHNOLOGIE/DOSSIER%20POI/Forms/AllItems.aspx?id=%2Fsites%2FBureaud%27tudeAR%2DTECHNOLOGIE%2FDOSSIER%20POI%2FMEN%2FMEN500717&amp;sortField=Modified&amp;isAscending=false&amp;viewid=ba243776%2Df837%2D4ace%2D8ee9%2D939a5753cc77&amp;csf=1&amp;web=1&amp;e=xJSWPp&amp;CID=834583a6%2D0b09%2D4127%2D93b5%2Dc71f4baa33f8&amp;FolderCTID=0x0120001BD1B7A29D5EA04EB7553F36EEAEE8D2" TargetMode="External"/><Relationship Id="rId274" Type="http://schemas.openxmlformats.org/officeDocument/2006/relationships/hyperlink" Target="https://artechnologie13.sharepoint.com/sites/Bureaud'tudeAR-TECHNOLOGIE/DOSSIER%20POI/Forms/AllItems.aspx?id=%2Fsites%2FBureaud%27tudeAR%2DTECHNOLOGIE%2FDOSSIER%20POI%2FMEN%2FMEN500256&amp;sortField=Modified&amp;isAscending=false&amp;viewid=ba243776%2Df837%2D4ace%2D8ee9%2D939a5753cc77&amp;csf=1&amp;web=1&amp;e=P4zUxK&amp;CID=6a2d5e78%2Ddbaf%2D4417%2Db6d2%2Dc62ad13b4f40&amp;FolderCTID=0x0120001BD1B7A29D5EA04EB7553F36EEAEE8D2" TargetMode="External"/><Relationship Id="rId295" Type="http://schemas.openxmlformats.org/officeDocument/2006/relationships/hyperlink" Target="https://artechnologie13.sharepoint.com/sites/Bureaud'tudeAR-TECHNOLOGIE/DOSSIER%20POI/Forms/AllItems.aspx?id=%2Fsites%2FBureaud%27tudeAR%2DTECHNOLOGIE%2FDOSSIER%20POI%2FMEN%2FMEN500602&amp;sortField=Modified&amp;isAscending=false&amp;viewid=ba243776%2Df837%2D4ace%2D8ee9%2D939a5753cc77&amp;csf=1&amp;web=1&amp;e=xJSWPp&amp;CID=834583a6%2D0b09%2D4127%2D93b5%2Dc71f4baa33f8&amp;FolderCTID=0x0120001BD1B7A29D5EA04EB7553F36EEAEE8D2" TargetMode="External"/><Relationship Id="rId309" Type="http://schemas.openxmlformats.org/officeDocument/2006/relationships/hyperlink" Target="https://artechnologie13.sharepoint.com/sites/Bureaud'tudeAR-TECHNOLOGIE/DOSSIER%20POI/Forms/AllItems.aspx?id=%2Fsites%2FBureaud%27tudeAR%2DTECHNOLOGIE%2FDOSSIER%20POI%2FMEN%2FMEN500574&amp;sortField=Modified&amp;isAscending=false&amp;viewid=ba243776%2Df837%2D4ace%2D8ee9%2D939a5753cc77&amp;csf=1&amp;web=1&amp;e=xJSWPp&amp;CID=834583a6%2D0b09%2D4127%2D93b5%2Dc71f4baa33f8&amp;FolderCTID=0x0120001BD1B7A29D5EA04EB7553F36EEAEE8D2" TargetMode="External"/><Relationship Id="rId27" Type="http://schemas.openxmlformats.org/officeDocument/2006/relationships/hyperlink" Target="https://artechnologie13.sharepoint.com/sites/Bureaud'tudeAR-TECHNOLOGIE/DOSSIER%20POI/Forms/AllItems.aspx?csf=1&amp;web=1&amp;e=ppzka1&amp;CID=d0884922%2D4c44%2D41a1%2Db605%2D5b117f73f5d9&amp;FolderCTID=0x0120001BD1B7A29D5EA04EB7553F36EEAEE8D2&amp;id=%2Fsites%2FBureaud%27tudeAR%2DTECHNOLOGIE%2FDOSSIER%20POI%2FROD%2FROD500778" TargetMode="External"/><Relationship Id="rId48" Type="http://schemas.openxmlformats.org/officeDocument/2006/relationships/hyperlink" Target="https://artechnologie13.sharepoint.com/sites/Bureaud'tudeAR-TECHNOLOGIE/DOSSIER%20POI/Forms/AllItems.aspx?id=%2Fsites%2FBureaud%27tudeAR%2DTECHNOLOGIE%2FDOSSIER%20POI%2FROD&amp;viewid=ba243776%2Df837%2D4ace%2D8ee9%2D939a5753cc77&amp;csf=1&amp;web=1&amp;e=rwhSh7&amp;CID=37a611b9%2D7398%2D42c9%2D934d%2D4c61666751d9&amp;FolderCTID=0x0120001BD1B7A29D5EA04EB7553F36EEAEE8D2&amp;view=7&amp;q=ROD401748" TargetMode="External"/><Relationship Id="rId69" Type="http://schemas.openxmlformats.org/officeDocument/2006/relationships/hyperlink" Target="https://artechnologie13.sharepoint.com/sites/Bureaud'tudeAR-TECHNOLOGIE/DOSSIER%20POI/Forms/AllItems.aspx?id=%2Fsites%2FBureaud%27tudeAR%2DTECHNOLOGIE%2FDOSSIER%20POI%2FROD%2FROD501475%2FROD501475&amp;sortField=Modified&amp;isAscending=false&amp;viewid=ba243776%2Df837%2D4ace%2D8ee9%2D939a5753cc77" TargetMode="External"/><Relationship Id="rId113" Type="http://schemas.openxmlformats.org/officeDocument/2006/relationships/hyperlink" Target="https://artechnologie13.sharepoint.com/sites/Bureaud'tudeAR-TECHNOLOGIE/DOSSIER%20POI/Forms/AllItems.aspx?id=%2Fsites%2FBureaud%27tudeAR%2DTECHNOLOGIE%2FDOSSIER%20POI%2FROD%2FROD501821&amp;sortField=Modified&amp;isAscending=false&amp;viewid=ba243776%2Df837%2D4ace%2D8ee9%2D939a5753cc77" TargetMode="External"/><Relationship Id="rId134" Type="http://schemas.openxmlformats.org/officeDocument/2006/relationships/hyperlink" Target="https://artechnologie13.sharepoint.com/sites/Bureaud'tudeAR-TECHNOLOGIE/DOSSIER%20POI/Forms/AllItems.aspx?id=%2Fsites%2FBureaud%27tudeAR%2DTECHNOLOGIE%2FDOSSIER%20POI%2FROD%2FROD500992&amp;sortField=Modified&amp;isAscending=false&amp;viewid=ba243776%2Df837%2D4ace%2D8ee9%2D939a5753cc77" TargetMode="External"/><Relationship Id="rId320" Type="http://schemas.openxmlformats.org/officeDocument/2006/relationships/hyperlink" Target="https://artechnologie13.sharepoint.com/sites/Bureaud'tudeAR-TECHNOLOGIE/DOSSIER%20POI/Forms/AllItems.aspx?id=%2Fsites%2FBureaud%27tudeAR%2DTECHNOLOGIE%2FDOSSIER%20POI%2FMEN%2FMEN500404&amp;sortField=Modified&amp;isAscending=false&amp;viewid=ba243776%2Df837%2D4ace%2D8ee9%2D939a5753cc77&amp;csf=1&amp;web=1&amp;e=057i8G&amp;CID=11093229%2D73ad%2D422e%2D9fb9%2D6261fc8030f4&amp;FolderCTID=0x0120001BD1B7A29D5EA04EB7553F36EEAEE8D2" TargetMode="External"/><Relationship Id="rId80" Type="http://schemas.openxmlformats.org/officeDocument/2006/relationships/hyperlink" Target="https://artechnologie13.sharepoint.com/sites/Bureaud'tudeAR-TECHNOLOGIE/DOSSIER%20POI/Forms/AllItems.aspx?id=%2Fsites%2FBureaud%27tudeAR%2DTECHNOLOGIE%2FDOSSIER%20POI%2FROD%2FROD501565&amp;sortField=Modified&amp;isAscending=false&amp;viewid=ba243776%2Df837%2D4ace%2D8ee9%2D939a5753cc77" TargetMode="External"/><Relationship Id="rId155" Type="http://schemas.openxmlformats.org/officeDocument/2006/relationships/hyperlink" Target="https://artechnologie13.sharepoint.com/sites/Bureaud'tudeAR-TECHNOLOGIE/DOSSIER%20POI/Forms/AllItems.aspx?id=%2Fsites%2FBureaud%27tudeAR%2DTECHNOLOGIE%2FDOSSIER%20POI%2FROD%2FROD502116&amp;sortField=Modified&amp;isAscending=false&amp;viewid=ba243776%2Df837%2D4ace%2D8ee9%2D939a5753cc77" TargetMode="External"/><Relationship Id="rId176" Type="http://schemas.openxmlformats.org/officeDocument/2006/relationships/hyperlink" Target="https://artechnologie13.sharepoint.com/sites/Bureaud'tudeAR-TECHNOLOGIE/DOSSIER%20POI/Forms/AllItems.aspx?id=%2Fsites%2FBureaud%27tudeAR%2DTECHNOLOGIE%2FDOSSIER%20POI%2FROD%2FROD501939&amp;sortField=Modified&amp;isAscending=false&amp;viewid=ba243776%2Df837%2D4ace%2D8ee9%2D939a5753cc77" TargetMode="External"/><Relationship Id="rId197" Type="http://schemas.openxmlformats.org/officeDocument/2006/relationships/hyperlink" Target="https://artechnologie13.sharepoint.com/sites/Bureaud'tudeAR-TECHNOLOGIE/DOSSIER%20POI/Forms/AllItems.aspx?id=%2Fsites%2FBureaud%27tudeAR%2DTECHNOLOGIE%2FDOSSIER%20POI%2FROD%2FROD600181&amp;sortField=Modified&amp;isAscending=false&amp;viewid=ba243776%2Df837%2D4ace%2D8ee9%2D939a5753cc77&amp;csf=1&amp;CID=028de158%2Dd4dc%2D48b6%2D89c4%2Ddb1f4163a833&amp;FolderCTID=0x0120001BD1B7A29D5EA04EB7553F36EEAEE8D2" TargetMode="External"/><Relationship Id="rId341" Type="http://schemas.openxmlformats.org/officeDocument/2006/relationships/comments" Target="../comments1.xml"/><Relationship Id="rId201" Type="http://schemas.openxmlformats.org/officeDocument/2006/relationships/hyperlink" Target="https://artechnologie13.sharepoint.com/sites/Bureaud'tudeAR-TECHNOLOGIE/DOSSIER%20POI/Forms/AllItems.aspx?id=%2Fsites%2FBureaud%27tudeAR%2DTECHNOLOGIE%2FDOSSIER%20POI%2FROD%2FROD501967&amp;sortField=Modified&amp;isAscending=false&amp;viewid=ba243776%2Df837%2D4ace%2D8ee9%2D939a5753cc77" TargetMode="External"/><Relationship Id="rId222" Type="http://schemas.openxmlformats.org/officeDocument/2006/relationships/hyperlink" Target="https://artechnologie13.sharepoint.com/sites/Bureaud'tudeAR-TECHNOLOGIE/DOSSIER%20POI/Forms/AllItems.aspx?id=%2Fsites%2FBureaud%27tudeAR%2DTECHNOLOGIE%2FDOSSIER%20POI%2FMEN%2FMEN500024&amp;viewid=ba243776%2Df837%2D4ace%2D8ee9%2D939a5753cc77&amp;sw=bypass&amp;bypassReason=listStartSPFxError%3Berror%3DError%3A%20Killswitches%20are%20not%20initialized%2E%20Killswitch%20requeste%E2%80%A6&amp;FolderCTID=0x0120001BD1B7A29D5EA04EB7553F36EEAEE8D2" TargetMode="External"/><Relationship Id="rId243" Type="http://schemas.openxmlformats.org/officeDocument/2006/relationships/hyperlink" Target="https://artechnologie13.sharepoint.com/sites/Bureaud'tudeAR-TECHNOLOGIE/DOSSIER%20POI/Forms/AllItems.aspx?id=%2Fsites%2FBureaud%27tudeAR%2DTECHNOLOGIE%2FDOSSIER%20POI%2FMEN%2FMEN500492&amp;sortField=Modified&amp;isAscending=false&amp;viewid=ba243776%2Df837%2D4ace%2D8ee9%2D939a5753cc77&amp;csf=1&amp;web=1&amp;e=m0NFE2&amp;CID=c26ff311%2D2481%2D4e6e%2D9ec1%2D1d2e7a68be3e&amp;FolderCTID=0x0120001BD1B7A29D5EA04EB7553F36EEAEE8D2&amp;view=7" TargetMode="External"/><Relationship Id="rId264" Type="http://schemas.openxmlformats.org/officeDocument/2006/relationships/hyperlink" Target="https://artechnologie13.sharepoint.com/:f:/r/sites/Bureaud%27tudeAR-TECHNOLOGIE/DOSSIER%20POI/MEN/MEN500028?csf=1&amp;web=1&amp;e=pMVTPU" TargetMode="External"/><Relationship Id="rId285" Type="http://schemas.openxmlformats.org/officeDocument/2006/relationships/hyperlink" Target="https://artechnologie13.sharepoint.com/:f:/r/sites/Bureaud%27tudeAR-TECHNOLOGIE/DOSSIER%20POI/MEN/MEN500435?csf=1&amp;web=1&amp;e=zmyD9k" TargetMode="External"/><Relationship Id="rId17" Type="http://schemas.openxmlformats.org/officeDocument/2006/relationships/hyperlink" Target="https://artechnologie13.sharepoint.com/:f:/r/sites/Bureaud%27tudeAR-TECHNOLOGIE/DOSSIER%20POI/ROD/ROD500710?csf=1&amp;web=1&amp;e=jix4dY" TargetMode="External"/><Relationship Id="rId38" Type="http://schemas.openxmlformats.org/officeDocument/2006/relationships/hyperlink" Target="https://artechnologie13.sharepoint.com/sites/Bureaud%27tudeAR-TECHNOLOGIE/DOSSIER%20POI/Forms/AllItems.aspx?id=%2Fsites%2FBureaud%27tudeAR%2DTECHNOLOGIE%2FDOSSIER%20POI%2FROD%2FROD500837&amp;sortField=Modified&amp;isAscending=false&amp;viewid=ba243776%2Df837%2D4ace%2D8ee9%2D939a5753cc77&amp;csf=1&amp;web=1&amp;e=P4zUxK&amp;CID=6a2d5e78%2Ddbaf%2D4417%2Db6d2%2Dc62ad13b4f40&amp;FolderCTID=0x0120001BD1B7A29D5EA04EB7553F36EEAEE8D2" TargetMode="External"/><Relationship Id="rId59" Type="http://schemas.openxmlformats.org/officeDocument/2006/relationships/hyperlink" Target="https://artechnologie13.sharepoint.com/sites/Bureaud'tudeAR-TECHNOLOGIE/DOSSIER%20POI/Forms/AllItems.aspx?id=%2Fsites%2FBureaud%27tudeAR%2DTECHNOLOGIE%2FDOSSIER%20POI%2FROD%2FROD501323&amp;sortField=Modified&amp;isAscending=false&amp;viewid=ba243776%2Df837%2D4ace%2D8ee9%2D939a5753cc77&amp;csf=1&amp;web=1&amp;e=m0NFE2&amp;CID=c26ff311%2D2481%2D4e6e%2D9ec1%2D1d2e7a68be3e&amp;FolderCTID=0x0120001BD1B7A29D5EA04EB7553F36EEAEE8D2" TargetMode="External"/><Relationship Id="rId103" Type="http://schemas.openxmlformats.org/officeDocument/2006/relationships/hyperlink" Target="https://artechnologie13.sharepoint.com/sites/Bureaud'tudeAR-TECHNOLOGIE/DOSSIER%20POI/Forms/AllItems.aspx?id=%2Fsites%2FBureaud%27tudeAR%2DTECHNOLOGIE%2FDOSSIER%20POI%2FROD%2FROD501512&amp;sortField=Modified&amp;isAscending=false&amp;viewid=ba243776%2Df837%2D4ace%2D8ee9%2D939a5753cc77&amp;csf=1&amp;web=1&amp;e=gs979d&amp;CID=62f44cec%2D22a3%2D45af%2D97cb%2D96c2f484fdb6&amp;FolderCTID=0x0120001BD1B7A29D5EA04EB7553F36EEAEE8D2" TargetMode="External"/><Relationship Id="rId124" Type="http://schemas.openxmlformats.org/officeDocument/2006/relationships/hyperlink" Target="https://artechnologie13.sharepoint.com/sites/Bureaud'tudeAR-TECHNOLOGIE/DOSSIER%20POI/Forms/AllItems.aspx?id=%2Fsites%2FBureaud%27tudeAR%2DTECHNOLOGIE%2FDOSSIER%20POI%2FROD%2FROD500004&amp;viewid=ba243776%2Df837%2D4ace%2D8ee9%2D939a5753cc77" TargetMode="External"/><Relationship Id="rId310" Type="http://schemas.openxmlformats.org/officeDocument/2006/relationships/hyperlink" Target="https://artechnologie13.sharepoint.com/sites/Bureaud'tudeAR-TECHNOLOGIE/DOSSIER%20POI/Forms/AllItems.aspx?id=%2Fsites%2FBureaud%27tudeAR%2DTECHNOLOGIE%2FDOSSIER%20POI%2FMEN%2FMEN500673&amp;sortField=Modified&amp;isAscending=false&amp;viewid=ba243776%2Df837%2D4ace%2D8ee9%2D939a5753cc77&amp;csf=1&amp;web=1&amp;e=xJSWPp&amp;CID=834583a6%2D0b09%2D4127%2D93b5%2Dc71f4baa33f8&amp;FolderCTID=0x0120001BD1B7A29D5EA04EB7553F36EEAEE8D2" TargetMode="External"/><Relationship Id="rId70" Type="http://schemas.openxmlformats.org/officeDocument/2006/relationships/hyperlink" Target="https://artechnologie13.sharepoint.com/:f:/r/sites/Bureaud%27tudeAR-TECHNOLOGIE/DOSSIER%20POI/ROD/ROD500378?csf=1&amp;web=1&amp;e=EL6BS8" TargetMode="External"/><Relationship Id="rId91" Type="http://schemas.openxmlformats.org/officeDocument/2006/relationships/hyperlink" Target="https://artechnologie13.sharepoint.com/sites/Bureaud'tudeAR-TECHNOLOGIE/DOSSIER%20POI/Forms/AllItems.aspx?id=%2Fsites%2FBureaud%27tudeAR%2DTECHNOLOGIE%2FDOSSIER%20POI%2FROD%2FROD501437&amp;sortField=Modified&amp;isAscending=false&amp;viewid=ba243776%2Df837%2D4ace%2D8ee9%2D939a5753cc77&amp;csf=1&amp;web=1&amp;e=ywV4ci&amp;CID=8a368264%2D6d13%2D449a%2D9bb4%2Dd27682d10b0a&amp;FolderCTID=0x0120001BD1B7A29D5EA04EB7553F36EEAEE8D2" TargetMode="External"/><Relationship Id="rId145" Type="http://schemas.openxmlformats.org/officeDocument/2006/relationships/hyperlink" Target="https://artechnologie13.sharepoint.com/sites/Bureaud'tudeAR-TECHNOLOGIE/DOSSIER%20POI/Forms/AllItems.aspx?id=%2Fsites%2FBureaud%27tudeAR%2DTECHNOLOGIE%2FDOSSIER%20POI%2FROD%2FROD502076&amp;sortField=Modified&amp;isAscending=false&amp;viewid=ba243776%2Df837%2D4ace%2D8ee9%2D939a5753cc77&amp;csf=1&amp;web=1&amp;e=JhATME&amp;CID=028de158%2Dd4dc%2D48b6%2D89c4%2Ddb1f4163a833&amp;FolderCTID=0x0120001BD1B7A29D5EA04EB7553F36EEAEE8D2" TargetMode="External"/><Relationship Id="rId166" Type="http://schemas.openxmlformats.org/officeDocument/2006/relationships/hyperlink" Target="https://artechnologie13.sharepoint.com/sites/Bureaud'tudeAR-TECHNOLOGIE/DOSSIER%20POI/Forms/AllItems.aspx?id=%2Fsites%2FBureaud%27tudeAR%2DTECHNOLOGIE%2FDOSSIER%20POI%2FROD%2FROD600037&amp;sortField=Modified&amp;isAscending=false&amp;viewid=ba243776%2Df837%2D4ace%2D8ee9%2D939a5753cc77" TargetMode="External"/><Relationship Id="rId187" Type="http://schemas.openxmlformats.org/officeDocument/2006/relationships/hyperlink" Target="https://artechnologie13.sharepoint.com/sites/Bureaud'tudeAR-TECHNOLOGIE/DOSSIER%20POI/Forms/AllItems.aspx?id=%2Fsites%2FBureaud%27tudeAR%2DTECHNOLOGIE%2FDOSSIER%20POI%2FROD%2FROD600149&amp;sortField=Modified&amp;isAscending=false&amp;viewid=ba243776%2Df837%2D4ace%2D8ee9%2D939a5753cc77&amp;csf=1&amp;CID=028de158%2Dd4dc%2D48b6%2D89c4%2Ddb1f4163a833&amp;FolderCTID=0x0120001BD1B7A29D5EA04EB7553F36EEAEE8D2" TargetMode="External"/><Relationship Id="rId331" Type="http://schemas.openxmlformats.org/officeDocument/2006/relationships/hyperlink" Target="https://artechnologie13.sharepoint.com/sites/Bureaud'tudeAR-TECHNOLOGIE/DOSSIER%20POI/Forms/AllItems.aspx?id=%2Fsites%2FBureaud%27tudeAR%2DTECHNOLOGIE%2FDOSSIER%20POI%2FMEN%2FMEN600052&amp;sortField=Modified&amp;isAscending=false&amp;viewid=ba243776%2Df837%2D4ace%2D8ee9%2D939a5753cc77&amp;FolderCTID=0x0120001BD1B7A29D5EA04EB7553F36EEAEE8D2" TargetMode="External"/><Relationship Id="rId1" Type="http://schemas.openxmlformats.org/officeDocument/2006/relationships/hyperlink" Target="https://artechnologie13.sharepoint.com/:f:/r/sites/Bureaud%27tudeAR-TECHNOLOGIE/DOSSIER%20POI/ROD/ROD500496?csf=1&amp;web=1&amp;e=ew3JNS" TargetMode="External"/><Relationship Id="rId212" Type="http://schemas.openxmlformats.org/officeDocument/2006/relationships/hyperlink" Target="https://artechnologie13.sharepoint.com/sites/Bureaud'tudeAR-TECHNOLOGIE/DOSSIER%20POI/Forms/AllItems.aspx?id=%2Fsites%2FBureaud%27tudeAR%2DTECHNOLOGIE%2FDOSSIER%20POI%2FROD%2FROD600310&amp;sortField=Modified&amp;isAscending=false&amp;viewid=ba243776%2Df837%2D4ace%2D8ee9%2D939a5753cc77" TargetMode="External"/><Relationship Id="rId233" Type="http://schemas.openxmlformats.org/officeDocument/2006/relationships/hyperlink" Target="https://artechnologie13.sharepoint.com/sites/Bureaud'tudeAR-TECHNOLOGIE/DOSSIER%20POI/Forms/AllItems.aspx?id=%2Fsites%2FBureaud%27tudeAR%2DTECHNOLOGIE%2FDOSSIER%20POI%2FMEN%2FMEN500440&amp;sortField=Modified&amp;isAscending=false&amp;viewid=ba243776%2Df837%2D4ace%2D8ee9%2D939a5753cc77&amp;FolderCTID=0x0120001BD1B7A29D5EA04EB7553F36EEAEE8D2" TargetMode="External"/><Relationship Id="rId254" Type="http://schemas.openxmlformats.org/officeDocument/2006/relationships/hyperlink" Target="https://artechnologie13.sharepoint.com/sites/Bureaud'tudeAR-TECHNOLOGIE/DOSSIER%20POI/Forms/AllItems.aspx?id=%2Fsites%2FBureaud%27tudeAR%2DTECHNOLOGIE%2FDOSSIER%20POI%2FMEN%2FNIM500735&amp;sortField=Modified&amp;isAscending=false&amp;viewid=ba243776%2Df837%2D4ace%2D8ee9%2D939a5753cc77&amp;csf=1&amp;web=1&amp;e=xJSWPp&amp;CID=834583a6%2D0b09%2D4127%2D93b5%2Dc71f4baa33f8&amp;FolderCTID=0x0120001BD1B7A29D5EA04EB7553F36EEAEE8D2" TargetMode="External"/><Relationship Id="rId28" Type="http://schemas.openxmlformats.org/officeDocument/2006/relationships/hyperlink" Target="https://artechnologie13.sharepoint.com/sites/Bureaud%27tudeAR-TECHNOLOGIE/DOSSIER%20POI/Forms/AllItems.aspx?id=%2Fsites%2FBureaud%27tudeAR%2DTECHNOLOGIE%2FDOSSIER%20POI%2FROD%2FROD500862&amp;sortField=Modified&amp;isAscending=false&amp;viewid=ba243776%2Df837%2D4ace%2D8ee9%2D939a5753cc77" TargetMode="External"/><Relationship Id="rId49" Type="http://schemas.openxmlformats.org/officeDocument/2006/relationships/hyperlink" Target="https://artechnologie13.sharepoint.com/sites/Bureaud'tudeAR-TECHNOLOGIE/DOSSIER%20POI/Forms/AllItems.aspx?id=%2Fsites%2FBureaud%27tudeAR%2DTECHNOLOGIE%2FDOSSIER%20POI%2FROD%2FROD500627&amp;sortField=Modified&amp;isAscending=false&amp;viewid=ba243776%2Df837%2D4ace%2D8ee9%2D939a5753cc77&amp;view=7" TargetMode="External"/><Relationship Id="rId114" Type="http://schemas.openxmlformats.org/officeDocument/2006/relationships/hyperlink" Target="https://artechnologie13.sharepoint.com/sites/Bureaud'tudeAR-TECHNOLOGIE/DOSSIER%20POI/Forms/AllItems.aspx?id=%2Fsites%2FBureaud%27tudeAR%2DTECHNOLOGIE%2FDOSSIER%20POI%2FROD%2FROD501831&amp;sortField=Modified&amp;isAscending=false&amp;viewid=ba243776%2Df837%2D4ace%2D8ee9%2D939a5753cc77" TargetMode="External"/><Relationship Id="rId275"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MEN%2FMEN500269&amp;viewid=ba243776%2Df837%2D4ace%2D8ee9%2D939a5753cc77" TargetMode="External"/><Relationship Id="rId296" Type="http://schemas.openxmlformats.org/officeDocument/2006/relationships/hyperlink" Target="https://artechnologie13.sharepoint.com/sites/Bureaud%27tudeAR-TECHNOLOGIE/DOSSIER%20POI/Forms/AllItems.aspx?id=%2Fsites%2FBureaud%27tudeAR%2DTECHNOLOGIE%2FDOSSIER%20POI%2FMEN%2FMEN500126&amp;viewid=ba243776%2Df837%2D4ace%2D8ee9%2D939a5753cc77&amp;view=7&amp;csf=1&amp;web=1&amp;e=xJSWPp&amp;CID=834583a6%2D0b09%2D4127%2D93b5%2Dc71f4baa33f8&amp;FolderCTID=0x0120001BD1B7A29D5EA04EB7553F36EEAEE8D2" TargetMode="External"/><Relationship Id="rId300"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EN%2FMEN500127" TargetMode="External"/><Relationship Id="rId60" Type="http://schemas.openxmlformats.org/officeDocument/2006/relationships/hyperlink" Target="https://artechnologie13.sharepoint.com/sites/Bureaud'tudeAR-TECHNOLOGIE/DOSSIER%20POI/Forms/AllItems.aspx?id=%2Fsites%2FBureaud%27tudeAR%2DTECHNOLOGIE%2FDOSSIER%20POI%2FROD%2FROD501348&amp;sortField=Modified&amp;isAscending=false&amp;viewid=ba243776%2Df837%2D4ace%2D8ee9%2D939a5753cc77&amp;csf=1&amp;web=1&amp;e=m0NFE2&amp;CID=c26ff311%2D2481%2D4e6e%2D9ec1%2D1d2e7a68be3e&amp;FolderCTID=0x0120001BD1B7A29D5EA04EB7553F36EEAEE8D2" TargetMode="External"/><Relationship Id="rId81" Type="http://schemas.openxmlformats.org/officeDocument/2006/relationships/hyperlink" Target="https://artechnologie13.sharepoint.com/sites/Bureaud'tudeAR-TECHNOLOGIE/DOSSIER%20POI/Forms/AllItems.aspx?id=%2Fsites%2FBureaud%27tudeAR%2DTECHNOLOGIE%2FDOSSIER%20POI%2FROD%2FROD501153&amp;sortField=LinkFilename&amp;isAscending=false&amp;viewid=ba243776%2Df837%2D4ace%2D8ee9%2D939a5753cc77&amp;csf=1&amp;web=1&amp;e=wXAjoh&amp;CID=033b4116%2D656c%2D4ff3%2Da705%2D325ecfa46a89&amp;FolderCTID=0x0120001BD1B7A29D5EA04EB7553F36EEAEE8D2" TargetMode="External"/><Relationship Id="rId135" Type="http://schemas.openxmlformats.org/officeDocument/2006/relationships/hyperlink" Target="https://artechnologie13.sharepoint.com/sites/Bureaud'tudeAR-TECHNOLOGIE/DOSSIER%20POI/Forms/AllItems.aspx?id=%2Fsites%2FBureaud%27tudeAR%2DTECHNOLOGIE%2FDOSSIER%20POI%2FROD%2FROD501601&amp;sortField=Modified&amp;isAscending=false&amp;viewid=ba243776%2Df837%2D4ace%2D8ee9%2D939a5753cc77&amp;csf=1&amp;web=1&amp;e=gs979d&amp;CID=62f44cec%2D22a3%2D45af%2D97cb%2D96c2f484fdb6&amp;FolderCTID=0x0120001BD1B7A29D5EA04EB7553F36EEAEE8D2&amp;view=7" TargetMode="External"/><Relationship Id="rId156" Type="http://schemas.openxmlformats.org/officeDocument/2006/relationships/hyperlink" Target="https://artechnologie13.sharepoint.com/sites/Bureaud'tudeAR-TECHNOLOGIE/DOSSIER%20POI/Forms/AllItems.aspx?id=%2Fsites%2FBureaud%27tudeAR%2DTECHNOLOGIE%2FDOSSIER%20POI%2FROD%2FROD500818&amp;viewid=ba243776%2Df837%2D4ace%2D8ee9%2D939a5753cc77&amp;newTargetListUrl=%2Fsites%2FBureaud%27tudeAR%2DTECHNOLOGIE%2FDOSSIER%20POI&amp;viewpath=%2Fsites%2FBureaud%27tudeAR%2DTECHNOLOGIE%2FDOSSIER%20POI%2FForms%2FAllItems%2Easpx&amp;view=7" TargetMode="External"/><Relationship Id="rId177" Type="http://schemas.openxmlformats.org/officeDocument/2006/relationships/hyperlink" Target="https://artechnologie13.sharepoint.com/sites/Bureaud'tudeAR-TECHNOLOGIE/DOSSIER%20POI/Forms/AllItems.aspx?id=%2Fsites%2FBureaud%27tudeAR%2DTECHNOLOGIE%2FDOSSIER%20POI%2FROD%2FROD501437&amp;sortField=Modified&amp;isAscending=false&amp;viewid=ba243776%2Df837%2D4ace%2D8ee9%2D939a5753cc77&amp;csf=1&amp;web=1&amp;e=ywV4ci&amp;CID=8a368264%2D6d13%2D449a%2D9bb4%2Dd27682d10b0a&amp;FolderCTID=0x0120001BD1B7A29D5EA04EB7553F36EEAEE8D2" TargetMode="External"/><Relationship Id="rId198" Type="http://schemas.openxmlformats.org/officeDocument/2006/relationships/hyperlink" Target="https://artechnologie13.sharepoint.com/sites/Bureaud'tudeAR-TECHNOLOGIE/DOSSIER%20POI/Forms/AllItems.aspx?id=%2Fsites%2FBureaud%27tudeAR%2DTECHNOLOGIE%2FDOSSIER%20POI%2FROD%2FROD600224&amp;sortField=Modified&amp;isAscending=false&amp;viewid=ba243776%2Df837%2D4ace%2D8ee9%2D939a5753cc77&amp;csf=1&amp;CID=028de158%2Dd4dc%2D48b6%2D89c4%2Ddb1f4163a833&amp;FolderCTID=0x0120001BD1B7A29D5EA04EB7553F36EEAEE8D2" TargetMode="External"/><Relationship Id="rId321" Type="http://schemas.openxmlformats.org/officeDocument/2006/relationships/hyperlink" Target="https://artechnologie13.sharepoint.com/sites/Bureaud'tudeAR-TECHNOLOGIE/DOSSIER%20POI/Forms/AllItems.aspx?id=%2Fsites%2FBureaud%27tudeAR%2DTECHNOLOGIE%2FDOSSIER%20POI%2FMEN%2FMEN500719%20%2B%20MEN500714&amp;sortField=Modified&amp;isAscending=false&amp;viewid=ba243776%2Df837%2D4ace%2D8ee9%2D939a5753cc77&amp;csf=1&amp;web=1&amp;e=xJSWPp&amp;CID=834583a6%2D0b09%2D4127%2D93b5%2Dc71f4baa33f8&amp;FolderCTID=0x0120001BD1B7A29D5EA04EB7553F36EEAEE8D2" TargetMode="External"/><Relationship Id="rId342" Type="http://schemas.microsoft.com/office/2017/10/relationships/threadedComment" Target="../threadedComments/threadedComment1.xml"/><Relationship Id="rId202" Type="http://schemas.openxmlformats.org/officeDocument/2006/relationships/hyperlink" Target="https://artechnologie13.sharepoint.com/sites/Bureaud'tudeAR-TECHNOLOGIE/DOSSIER%20POI/Forms/AllItems.aspx?id=%2Fsites%2FBureaud%27tudeAR%2DTECHNOLOGIE%2FDOSSIER%20POI%2FROD%2FROD600042&amp;sortField=Modified&amp;isAscending=false&amp;viewid=ba243776%2Df837%2D4ace%2D8ee9%2D939a5753cc77&amp;csf=1&amp;CID=028de158%2Dd4dc%2D48b6%2D89c4%2Ddb1f4163a833&amp;FolderCTID=0x0120001BD1B7A29D5EA04EB7553F36EEAEE8D2" TargetMode="External"/><Relationship Id="rId223" Type="http://schemas.openxmlformats.org/officeDocument/2006/relationships/hyperlink" Target="https://artechnologie13.sharepoint.com/:f:/r/sites/Bureaud%27tudeAR-TECHNOLOGIE/DOSSIER%20POI/MEN/MEN500261?csf=1&amp;web=1&amp;e=DsFnN2" TargetMode="External"/><Relationship Id="rId244" Type="http://schemas.openxmlformats.org/officeDocument/2006/relationships/hyperlink" Target="https://artechnologie13.sharepoint.com/sites/Bureaud'tudeAR-TECHNOLOGIE/DOSSIER%20POI/Forms/AllItems.aspx?id=%2Fsites%2FBureaud%27tudeAR%2DTECHNOLOGIE%2FDOSSIER%20POI%2FMEN%2FMEN500407&amp;viewid=ba243776%2Df837%2D4ace%2D8ee9%2D939a5753cc77&amp;FolderCTID=0x0120001BD1B7A29D5EA04EB7553F36EEAEE8D2&amp;view=7" TargetMode="External"/><Relationship Id="rId18" Type="http://schemas.openxmlformats.org/officeDocument/2006/relationships/hyperlink" Target="https://artechnologie13.sharepoint.com/:f:/r/sites/Bureaud%27tudeAR-TECHNOLOGIE/DOSSIER%20POI/ROD/ROD500499?csf=1&amp;web=1&amp;e=Vcnjo9" TargetMode="External"/><Relationship Id="rId39" Type="http://schemas.openxmlformats.org/officeDocument/2006/relationships/hyperlink" Target="https://artechnologie13.sharepoint.com/sites/Bureaud'tudeAR-TECHNOLOGIE/DOSSIER%20POI/Forms/AllItems.aspx?id=%2Fsites%2FBureaud%27tudeAR%2DTECHNOLOGIE%2FDOSSIER%20POI%2FROD%2FROD501099&amp;sortField=Modified&amp;isAscending=false&amp;viewid=ba243776%2Df837%2D4ace%2D8ee9%2D939a5753cc77&amp;csf=1&amp;web=1&amp;e=kGBMXs&amp;CID=99ecfc67%2D50d1%2D470b%2Db438%2D40c98d69e2e2&amp;FolderCTID=0x0120001BD1B7A29D5EA04EB7553F36EEAEE8D2" TargetMode="External"/><Relationship Id="rId265"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MEN%2FMEN500177&amp;viewid=ba243776%2Df837%2D4ace%2D8ee9%2D939a5753cc77" TargetMode="External"/><Relationship Id="rId286" Type="http://schemas.openxmlformats.org/officeDocument/2006/relationships/hyperlink" Target="https://artechnologie13.sharepoint.com/:f:/r/sites/Bureaud%27tudeAR-TECHNOLOGIE/DOSSIER%20POI/MEN/MEN500422?csf=1&amp;web=1&amp;e=hnYYF3" TargetMode="External"/><Relationship Id="rId50" Type="http://schemas.openxmlformats.org/officeDocument/2006/relationships/hyperlink" Target="https://artechnologie13.sharepoint.com/sites/Bureaud'tudeAR-TECHNOLOGIE/DOSSIER%20POI/Forms/AllItems.aspx?id=%2Fsites%2FBureaud%27tudeAR%2DTECHNOLOGIE%2FDOSSIER%20POI%2FROD%2FROD500519&amp;sortField=Modified&amp;isAscending=false&amp;viewid=ba243776%2Df837%2D4ace%2D8ee9%2D939a5753cc77&amp;FolderCTID=0x0120001BD1B7A29D5EA04EB7553F36EEAEE8D2" TargetMode="External"/><Relationship Id="rId104" Type="http://schemas.openxmlformats.org/officeDocument/2006/relationships/hyperlink" Target="https://artechnologie13.sharepoint.com/sites/Bureaud'tudeAR-TECHNOLOGIE/DOSSIER%20POI/Forms/AllItems.aspx?id=%2Fsites%2FBureaud%27tudeAR%2DTECHNOLOGIE%2FDOSSIER%20POI%2FROD%2FROD501764&amp;sortField=Modified&amp;isAscending=false&amp;viewid=ba243776%2Df837%2D4ace%2D8ee9%2D939a5753cc77&amp;csf=1&amp;web=1&amp;e=gs979d&amp;CID=62f44cec%2D22a3%2D45af%2D97cb%2D96c2f484fdb6&amp;FolderCTID=0x0120001BD1B7A29D5EA04EB7553F36EEAEE8D2" TargetMode="External"/><Relationship Id="rId125" Type="http://schemas.openxmlformats.org/officeDocument/2006/relationships/hyperlink" Target="https://artechnologie13.sharepoint.com/sites/Bureaud'tudeAR-TECHNOLOGIE/DOSSIER%20POI/Forms/AllItems.aspx?id=%2Fsites%2FBureaud%27tudeAR%2DTECHNOLOGIE%2FDOSSIER%20POI%2FROD%2FROD501917&amp;sortField=Modified&amp;isAscending=false&amp;viewid=ba243776%2Df837%2D4ace%2D8ee9%2D939a5753cc77" TargetMode="External"/><Relationship Id="rId146" Type="http://schemas.openxmlformats.org/officeDocument/2006/relationships/hyperlink" Target="https://artechnologie13.sharepoint.com/sites/Bureaud'tudeAR-TECHNOLOGIE/DOSSIER%20POI/Forms/AllItems.aspx?id=%2Fsites%2FBureaud%27tudeAR%2DTECHNOLOGIE%2FDOSSIER%20POI%2FROD%2FROD501040&amp;sortField=Modified&amp;isAscending=false&amp;viewid=ba243776%2Df837%2D4ace%2D8ee9%2D939a5753cc77&amp;view=7" TargetMode="External"/><Relationship Id="rId167" Type="http://schemas.openxmlformats.org/officeDocument/2006/relationships/hyperlink" Target="https://artechnologie13.sharepoint.com/sites/Bureaud'tudeAR-TECHNOLOGIE/DOSSIER%20POI/Forms/AllItems.aspx?id=%2Fsites%2FBureaud%27tudeAR%2DTECHNOLOGIE%2FDOSSIER%20POI%2FROD%2FROD600020&amp;sortField=Modified&amp;isAscending=false&amp;viewid=ba243776%2Df837%2D4ace%2D8ee9%2D939a5753cc77" TargetMode="External"/><Relationship Id="rId188" Type="http://schemas.openxmlformats.org/officeDocument/2006/relationships/hyperlink" Target="https://artechnologie13.sharepoint.com/sites/Bureaud'tudeAR-TECHNOLOGIE/DOSSIER%20POI/Forms/AllItems.aspx?id=%2Fsites%2FBureaud%27tudeAR%2DTECHNOLOGIE%2FDOSSIER%20POI%2FROD%2FROD600161&amp;sortField=Modified&amp;isAscending=false&amp;viewid=ba243776%2Df837%2D4ace%2D8ee9%2D939a5753cc77&amp;csf=1&amp;CID=028de158%2Dd4dc%2D48b6%2D89c4%2Ddb1f4163a833&amp;FolderCTID=0x0120001BD1B7A29D5EA04EB7553F36EEAEE8D2" TargetMode="External"/><Relationship Id="rId311" Type="http://schemas.openxmlformats.org/officeDocument/2006/relationships/hyperlink" Target="https://artechnologie13.sharepoint.com/sites/Bureaud'tudeAR-TECHNOLOGIE/DOSSIER%20POI/Forms/AllItems.aspx?id=%2Fsites%2FBureaud%27tudeAR%2DTECHNOLOGIE%2FDOSSIER%20POI%2FMEN%2FMEN400595&amp;sortField=Modified&amp;isAscending=false&amp;viewid=ba243776%2Df837%2D4ace%2D8ee9%2D939a5753cc77&amp;csf=1&amp;web=1&amp;e=xJSWPp&amp;CID=834583a6%2D0b09%2D4127%2D93b5%2Dc71f4baa33f8&amp;FolderCTID=0x0120001BD1B7A29D5EA04EB7553F36EEAEE8D2&amp;view=7" TargetMode="External"/><Relationship Id="rId332" Type="http://schemas.openxmlformats.org/officeDocument/2006/relationships/hyperlink" Target="https://artechnologie13.sharepoint.com/sites/Bureaud'tudeAR-TECHNOLOGIE/DOSSIER%20POI/Forms/AllItems.aspx?id=%2Fsites%2FBureaud%27tudeAR%2DTECHNOLOGIE%2FDOSSIER%20POI%2FMEN%2FMEN600053&amp;sortField=Modified&amp;isAscending=false&amp;viewid=ba243776%2Df837%2D4ace%2D8ee9%2D939a5753cc77&amp;FolderCTID=0x0120001BD1B7A29D5EA04EB7553F36EEAEE8D2" TargetMode="External"/><Relationship Id="rId71" Type="http://schemas.openxmlformats.org/officeDocument/2006/relationships/hyperlink" Target="https://artechnologie13.sharepoint.com/sites/Bureaud'tudeAR-TECHNOLOGIE/DOSSIER%20POI/Forms/AllItems.aspx?id=%2Fsites%2FBureaud%27tudeAR%2DTECHNOLOGIE%2FDOSSIER%20POI%2FROD%2FROD501365&amp;sortField=Modified&amp;isAscending=false&amp;viewid=ba243776%2Df837%2D4ace%2D8ee9%2D939a5753cc77&amp;csf=1&amp;web=1&amp;e=ywV4ci&amp;CID=8a368264%2D6d13%2D449a%2D9bb4%2Dd27682d10b0a&amp;FolderCTID=0x0120001BD1B7A29D5EA04EB7553F36EEAEE8D2" TargetMode="External"/><Relationship Id="rId92" Type="http://schemas.openxmlformats.org/officeDocument/2006/relationships/hyperlink" Target="https://artechnologie13.sharepoint.com/sites/Bureaud'tudeAR-TECHNOLOGIE/DOSSIER%20POI/Forms/AllItems.aspx?id=%2Fsites%2FBureaud%27tudeAR%2DTECHNOLOGIE%2FDOSSIER%20POI%2FROD%2FROD501681&amp;sortField=Modified&amp;isAscending=false&amp;viewid=ba243776%2Df837%2D4ace%2D8ee9%2D939a5753cc77&amp;csf=1&amp;web=1&amp;e=gs979d&amp;CID=62f44cec%2D22a3%2D45af%2D97cb%2D96c2f484fdb6&amp;FolderCTID=0x0120001BD1B7A29D5EA04EB7553F36EEAEE8D2" TargetMode="External"/><Relationship Id="rId213" Type="http://schemas.openxmlformats.org/officeDocument/2006/relationships/hyperlink" Target="https://artechnologie13.sharepoint.com/sites/Bureaud'tudeAR-TECHNOLOGIE/DOSSIER%20POI/Forms/AllItems.aspx?id=%2Fsites%2FBureaud%27tudeAR%2DTECHNOLOGIE%2FDOSSIER%20POI%2FROD%2FROD600169&amp;sortField=Modified&amp;isAscending=false&amp;viewid=ba243776%2Df837%2D4ace%2D8ee9%2D939a5753cc77&amp;csf=1&amp;CID=028de158%2Dd4dc%2D48b6%2D89c4%2Ddb1f4163a833&amp;FolderCTID=0x0120001BD1B7A29D5EA04EB7553F36EEAEE8D2" TargetMode="External"/><Relationship Id="rId234" Type="http://schemas.openxmlformats.org/officeDocument/2006/relationships/hyperlink" Target="https://artechnologie13.sharepoint.com/sites/Bureaud'tudeAR-TECHNOLOGIE/DOSSIER%20POI/Forms/AllItems.aspx?id=%2Fsites%2FBureaud%27tudeAR%2DTECHNOLOGIE%2FDOSSIER%20POI%2FMEN%2FMEN400779&amp;viewid=ba243776%2Df837%2D4ace%2D8ee9%2D939a5753cc77&amp;FolderCTID=0x0120001BD1B7A29D5EA04EB7553F36EEAEE8D2" TargetMode="External"/><Relationship Id="rId2" Type="http://schemas.openxmlformats.org/officeDocument/2006/relationships/hyperlink" Target="https://artechnologie13.sharepoint.com/sites/Bureaud'tudeAR-TECHNOLOGIE/DOSSIER%20POI/Forms/AllItems.aspx?isAscending=false&amp;id=%2Fsites%2FBureaud%27tudeAR%2DTECHNOLOGIE%2FDOSSIER%20POI%2FROD%2FROD500525&amp;sortField=LinkFilename&amp;viewid=ba243776%2Df837%2D4ace%2D8ee9%2D939a5753cc77" TargetMode="External"/><Relationship Id="rId29"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ROD%2FROD500423&amp;viewid=ba243776%2Df837%2D4ace%2D8ee9%2D939a5753cc77" TargetMode="External"/><Relationship Id="rId255" Type="http://schemas.openxmlformats.org/officeDocument/2006/relationships/hyperlink" Target="https://artechnologie13.sharepoint.com/sites/Bureaud'tudeAR-TECHNOLOGIE/DOSSIER%20POI/Forms/AllItems.aspx?id=%2Fsites%2FBureaud%27tudeAR%2DTECHNOLOGIE%2FDOSSIER%20POI%2FMEN%2FMEN600005&amp;sortField=Modified&amp;isAscending=false&amp;viewid=ba243776%2Df837%2D4ace%2D8ee9%2D939a5753cc77&amp;csf=1&amp;web=1&amp;e=xJSWPp&amp;CID=834583a6%2D0b09%2D4127%2D93b5%2Dc71f4baa33f8&amp;FolderCTID=0x0120001BD1B7A29D5EA04EB7553F36EEAEE8D2" TargetMode="External"/><Relationship Id="rId276" Type="http://schemas.openxmlformats.org/officeDocument/2006/relationships/hyperlink" Target="https://artechnologie13.sharepoint.com/:f:/r/sites/Bureaud%27tudeAR-TECHNOLOGIE/DOSSIER%20POI/MEN/MEN500284?csf=1&amp;web=1&amp;e=iIUZD6" TargetMode="External"/><Relationship Id="rId297"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EN%2FMEN300571" TargetMode="External"/><Relationship Id="rId40" Type="http://schemas.openxmlformats.org/officeDocument/2006/relationships/hyperlink" Target="https://artechnologie13.sharepoint.com/sites/Bureaud'tudeAR-TECHNOLOGIE/DOSSIER%20POI/Forms/AllItems.aspx?id=%2Fsites%2FBureaud%27tudeAR%2DTECHNOLOGIE%2FDOSSIER%20POI%2FROD%2FROD501101&amp;sortField=Modified&amp;isAscending=false&amp;viewid=ba243776%2Df837%2D4ace%2D8ee9%2D939a5753cc77&amp;csf=1&amp;web=1&amp;e=kGBMXs&amp;CID=99ecfc67%2D50d1%2D470b%2Db438%2D40c98d69e2e2&amp;FolderCTID=0x0120001BD1B7A29D5EA04EB7553F36EEAEE8D2" TargetMode="External"/><Relationship Id="rId115" Type="http://schemas.openxmlformats.org/officeDocument/2006/relationships/hyperlink" Target="https://artechnologie13.sharepoint.com/sites/Bureaud'tudeAR-TECHNOLOGIE/DOSSIER%20POI/Forms/AllItems.aspx?id=%2Fsites%2FBureaud%27tudeAR%2DTECHNOLOGIE%2FDOSSIER%20POI%2FROD%2FROD501843&amp;sortField=Modified&amp;isAscending=false&amp;viewid=ba243776%2Df837%2D4ace%2D8ee9%2D939a5753cc77&amp;csf=1&amp;web=1&amp;e=bhBmpo&amp;CID=bc290411%2D21bc%2D446d%2D8183%2D28ba3580e5a1&amp;FolderCTID=0x0120001BD1B7A29D5EA04EB7553F36EEAEE8D2" TargetMode="External"/><Relationship Id="rId136" Type="http://schemas.openxmlformats.org/officeDocument/2006/relationships/hyperlink" Target="https://artechnologie13.sharepoint.com/:f:/r/sites/Bureaud%27tudeAR-TECHNOLOGIE/DOSSIER%20POI/ROD/ROD500290?csf=1&amp;web=1&amp;e=zmbpT4" TargetMode="External"/><Relationship Id="rId157" Type="http://schemas.openxmlformats.org/officeDocument/2006/relationships/hyperlink" Target="https://artechnologie13.sharepoint.com/sites/Bureaud'tudeAR-TECHNOLOGIE/DOSSIER%20POI/Forms/AllItems.aspx?id=%2Fsites%2FBureaud%27tudeAR%2DTECHNOLOGIE%2FDOSSIER%20POI%2FROD%2FROD502129&amp;sortField=Modified&amp;isAscending=false&amp;viewid=ba243776%2Df837%2D4ace%2D8ee9%2D939a5753cc77" TargetMode="External"/><Relationship Id="rId178" Type="http://schemas.openxmlformats.org/officeDocument/2006/relationships/hyperlink" Target="https://artechnologie13.sharepoint.com/sites/Bureaud'tudeAR-TECHNOLOGIE/DOSSIER%20POI/Forms/AllItems.aspx?id=%2Fsites%2FBureaud%27tudeAR%2DTECHNOLOGIE%2FDOSSIER%20POI%2FROD%2FROD600112&amp;sortField=Modified&amp;isAscending=false&amp;viewid=ba243776%2Df837%2D4ace%2D8ee9%2D939a5753cc77&amp;csf=1&amp;CID=028de158%2Dd4dc%2D48b6%2D89c4%2Ddb1f4163a833&amp;FolderCTID=0x0120001BD1B7A29D5EA04EB7553F36EEAEE8D2" TargetMode="External"/><Relationship Id="rId301" Type="http://schemas.openxmlformats.org/officeDocument/2006/relationships/hyperlink" Target="https://artechnologie13.sharepoint.com/sites/Bureaud'tudeAR-TECHNOLOGIE/DOSSIER%20POI/Forms/AllItems.aspx?id=%2Fsites%2FBureaud%27tudeAR%2DTECHNOLOGIE%2FDOSSIER%20POI%2FMEN%2FMEN500641&amp;sortField=Modified&amp;isAscending=false&amp;viewid=ba243776%2Df837%2D4ace%2D8ee9%2D939a5753cc77&amp;FolderCTID=0x0120001BD1B7A29D5EA04EB7553F36EEAEE8D2" TargetMode="External"/><Relationship Id="rId322" Type="http://schemas.openxmlformats.org/officeDocument/2006/relationships/hyperlink" Target="https://artechnologie13.sharepoint.com/sites/Bureaud'tudeAR-TECHNOLOGIE/DOSSIER%20POI/Forms/AllItems.aspx?id=%2Fsites%2FBureaud%27tudeAR%2DTECHNOLOGIE%2FDOSSIER%20POI%2FMEN%2FMEN600007&amp;sortField=Modified&amp;isAscending=false&amp;viewid=ba243776%2Df837%2D4ace%2D8ee9%2D939a5753cc77&amp;csf=1&amp;web=1&amp;e=xJSWPp&amp;CID=834583a6%2D0b09%2D4127%2D93b5%2Dc71f4baa33f8&amp;FolderCTID=0x0120001BD1B7A29D5EA04EB7553F36EEAEE8D2" TargetMode="External"/><Relationship Id="rId343" Type="http://schemas.microsoft.com/office/2019/04/relationships/namedSheetView" Target="../namedSheetViews/namedSheetView1.xml"/><Relationship Id="rId61" Type="http://schemas.openxmlformats.org/officeDocument/2006/relationships/hyperlink" Target="https://artechnologie13.sharepoint.com/:f:/r/sites/Bureaud%27tudeAR-TECHNOLOGIE/DOSSIER%20POI/ROD/ROD501346?csf=1&amp;web=1&amp;e=ywV4ci" TargetMode="External"/><Relationship Id="rId82" Type="http://schemas.openxmlformats.org/officeDocument/2006/relationships/hyperlink" Target="https://artechnologie13.sharepoint.com/:f:/r/sites/Bureaud%27tudeAR-TECHNOLOGIE/DOSSIER%20POI/ROD/ROD500525?csf=1&amp;web=1&amp;e=HA2mxl" TargetMode="External"/><Relationship Id="rId199" Type="http://schemas.openxmlformats.org/officeDocument/2006/relationships/hyperlink" Target="https://artechnologie13.sharepoint.com/sites/Bureaud'tudeAR-TECHNOLOGIE/DOSSIER%20POI/Forms/AllItems.aspx?id=%2Fsites%2FBureaud%27tudeAR%2DTECHNOLOGIE%2FDOSSIER%20POI%2FROD%2FROD600249&amp;sortField=Modified&amp;isAscending=false&amp;viewid=ba243776%2Df837%2D4ace%2D8ee9%2D939a5753cc77&amp;csf=1&amp;CID=028de158%2Dd4dc%2D48b6%2D89c4%2Ddb1f4163a833&amp;FolderCTID=0x0120001BD1B7A29D5EA04EB7553F36EEAEE8D2" TargetMode="External"/><Relationship Id="rId203" Type="http://schemas.openxmlformats.org/officeDocument/2006/relationships/hyperlink" Target="https://artechnologie13.sharepoint.com/sites/Bureaud'tudeAR-TECHNOLOGIE/DOSSIER%20POI/Forms/AllItems.aspx?id=%2Fsites%2FBureaud%27tudeAR%2DTECHNOLOGIE%2FDOSSIER%20POI%2FROD%2FROD600265&amp;sortField=Modified&amp;isAscending=false&amp;viewid=ba243776%2Df837%2D4ace%2D8ee9%2D939a5753cc77&amp;csf=1&amp;CID=028de158%2Dd4dc%2D48b6%2D89c4%2Ddb1f4163a833&amp;FolderCTID=0x0120001BD1B7A29D5EA04EB7553F36EEAEE8D2" TargetMode="External"/><Relationship Id="rId19" Type="http://schemas.openxmlformats.org/officeDocument/2006/relationships/hyperlink" Target="https://artechnologie13.sharepoint.com/sites/Bureaud'tudeAR-TECHNOLOGIE/DOSSIER%20POI/Forms/AllItems.aspx?id=%2Fsites%2FBureaud%27tudeAR%2DTECHNOLOGIE%2FDOSSIER%20POI%2FROD%2FROD500727&amp;sortField=Editor&amp;isAscending=false&amp;viewid=ba243776%2Df837%2D4ace%2D8ee9%2D939a5753cc77&amp;csf=1&amp;web=1&amp;e=xUPcuK&amp;CID=e382a5b9%2D168f%2D4447%2D9601%2D78fc7bfb7038&amp;FolderCTID=0x0120001BD1B7A29D5EA04EB7553F36EEAEE8D2" TargetMode="External"/><Relationship Id="rId224" Type="http://schemas.openxmlformats.org/officeDocument/2006/relationships/hyperlink" Target="https://artechnologie13.sharepoint.com/sites/Bureaud'tudeAR-TECHNOLOGIE/DOSSIER%20POI/Forms/AllItems.aspx?id=%2Fsites%2FBureaud%27tudeAR%2DTECHNOLOGIE%2FDOSSIER%20POI%2FMEN%2FMEN500224%2DMEN500262&amp;viewid=ba243776%2Df837%2D4ace%2D8ee9%2D939a5753cc77&amp;csf=1&amp;web=1&amp;e=YMIrYI&amp;CID=297fc69a%2D0c4b%2D40a0%2Dbf70%2Da13ce063300b&amp;FolderCTID=0x0120001BD1B7A29D5EA04EB7553F36EEAEE8D2" TargetMode="External"/><Relationship Id="rId245" Type="http://schemas.openxmlformats.org/officeDocument/2006/relationships/hyperlink" Target="https://artechnologie13.sharepoint.com/sites/Bureaud'tudeAR-TECHNOLOGIE/DOSSIER%20POI/Forms/AllItems.aspx?id=%2Fsites%2FBureaud%27tudeAR%2DTECHNOLOGIE%2FDOSSIER%20POI%2FMEN%2FMEN500648&amp;sortField=Modified&amp;isAscending=false&amp;viewid=ba243776%2Df837%2D4ace%2D8ee9%2D939a5753cc77" TargetMode="External"/><Relationship Id="rId266" Type="http://schemas.openxmlformats.org/officeDocument/2006/relationships/hyperlink" Target="https://artechnologie13.sharepoint.com/sites/Bureaud'tudeAR-TECHNOLOGIE/DOSSIER%20POI/Forms/AllItems.aspx?csf=1&amp;web=1&amp;e=EOmmI7&amp;CID=9baba9e2%2D6916%2D4517%2D93cc%2D1caf0f15f037&amp;FolderCTID=0x0120001BD1B7A29D5EA04EB7553F36EEAEE8D2&amp;isAscending=false&amp;id=%2Fsites%2FBureaud%27tudeAR%2DTECHNOLOGIE%2FDOSSIER%20POI%2FMEN%2FMEN500191&amp;sortField=LinkFilename&amp;viewid=ba243776%2Df837%2D4ace%2D8ee9%2D939a5753cc77" TargetMode="External"/><Relationship Id="rId287" Type="http://schemas.openxmlformats.org/officeDocument/2006/relationships/hyperlink" Target="https://artechnologie13.sharepoint.com/sites/Bureaud'tudeAR-TECHNOLOGIE/DOSSIER%20POI/Forms/AllItems.aspx?id=%2Fsites%2FBureaud%27tudeAR%2DTECHNOLOGIE%2FDOSSIER%20POI%2FMEN%2FMEN400033&amp;sortField=Modified&amp;isAscending=false&amp;viewid=ba243776%2Df837%2D4ace%2D8ee9%2D939a5753cc77&amp;FolderCTID=0x0120001BD1B7A29D5EA04EB7553F36EEAEE8D2" TargetMode="External"/><Relationship Id="rId30" Type="http://schemas.openxmlformats.org/officeDocument/2006/relationships/hyperlink" Target="https://artechnologie13.sharepoint.com/sites/Bureaud'tudeAR-TECHNOLOGIE/DOSSIER%20POI/Forms/AllItems.aspx?id=%2Fsites%2FBureaud%27tudeAR%2DTECHNOLOGIE%2FDOSSIER%20POI%2FROD%2FROD500004&amp;viewid=ba243776%2Df837%2D4ace%2D8ee9%2D939a5753cc77" TargetMode="External"/><Relationship Id="rId105" Type="http://schemas.openxmlformats.org/officeDocument/2006/relationships/hyperlink" Target="https://artechnologie13.sharepoint.com/sites/Bureaud'tudeAR-TECHNOLOGIE/DOSSIER%20POI/Forms/AllItems.aspx?id=%2Fsites%2FBureaud%27tudeAR%2DTECHNOLOGIE%2FDOSSIER%20POI%2FROD%2FROD501766&amp;sortField=Modified&amp;isAscending=false&amp;viewid=ba243776%2Df837%2D4ace%2D8ee9%2D939a5753cc77&amp;csf=1&amp;web=1&amp;e=gs979d&amp;CID=62f44cec%2D22a3%2D45af%2D97cb%2D96c2f484fdb6&amp;FolderCTID=0x0120001BD1B7A29D5EA04EB7553F36EEAEE8D2" TargetMode="External"/><Relationship Id="rId126" Type="http://schemas.openxmlformats.org/officeDocument/2006/relationships/hyperlink" Target="https://artechnologie13.sharepoint.com/sites/Bureaud'tudeAR-TECHNOLOGIE/DOSSIER%20POI/Forms/AllItems.aspx?id=%2Fsites%2FBureaud%27tudeAR%2DTECHNOLOGIE%2FDOSSIER%20POI%2FROD%2FROD501926&amp;sortField=Modified&amp;isAscending=false&amp;viewid=ba243776%2Df837%2D4ace%2D8ee9%2D939a5753cc77" TargetMode="External"/><Relationship Id="rId147" Type="http://schemas.openxmlformats.org/officeDocument/2006/relationships/hyperlink" Target="https://artechnologie13.sharepoint.com/sites/Bureaud'tudeAR-TECHNOLOGIE/DOSSIER%20POI/Forms/AllItems.aspx?id=%2Fsites%2FBureaud%27tudeAR%2DTECHNOLOGIE%2FDOSSIER%20POI%2FROD%2FROD501973&amp;sortField=Modified&amp;isAscending=false&amp;viewid=ba243776%2Df837%2D4ace%2D8ee9%2D939a5753cc77" TargetMode="External"/><Relationship Id="rId168" Type="http://schemas.openxmlformats.org/officeDocument/2006/relationships/hyperlink" Target="https://artechnologie13.sharepoint.com/sites/Bureaud'tudeAR-TECHNOLOGIE/DOSSIER%20POI/Forms/AllItems.aspx?csf=1&amp;web=1&amp;e=YqRygV&amp;CID=e8567d74%2Dd725%2D4ab1%2D8f52%2D48f8b275189c&amp;FolderCTID=0x0120001BD1B7A29D5EA04EB7553F36EEAEE8D2&amp;id=%2Fsites%2FBureaud%27tudeAR%2DTECHNOLOGIE%2FDOSSIER%20POI%2FROD%2FROD500610" TargetMode="External"/><Relationship Id="rId312" Type="http://schemas.openxmlformats.org/officeDocument/2006/relationships/hyperlink" Target="https://artechnologie13.sharepoint.com/sites/Bureaud'tudeAR-TECHNOLOGIE/DOSSIER%20POI/Forms/AllItems.aspx?id=%2Fsites%2FBureaud%27tudeAR%2DTECHNOLOGIE%2FDOSSIER%20POI%2FMEN%2FMEN500707&amp;sortField=Modified&amp;isAscending=false&amp;viewid=ba243776%2Df837%2D4ace%2D8ee9%2D939a5753cc77&amp;csf=1&amp;web=1&amp;e=xJSWPp&amp;CID=834583a6%2D0b09%2D4127%2D93b5%2Dc71f4baa33f8&amp;FolderCTID=0x0120001BD1B7A29D5EA04EB7553F36EEAEE8D2" TargetMode="External"/><Relationship Id="rId333" Type="http://schemas.openxmlformats.org/officeDocument/2006/relationships/hyperlink" Target="https://artechnologie13.sharepoint.com/sites/Bureaud'tudeAR-TECHNOLOGIE/DOSSIER%20POI/Forms/AllItems.aspx?id=%2Fsites%2FBureaud%27tudeAR%2DTECHNOLOGIE%2FDOSSIER%20POI%2FMEN%2FMEN600058&amp;sortField=Modified&amp;isAscending=false&amp;viewid=ba243776%2Df837%2D4ace%2D8ee9%2D939a5753cc77&amp;FolderCTID=0x0120001BD1B7A29D5EA04EB7553F36EEAEE8D2" TargetMode="External"/><Relationship Id="rId51" Type="http://schemas.openxmlformats.org/officeDocument/2006/relationships/hyperlink" Target="https://artechnologie13.sharepoint.com/:f:/r/sites/Bureaud%27tudeAR-TECHNOLOGIE/DOSSIER%20POI/ROD/ROD500644?csf=1&amp;web=1&amp;e=4ajVgp" TargetMode="External"/><Relationship Id="rId72" Type="http://schemas.openxmlformats.org/officeDocument/2006/relationships/hyperlink" Target="https://artechnologie13.sharepoint.com/sites/Bureaud'tudeAR-TECHNOLOGIE/DOSSIER%20POI/Forms/AllItems.aspx?id=%2Fsites%2FBureaud%27tudeAR%2DTECHNOLOGIE%2FDOSSIER%20POI%2FROD%2FROD501323&amp;sortField=Modified&amp;isAscending=false&amp;viewid=ba243776%2Df837%2D4ace%2D8ee9%2D939a5753cc77&amp;csf=1&amp;web=1&amp;e=m0NFE2&amp;CID=c26ff311%2D2481%2D4e6e%2D9ec1%2D1d2e7a68be3e&amp;FolderCTID=0x0120001BD1B7A29D5EA04EB7553F36EEAEE8D2" TargetMode="External"/><Relationship Id="rId93" Type="http://schemas.openxmlformats.org/officeDocument/2006/relationships/hyperlink" Target="https://artechnologie13.sharepoint.com/sites/Bureaud'tudeAR-TECHNOLOGIE/DOSSIER%20POI/Forms/AllItems.aspx?id=%2Fsites%2FBureaud%27tudeAR%2DTECHNOLOGIE%2FDOSSIER%20POI%2FROD%2FROD501608&amp;sortField=Modified&amp;isAscending=false&amp;viewid=ba243776%2Df837%2D4ace%2D8ee9%2D939a5753cc77&amp;csf=1&amp;web=1&amp;e=gs979d&amp;CID=62f44cec%2D22a3%2D45af%2D97cb%2D96c2f484fdb6&amp;FolderCTID=0x0120001BD1B7A29D5EA04EB7553F36EEAEE8D2" TargetMode="External"/><Relationship Id="rId189" Type="http://schemas.openxmlformats.org/officeDocument/2006/relationships/hyperlink" Target="https://artechnologie13.sharepoint.com/sites/Bureaud'tudeAR-TECHNOLOGIE/DOSSIER%20POI/Forms/AllItems.aspx?id=%2Fsites%2FBureaud%27tudeAR%2DTECHNOLOGIE%2FDOSSIER%20POI%2FROD%2FROD600162&amp;sortField=Modified&amp;isAscending=false&amp;viewid=ba243776%2Df837%2D4ace%2D8ee9%2D939a5753cc77&amp;csf=1&amp;CID=028de158%2Dd4dc%2D48b6%2D89c4%2Ddb1f4163a833&amp;FolderCTID=0x0120001BD1B7A29D5EA04EB7553F36EEAEE8D2" TargetMode="External"/><Relationship Id="rId3" Type="http://schemas.openxmlformats.org/officeDocument/2006/relationships/hyperlink" Target="https://artechnologie13.sharepoint.com/sites/Bureaud'tudeAR-TECHNOLOGIE/DOSSIER%20POI/Forms/AllItems.aspx?isAscending=false&amp;id=%2Fsites%2FBureaud%27tudeAR%2DTECHNOLOGIE%2FDOSSIER%20POI%2FROD%2FROD500526&amp;sortField=LinkFilename&amp;viewid=ba243776%2Df837%2D4ace%2D8ee9%2D939a5753cc77" TargetMode="External"/><Relationship Id="rId214" Type="http://schemas.openxmlformats.org/officeDocument/2006/relationships/hyperlink" Target="https://artechnologie13.sharepoint.com/sites/Bureaud'tudeAR-TECHNOLOGIE/DOSSIER%20POI/Forms/AllItems.aspx?id=%2Fsites%2FBureaud%27tudeAR%2DTECHNOLOGIE%2FDOSSIER%20POI%2FROD%2FROD600333&amp;sortField=Modified&amp;isAscending=false&amp;viewid=ba243776%2Df837%2D4ace%2D8ee9%2D939a5753cc77&amp;csf=1&amp;CID=028de158%2Dd4dc%2D48b6%2D89c4%2Ddb1f4163a833&amp;FolderCTID=0x0120001BD1B7A29D5EA04EB7553F36EEAEE8D2" TargetMode="External"/><Relationship Id="rId235" Type="http://schemas.openxmlformats.org/officeDocument/2006/relationships/hyperlink" Target="https://artechnologie13.sharepoint.com/:f:/r/sites/Bureaud%27tudeAR-TECHNOLOGIE/DOSSIER%20POI/MEN/MEN500457?csf=1&amp;web=1&amp;e=12f30h" TargetMode="External"/><Relationship Id="rId256" Type="http://schemas.openxmlformats.org/officeDocument/2006/relationships/hyperlink" Target="https://artechnologie13.sharepoint.com/sites/Bureaud'tudeAR-TECHNOLOGIE/DOSSIER%20POI/Forms/AllItems.aspx?id=%2Fsites%2FBureaud%27tudeAR%2DTECHNOLOGIE%2FDOSSIER%20POI%2FMEN%2FMEN400643&amp;viewid=ba243776%2Df837%2D4ace%2D8ee9%2D939a5753cc77&amp;csf=1&amp;web=1&amp;e=adsOhc&amp;CID=04e65da9%2D17dd%2D4e5e%2Db386%2Df192055076a1&amp;FolderCTID=0x0120001BD1B7A29D5EA04EB7553F36EEAEE8D2&amp;view=7" TargetMode="External"/><Relationship Id="rId277" Type="http://schemas.openxmlformats.org/officeDocument/2006/relationships/hyperlink" Target="https://artechnologie13.sharepoint.com/:f:/r/sites/Bureaud%27tudeAR-TECHNOLOGIE/DOSSIER%20POI/MEN/MEN500283?csf=1&amp;web=1&amp;e=XQafLr" TargetMode="External"/><Relationship Id="rId298" Type="http://schemas.openxmlformats.org/officeDocument/2006/relationships/hyperlink" Target="https://artechnologie13.sharepoint.com/sites/Bureaud'tudeAR-TECHNOLOGIE/DOSSIER%20POI/Forms/AllItems.aspx?id=%2Fsites%2FBureaud%27tudeAR%2DTECHNOLOGIE%2FDOSSIER%20POI%2FMEN%2FMEN500201&amp;sortField=Modified&amp;isAscending=false&amp;viewid=ba243776%2Df837%2D4ace%2D8ee9%2D939a5753cc77&amp;csf=1&amp;web=1&amp;e=9aD7UJ&amp;CID=3985c2d8%2Ddc54%2D4a33%2D8ea9%2D8e2e628e3fdc&amp;FolderCTID=0x0120001BD1B7A29D5EA04EB7553F36EEAEE8D2" TargetMode="External"/><Relationship Id="rId116" Type="http://schemas.openxmlformats.org/officeDocument/2006/relationships/hyperlink" Target="https://artechnologie13.sharepoint.com/sites/Bureaud'tudeAR-TECHNOLOGIE/DOSSIER%20POI/Forms/AllItems.aspx?id=%2Fsites%2FBureaud%27tudeAR%2DTECHNOLOGIE%2FDOSSIER%20POI%2FROD%2FROD501365&amp;sortField=Modified&amp;isAscending=false&amp;viewid=ba243776%2Df837%2D4ace%2D8ee9%2D939a5753cc77&amp;csf=1&amp;web=1&amp;e=bhBmpo&amp;CID=bc290411%2D21bc%2D446d%2D8183%2D28ba3580e5a1&amp;FolderCTID=0x0120001BD1B7A29D5EA04EB7553F36EEAEE8D2&amp;view=7" TargetMode="External"/><Relationship Id="rId137" Type="http://schemas.openxmlformats.org/officeDocument/2006/relationships/hyperlink" Target="https://artechnologie13.sharepoint.com/sites/Bureaud'tudeAR-TECHNOLOGIE/DOSSIER%20POI/Forms/AllItems.aspx?id=%2Fsites%2FBureaud%27tudeAR%2DTECHNOLOGIE%2FDOSSIER%20POI%2FROD%2FROD500992&amp;sortField=Modified&amp;isAscending=false&amp;viewid=ba243776%2Df837%2D4ace%2D8ee9%2D939a5753cc77" TargetMode="External"/><Relationship Id="rId158" Type="http://schemas.openxmlformats.org/officeDocument/2006/relationships/hyperlink" Target="https://artechnologie13.sharepoint.com/sites/Bureaud'tudeAR-TECHNOLOGIE/DOSSIER%20POI/Forms/AllItems.aspx?id=%2Fsites%2FBureaud%27tudeAR%2DTECHNOLOGIE%2FDOSSIER%20POI%2FROD%2FROD502143&amp;sortField=Modified&amp;isAscending=false&amp;viewid=ba243776%2Df837%2D4ace%2D8ee9%2D939a5753cc77" TargetMode="External"/><Relationship Id="rId302" Type="http://schemas.openxmlformats.org/officeDocument/2006/relationships/hyperlink" Target="https://artechnologie13.sharepoint.com/sites/Bureaud'tudeAR-TECHNOLOGIE/DOSSIER%20POI/Forms/AllItems.aspx?id=%2Fsites%2FBureaud%27tudeAR%2DTECHNOLOGIE%2FDOSSIER%20POI%2FMEN%2FMEN500642&amp;sortField=Modified&amp;isAscending=false&amp;viewid=ba243776%2Df837%2D4ace%2D8ee9%2D939a5753cc77&amp;FolderCTID=0x0120001BD1B7A29D5EA04EB7553F36EEAEE8D2" TargetMode="External"/><Relationship Id="rId323" Type="http://schemas.openxmlformats.org/officeDocument/2006/relationships/hyperlink" Target="https://artechnologie13.sharepoint.com/sites/Bureaud'tudeAR-TECHNOLOGIE/DOSSIER%20POI/Forms/AllItems.aspx?id=%2Fsites%2FBureaud%27tudeAR%2DTECHNOLOGIE%2FDOSSIER%20POI%2FMEN%2FMEN600020&amp;sortField=Modified&amp;isAscending=false&amp;viewid=ba243776%2Df837%2D4ace%2D8ee9%2D939a5753cc77&amp;FolderCTID=0x0120001BD1B7A29D5EA04EB7553F36EEAEE8D2" TargetMode="External"/><Relationship Id="rId20" Type="http://schemas.openxmlformats.org/officeDocument/2006/relationships/hyperlink" Target="https://artechnologie13.sharepoint.com/:f:/r/sites/Bureaud%27tudeAR-TECHNOLOGIE/DOSSIER%20POI/ROD/ROD500771?csf=1&amp;web=1&amp;e=D3GaWB" TargetMode="External"/><Relationship Id="rId41" Type="http://schemas.openxmlformats.org/officeDocument/2006/relationships/hyperlink" Target="https://artechnologie13.sharepoint.com/sites/Bureaud'tudeAR-TECHNOLOGIE/DOSSIER%20POI/Forms/AllItems.aspx?id=%2Fsites%2FBureaud%27tudeAR%2DTECHNOLOGIE%2FDOSSIER%20POI%2FROD%2FROD501105&amp;sortField=Modified&amp;isAscending=false&amp;viewid=ba243776%2Df837%2D4ace%2D8ee9%2D939a5753cc77&amp;csf=1&amp;web=1&amp;e=kGBMXs&amp;CID=99ecfc67%2D50d1%2D470b%2Db438%2D40c98d69e2e2&amp;FolderCTID=0x0120001BD1B7A29D5EA04EB7553F36EEAEE8D2" TargetMode="External"/><Relationship Id="rId62" Type="http://schemas.openxmlformats.org/officeDocument/2006/relationships/hyperlink" Target="https://artechnologie13.sharepoint.com/sites/Bureaud'tudeAR-TECHNOLOGIE/DOSSIER%20POI/Forms/AllItems.aspx?id=%2Fsites%2FBureaud%27tudeAR%2DTECHNOLOGIE%2FDOSSIER%20POI%2FROD%2FROD501366&amp;sortField=Modified&amp;isAscending=false&amp;viewid=ba243776%2Df837%2D4ace%2D8ee9%2D939a5753cc77&amp;csf=1&amp;web=1&amp;e=ywV4ci&amp;CID=8a368264%2D6d13%2D449a%2D9bb4%2Dd27682d10b0a&amp;FolderCTID=0x0120001BD1B7A29D5EA04EB7553F36EEAEE8D2" TargetMode="External"/><Relationship Id="rId83" Type="http://schemas.openxmlformats.org/officeDocument/2006/relationships/hyperlink" Target="https://artechnologie13.sharepoint.com/:f:/r/sites/Bureaud%27tudeAR-TECHNOLOGIE/DOSSIER%20POI/ROD/ROD500144?csf=1&amp;web=1&amp;e=pLPLgz" TargetMode="External"/><Relationship Id="rId179" Type="http://schemas.openxmlformats.org/officeDocument/2006/relationships/hyperlink" Target="https://artechnologie13.sharepoint.com/sites/Bureaud'tudeAR-TECHNOLOGIE/DOSSIER%20POI/Forms/AllItems.aspx?id=%2Fsites%2FBureaud%27tudeAR%2DTECHNOLOGIE%2FDOSSIER%20POI%2FROD%2FROD600119&amp;sortField=Modified&amp;isAscending=false&amp;viewid=ba243776%2Df837%2D4ace%2D8ee9%2D939a5753cc77&amp;csf=1&amp;CID=028de158%2Dd4dc%2D48b6%2D89c4%2Ddb1f4163a833&amp;FolderCTID=0x0120001BD1B7A29D5EA04EB7553F36EEAEE8D2" TargetMode="External"/><Relationship Id="rId190" Type="http://schemas.openxmlformats.org/officeDocument/2006/relationships/hyperlink" Target="https://artechnologie13.sharepoint.com/sites/Bureaud'tudeAR-TECHNOLOGIE/DOSSIER%20POI/Forms/AllItems.aspx?id=%2Fsites%2FBureaud%27tudeAR%2DTECHNOLOGIE%2FDOSSIER%20POI%2FROD%2FROD600035&amp;sortField=Modified&amp;isAscending=false&amp;viewid=ba243776%2Df837%2D4ace%2D8ee9%2D939a5753cc77" TargetMode="External"/><Relationship Id="rId204" Type="http://schemas.openxmlformats.org/officeDocument/2006/relationships/hyperlink" Target="https://artechnologie13.sharepoint.com/sites/Bureaud'tudeAR-TECHNOLOGIE/DOSSIER%20POI/Forms/AllItems.aspx?id=%2Fsites%2FBureaud%27tudeAR%2DTECHNOLOGIE%2FDOSSIER%20POI%2FROD%2FROD501817&amp;sortField=Modified&amp;isAscending=false&amp;viewid=ba243776%2Df837%2D4ace%2D8ee9%2D939a5753cc77" TargetMode="External"/><Relationship Id="rId225" Type="http://schemas.openxmlformats.org/officeDocument/2006/relationships/hyperlink" Target="https://artechnologie13.sharepoint.com/:f:/r/sites/Bureaud%27tudeAR-TECHNOLOGIE/DOSSIER%20POI/MEN/MEN500307?csf=1&amp;web=1&amp;e=owQXVh" TargetMode="External"/><Relationship Id="rId246" Type="http://schemas.openxmlformats.org/officeDocument/2006/relationships/hyperlink" Target="https://artechnologie13.sharepoint.com/sites/Bureaud'tudeAR-TECHNOLOGIE/DOSSIER%20POI/Forms/AllItems.aspx?id=%2Fsites%2FBureaud%27tudeAR%2DTECHNOLOGIE%2FDOSSIER%20POI%2FMEN%2FMEN500651&amp;sortField=Modified&amp;isAscending=false&amp;viewid=ba243776%2Df837%2D4ace%2D8ee9%2D939a5753cc77" TargetMode="External"/><Relationship Id="rId267" Type="http://schemas.openxmlformats.org/officeDocument/2006/relationships/hyperlink" Target="https://artechnologie13.sharepoint.com/:f:/r/sites/Bureaud%27tudeAR-TECHNOLOGIE/DOSSIER%20POI/MEN/MEN500149?csf=1&amp;web=1&amp;e=6fbort" TargetMode="External"/><Relationship Id="rId288" Type="http://schemas.openxmlformats.org/officeDocument/2006/relationships/hyperlink" Target="https://artechnologie13.sharepoint.com/:f:/r/sites/Bureaud%27tudeAR-TECHNOLOGIE/DOSSIER%20POI/MEN/MEN500545?csf=1&amp;web=1&amp;e=xFrHq1" TargetMode="External"/><Relationship Id="rId106" Type="http://schemas.openxmlformats.org/officeDocument/2006/relationships/hyperlink" Target="https://artechnologie13.sharepoint.com/sites/Bureaud'tudeAR-TECHNOLOGIE/DOSSIER%20POI/Forms/AllItems.aspx?id=%2Fsites%2FBureaud%27tudeAR%2DTECHNOLOGIE%2FDOSSIER%20POI%2FROD%2FROD501767&amp;sortField=Modified&amp;isAscending=false&amp;viewid=ba243776%2Df837%2D4ace%2D8ee9%2D939a5753cc77&amp;csf=1&amp;web=1&amp;e=gs979d&amp;CID=62f44cec%2D22a3%2D45af%2D97cb%2D96c2f484fdb6&amp;FolderCTID=0x0120001BD1B7A29D5EA04EB7553F36EEAEE8D2" TargetMode="External"/><Relationship Id="rId127" Type="http://schemas.openxmlformats.org/officeDocument/2006/relationships/hyperlink" Target="https://artechnologie13.sharepoint.com/sites/Bureaud%27tudeAR-TECHNOLOGIE/DOSSIER%20POI/Forms/AllItems.aspx?id=%2Fsites%2FBureaud%27tudeAR%2DTECHNOLOGIE%2FDOSSIER%20POI%2FROD%2FROD500369&amp;sortField=Modified&amp;isAscending=false&amp;viewid=ba243776%2Df837%2D4ace%2D8ee9%2D939a5753cc77&amp;csf=1&amp;web=1&amp;e=owQXVh&amp;CID=c5b168e7%2D67df%2D41af%2Db0d7%2D508a6306f4cd&amp;FolderCTID=0x0120001BD1B7A29D5EA04EB7553F36EEAEE8D2&amp;view=7" TargetMode="External"/><Relationship Id="rId313"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EN%2FMEN500659" TargetMode="External"/><Relationship Id="rId10" Type="http://schemas.openxmlformats.org/officeDocument/2006/relationships/hyperlink" Target="https://artechnologie13.sharepoint.com/:f:/r/sites/Bureaud%27tudeAR-TECHNOLOGIE/DOSSIER%20POI/ROD/ROD500627?csf=1&amp;web=1&amp;e=GlFRBV" TargetMode="External"/><Relationship Id="rId31" Type="http://schemas.openxmlformats.org/officeDocument/2006/relationships/hyperlink" Target="https://artechnologie13.sharepoint.com/sites/Bureaud'tudeAR-TECHNOLOGIE/DOSSIER%20POI/Forms/AllItems.aspx?id=%2Fsites%2FBureaud%27tudeAR%2DTECHNOLOGIE%2FDOSSIER%20POI%2FROD%2FROD500885&amp;sortField=Modified&amp;isAscending=false&amp;viewid=ba243776%2Df837%2D4ace%2D8ee9%2D939a5753cc77&amp;csf=1&amp;web=1&amp;e=xUPcuK&amp;CID=e382a5b9%2D168f%2D4447%2D9601%2D78fc7bfb7038&amp;FolderCTID=0x0120001BD1B7A29D5EA04EB7553F36EEAEE8D2" TargetMode="External"/><Relationship Id="rId52" Type="http://schemas.openxmlformats.org/officeDocument/2006/relationships/hyperlink" Target="https://artechnologie13.sharepoint.com/:f:/r/sites/Bureaud%27tudeAR-TECHNOLOGIE/DOSSIER%20POI/ROD/ROD501131?csf=1&amp;web=1&amp;e=wXAjoh" TargetMode="External"/><Relationship Id="rId73" Type="http://schemas.openxmlformats.org/officeDocument/2006/relationships/hyperlink" Target="https://artechnologie13.sharepoint.com/:f:/r/sites/Bureaud%27tudeAR-TECHNOLOGIE/DOSSIER%20POI/ROD/ROD500391?csf=1&amp;web=1&amp;e=rhtSzT" TargetMode="External"/><Relationship Id="rId94" Type="http://schemas.openxmlformats.org/officeDocument/2006/relationships/hyperlink" Target="https://artechnologie13.sharepoint.com/sites/Bureaud'tudeAR-TECHNOLOGIE/DOSSIER%20POI/Forms/AllItems.aspx?id=%2Fsites%2FBureaud%27tudeAR%2DTECHNOLOGIE%2FDOSSIER%20POI%2FROD%2FROD501704&amp;sortField=Modified&amp;isAscending=false&amp;viewid=ba243776%2Df837%2D4ace%2D8ee9%2D939a5753cc77&amp;csf=1&amp;web=1&amp;e=gs979d&amp;CID=62f44cec%2D22a3%2D45af%2D97cb%2D96c2f484fdb6&amp;FolderCTID=0x0120001BD1B7A29D5EA04EB7553F36EEAEE8D2" TargetMode="External"/><Relationship Id="rId148" Type="http://schemas.openxmlformats.org/officeDocument/2006/relationships/hyperlink" Target="https://artechnologie13.sharepoint.com/sites/Bureaud'tudeAR-TECHNOLOGIE/DOSSIER%20POI/Forms/AllItems.aspx?id=%2Fsites%2FBureaud%27tudeAR%2DTECHNOLOGIE%2FDOSSIER%20POI%2FROD%2FROD501503&amp;sortField=Modified&amp;isAscending=false&amp;viewid=ba243776%2Df837%2D4ace%2D8ee9%2D939a5753cc77&amp;csf=1&amp;web=1&amp;e=ywV4ci&amp;CID=8a368264%2D6d13%2D449a%2D9bb4%2Dd27682d10b0a&amp;FolderCTID=0x0120001BD1B7A29D5EA04EB7553F36EEAEE8D2" TargetMode="External"/><Relationship Id="rId169" Type="http://schemas.openxmlformats.org/officeDocument/2006/relationships/hyperlink" Target="https://artechnologie13.sharepoint.com/sites/Bureaud%27tudeAR-TECHNOLOGIE/DOSSIER%20POI/Forms/AllItems.aspx?id=%2Fsites%2FBureaud%27tudeAR%2DTECHNOLOGIE%2FDOSSIER%20POI%2FROD%2FROD600059&amp;sortField=Modified&amp;isAscending=false&amp;viewid=ba243776%2Df837%2D4ace%2D8ee9%2D939a5753cc77&amp;csf=1&amp;web=1&amp;e=gs979d&amp;CID=62f44cec%2D22a3%2D45af%2D97cb%2D96c2f484fdb6&amp;FolderCTID=0x0120001BD1B7A29D5EA04EB7553F36EEAEE8D2&amp;view=7" TargetMode="External"/><Relationship Id="rId334" Type="http://schemas.openxmlformats.org/officeDocument/2006/relationships/hyperlink" Target="https://artechnologie13.sharepoint.com/sites/Bureaud'tudeAR-TECHNOLOGIE/DOSSIER%20POI/Forms/AllItems.aspx?id=%2Fsites%2FBureaud%27tudeAR%2DTECHNOLOGIE%2FDOSSIER%20POI%2FMEN%2FMEN600063&amp;sortField=Modified&amp;isAscending=false&amp;viewid=ba243776%2Df837%2D4ace%2D8ee9%2D939a5753cc77&amp;FolderCTID=0x0120001BD1B7A29D5EA04EB7553F36EEAEE8D2" TargetMode="External"/><Relationship Id="rId4" Type="http://schemas.openxmlformats.org/officeDocument/2006/relationships/hyperlink" Target="https://artechnologie13.sharepoint.com/sites/Bureaud'tudeAR-TECHNOLOGIE/DOSSIER%20POI/Forms/AllItems.aspx?isAscending=false&amp;id=%2Fsites%2FBureaud%27tudeAR%2DTECHNOLOGIE%2FDOSSIER%20POI%2FROD%2FROD500565&amp;sortField=LinkFilename&amp;viewid=ba243776%2Df837%2D4ace%2D8ee9%2D939a5753cc77" TargetMode="External"/><Relationship Id="rId180" Type="http://schemas.openxmlformats.org/officeDocument/2006/relationships/hyperlink" Target="https://artechnologie13.sharepoint.com/sites/Bureaud'tudeAR-TECHNOLOGIE/DOSSIER%20POI/Forms/AllItems.aspx?id=%2Fsites%2FBureaud%27tudeAR%2DTECHNOLOGIE%2FDOSSIER%20POI%2FROD%2FROD600120&amp;sortField=Modified&amp;isAscending=false&amp;viewid=ba243776%2Df837%2D4ace%2D8ee9%2D939a5753cc77&amp;csf=1&amp;CID=028de158%2Dd4dc%2D48b6%2D89c4%2Ddb1f4163a833&amp;FolderCTID=0x0120001BD1B7A29D5EA04EB7553F36EEAEE8D2" TargetMode="External"/><Relationship Id="rId215" Type="http://schemas.openxmlformats.org/officeDocument/2006/relationships/hyperlink" Target="https://artechnologie13.sharepoint.com/sites/Bureaud'tudeAR-TECHNOLOGIE/DOSSIER%20POI/Forms/AllItems.aspx?id=%2Fsites%2FBureaud%27tudeAR%2DTECHNOLOGIE%2FDOSSIER%20POI%2FROD%2FROD502029&amp;sortField=Modified&amp;isAscending=false&amp;viewid=ba243776%2Df837%2D4ace%2D8ee9%2D939a5753cc77&amp;csf=1&amp;web=1&amp;e=JhATME&amp;CID=028de158%2Dd4dc%2D48b6%2D89c4%2Ddb1f4163a833&amp;FolderCTID=0x0120001BD1B7A29D5EA04EB7553F36EEAEE8D2" TargetMode="External"/><Relationship Id="rId236" Type="http://schemas.openxmlformats.org/officeDocument/2006/relationships/hyperlink" Target="https://artechnologie13.sharepoint.com/sites/Bureaud'tudeAR-TECHNOLOGIE/DOSSIER%20POI/Forms/AllItems.aspx?csf=1&amp;web=1&amp;e=EOmmI7&amp;CID=9baba9e2%2D6916%2D4517%2D93cc%2D1caf0f15f037&amp;FolderCTID=0x0120001BD1B7A29D5EA04EB7553F36EEAEE8D2&amp;isAscending=false&amp;id=%2Fsites%2FBureaud%27tudeAR%2DTECHNOLOGIE%2FDOSSIER%20POI%2FMEN%2FMEN500190&amp;sortField=LinkFilename&amp;viewid=ba243776%2Df837%2D4ace%2D8ee9%2D939a5753cc77" TargetMode="External"/><Relationship Id="rId257" Type="http://schemas.openxmlformats.org/officeDocument/2006/relationships/hyperlink" Target="https://artechnologie13.sharepoint.com/sites/Bureaud'tudeAR-TECHNOLOGIE/DOSSIER%20POI/Forms/AllItems.aspx?id=%2Fsites%2FBureaud%27tudeAR%2DTECHNOLOGIE%2FDOSSIER%20POI%2FMEN%2FMEN500652&amp;sortField=Modified&amp;isAscending=false&amp;viewid=ba243776%2Df837%2D4ace%2D8ee9%2D939a5753cc77" TargetMode="External"/><Relationship Id="rId278" Type="http://schemas.openxmlformats.org/officeDocument/2006/relationships/hyperlink" Target="https://artechnologie13.sharepoint.com/:f:/r/sites/Bureaud%27tudeAR-TECHNOLOGIE/DOSSIER%20POI/MEN/MEN500282?csf=1&amp;web=1&amp;e=OINce8" TargetMode="External"/><Relationship Id="rId303" Type="http://schemas.openxmlformats.org/officeDocument/2006/relationships/hyperlink" Target="https://artechnologie13.sharepoint.com/sites/Bureaud'tudeAR-TECHNOLOGIE/DOSSIER%20POI/Forms/AllItems.aspx?id=%2Fsites%2FBureaud%27tudeAR%2DTECHNOLOGIE%2FDOSSIER%20POI%2FMEN%2FMEN400337&amp;sortField=Modified&amp;isAscending=false&amp;viewid=ba243776%2Df837%2D4ace%2D8ee9%2D939a5753cc77&amp;FolderCTID=0x0120001BD1B7A29D5EA04EB7553F36EEAEE8D2" TargetMode="External"/><Relationship Id="rId42" Type="http://schemas.openxmlformats.org/officeDocument/2006/relationships/hyperlink" Target="https://artechnologie13.sharepoint.com/:f:/r/sites/Bureaud%27tudeAR-TECHNOLOGIE/DOSSIER%20POI/ROD/ROD500264?csf=1&amp;web=1&amp;e=ecRG8e" TargetMode="External"/><Relationship Id="rId84" Type="http://schemas.openxmlformats.org/officeDocument/2006/relationships/hyperlink" Target="https://artechnologie13.sharepoint.com/sites/Bureaud'tudeAR-TECHNOLOGIE/DOSSIER%20POI/Forms/AllItems.aspx?id=%2Fsites%2FBureaud%27tudeAR%2DTECHNOLOGIE%2FDOSSIER%20POI%2FROD%2FROD501651&amp;sortField=Modified&amp;isAscending=false&amp;viewid=ba243776%2Df837%2D4ace%2D8ee9%2D939a5753cc77&amp;csf=1&amp;web=1&amp;e=gs979d&amp;CID=62f44cec%2D22a3%2D45af%2D97cb%2D96c2f484fdb6&amp;FolderCTID=0x0120001BD1B7A29D5EA04EB7553F36EEAEE8D2&amp;view=7" TargetMode="External"/><Relationship Id="rId138" Type="http://schemas.openxmlformats.org/officeDocument/2006/relationships/hyperlink" Target="https://artechnologie13.sharepoint.com/sites/Bureaud'tudeAR-TECHNOLOGIE/DOSSIER%20POI/Forms/AllItems.aspx?id=%2Fsites%2FBureaud%27tudeAR%2DTECHNOLOGIE%2FDOSSIER%20POI%2FROD%2FROD502029&amp;sortField=Modified&amp;isAscending=false&amp;viewid=ba243776%2Df837%2D4ace%2D8ee9%2D939a5753cc77&amp;csf=1&amp;web=1&amp;e=JhATME&amp;CID=028de158%2Dd4dc%2D48b6%2D89c4%2Ddb1f4163a833&amp;FolderCTID=0x0120001BD1B7A29D5EA04EB7553F36EEAEE8D2" TargetMode="External"/><Relationship Id="rId191" Type="http://schemas.openxmlformats.org/officeDocument/2006/relationships/hyperlink" Target="https://artechnologie13.sharepoint.com/sites/Bureaud'tudeAR-TECHNOLOGIE/DOSSIER%20POI/Forms/AllItems.aspx?id=%2Fsites%2FBureaud%27tudeAR%2DTECHNOLOGIE%2FDOSSIER%20POI%2FROD%2FROD600209&amp;sortField=Modified&amp;isAscending=false&amp;viewid=ba243776%2Df837%2D4ace%2D8ee9%2D939a5753cc77&amp;csf=1&amp;CID=028de158%2Dd4dc%2D48b6%2D89c4%2Ddb1f4163a833&amp;FolderCTID=0x0120001BD1B7A29D5EA04EB7553F36EEAEE8D2" TargetMode="External"/><Relationship Id="rId205" Type="http://schemas.openxmlformats.org/officeDocument/2006/relationships/hyperlink" Target="https://artechnologie13.sharepoint.com/sites/Bureaud'tudeAR-TECHNOLOGIE/DOSSIER%20POI/Forms/AllItems.aspx?id=%2Fsites%2FBureaud%27tudeAR%2DTECHNOLOGIE%2FDOSSIER%20POI%2FROD%2FROD600279&amp;sortField=Modified&amp;isAscending=false&amp;viewid=ba243776%2Df837%2D4ace%2D8ee9%2D939a5753cc77" TargetMode="External"/><Relationship Id="rId247" Type="http://schemas.openxmlformats.org/officeDocument/2006/relationships/hyperlink" Target="https://artechnologie13.sharepoint.com/sites/Bureaud'tudeAR-TECHNOLOGIE/DOSSIER%20POI/Forms/AllItems.aspx?id=%2Fsites%2FBureaud%27tudeAR%2DTECHNOLOGIE%2FDOSSIER%20POI%2FMEN%2FMEN500658&amp;sortField=Modified&amp;isAscending=false&amp;viewid=ba243776%2Df837%2D4ace%2D8ee9%2D939a5753cc77" TargetMode="External"/><Relationship Id="rId107" Type="http://schemas.openxmlformats.org/officeDocument/2006/relationships/hyperlink" Target="https://artechnologie13.sharepoint.com/sites/Bureaud'tudeAR-TECHNOLOGIE/DOSSIER%20POI/Forms/AllItems.aspx?id=%2Fsites%2FBureaud%27tudeAR%2DTECHNOLOGIE%2FDOSSIER%20POI%2FROD%2FROD501808&amp;sortField=Modified&amp;isAscending=false&amp;viewid=ba243776%2Df837%2D4ace%2D8ee9%2D939a5753cc77&amp;csf=1&amp;web=1&amp;e=gs979d&amp;CID=62f44cec%2D22a3%2D45af%2D97cb%2D96c2f484fdb6&amp;FolderCTID=0x0120001BD1B7A29D5EA04EB7553F36EEAEE8D2" TargetMode="External"/><Relationship Id="rId289" Type="http://schemas.openxmlformats.org/officeDocument/2006/relationships/hyperlink" Target="https://artechnologie13.sharepoint.com/sites/Bureaud'tudeAR-TECHNOLOGIE/_layouts/15/search.aspx/siteall?q=MEN500542" TargetMode="External"/><Relationship Id="rId11" Type="http://schemas.openxmlformats.org/officeDocument/2006/relationships/hyperlink" Target="https://artechnologie13.sharepoint.com/:f:/r/sites/Bureaud%27tudeAR-TECHNOLOGIE/DOSSIER%20POI/ROD/ROD500588?csf=1&amp;web=1&amp;e=9b71Xu" TargetMode="External"/><Relationship Id="rId53" Type="http://schemas.openxmlformats.org/officeDocument/2006/relationships/hyperlink" Target="https://artechnologie13.sharepoint.com/sites/Bureaud'tudeAR-TECHNOLOGIE/DOSSIER%20POI/Forms/AllItems.aspx?id=%2Fsites%2FBureaud%27tudeAR%2DTECHNOLOGIE%2FDOSSIER%20POI%2FROD%2FROD501229&amp;sortField=Modified&amp;isAscending=false&amp;viewid=ba243776%2Df837%2D4ace%2D8ee9%2D939a5753cc77&amp;csf=1&amp;web=1&amp;e=eCEuQa&amp;CID=f05676d9%2D2ab6%2D475b%2Da34b%2D0d265ae08939&amp;FolderCTID=0x0120001BD1B7A29D5EA04EB7553F36EEAEE8D2" TargetMode="External"/><Relationship Id="rId149" Type="http://schemas.openxmlformats.org/officeDocument/2006/relationships/hyperlink" Target="https://artechnologie13.sharepoint.com/sites/Bureaud'tudeAR-TECHNOLOGIE/DOSSIER%20POI/Forms/AllItems.aspx?id=%2Fsites%2FBureaud%27tudeAR%2DTECHNOLOGIE%2FDOSSIER%20POI%2FROD%2FROD501503&amp;sortField=Modified&amp;isAscending=false&amp;viewid=ba243776%2Df837%2D4ace%2D8ee9%2D939a5753cc77&amp;csf=1&amp;web=1&amp;e=ywV4ci&amp;CID=8a368264%2D6d13%2D449a%2D9bb4%2Dd27682d10b0a&amp;FolderCTID=0x0120001BD1B7A29D5EA04EB7553F36EEAEE8D2" TargetMode="External"/><Relationship Id="rId314" Type="http://schemas.openxmlformats.org/officeDocument/2006/relationships/hyperlink" Target="https://artechnologie13.sharepoint.com/sites/Bureaud'tudeAR-TECHNOLOGIE/DOSSIER%20POI/Forms/AllItems.aspx?id=%2Fsites%2FBureaud%27tudeAR%2DTECHNOLOGIE%2FDOSSIER%20POI%2FMEN%2FMEN500720&amp;sortField=Modified&amp;isAscending=false&amp;viewid=ba243776%2Df837%2D4ace%2D8ee9%2D939a5753cc77&amp;csf=1&amp;web=1&amp;e=xJSWPp&amp;CID=834583a6%2D0b09%2D4127%2D93b5%2Dc71f4baa33f8&amp;FolderCTID=0x0120001BD1B7A29D5EA04EB7553F36EEAEE8D2" TargetMode="External"/><Relationship Id="rId95" Type="http://schemas.openxmlformats.org/officeDocument/2006/relationships/hyperlink" Target="https://artechnologie13.sharepoint.com/sites/Bureaud'tudeAR-TECHNOLOGIE/DOSSIER%20POI/Forms/AllItems.aspx?id=%2Fsites%2FBureaud%27tudeAR%2DTECHNOLOGIE%2FDOSSIER%20POI%2FROD%2FROD501705&amp;sortField=Modified&amp;isAscending=false&amp;viewid=ba243776%2Df837%2D4ace%2D8ee9%2D939a5753cc77&amp;csf=1&amp;web=1&amp;e=gs979d&amp;CID=62f44cec%2D22a3%2D45af%2D97cb%2D96c2f484fdb6&amp;FolderCTID=0x0120001BD1B7A29D5EA04EB7553F36EEAEE8D2" TargetMode="External"/><Relationship Id="rId160" Type="http://schemas.openxmlformats.org/officeDocument/2006/relationships/hyperlink" Target="https://artechnologie13.sharepoint.com/sites/Bureaud'tudeAR-TECHNOLOGIE/DOSSIER%20POI/Forms/AllItems.aspx?id=%2Fsites%2FBureaud%27tudeAR%2DTECHNOLOGIE%2FDOSSIER%20POI%2FROD%2FROD502118&amp;sortField=Modified&amp;isAscending=false&amp;viewid=ba243776%2Df837%2D4ace%2D8ee9%2D939a5753cc77" TargetMode="External"/><Relationship Id="rId216" Type="http://schemas.openxmlformats.org/officeDocument/2006/relationships/hyperlink" Target="https://artechnologie13.sharepoint.com/sites/Bureaud'tudeAR-TECHNOLOGIE/DOSSIER%20POI/Forms/AllItems.aspx?id=%2Fsites%2FBureaud%27tudeAR%2DTECHNOLOGIE%2FDOSSIER%20POI%2FROD%2FROD600334&amp;sortField=Modified&amp;isAscending=false&amp;viewid=ba243776%2Df837%2D4ace%2D8ee9%2D939a5753cc77&amp;csf=1&amp;CID=028de158%2Dd4dc%2D48b6%2D89c4%2Ddb1f4163a833&amp;FolderCTID=0x0120001BD1B7A29D5EA04EB7553F36EEAEE8D2" TargetMode="External"/><Relationship Id="rId258" Type="http://schemas.openxmlformats.org/officeDocument/2006/relationships/hyperlink" Target="https://artechnologie13.sharepoint.com/sites/Bureaud'tudeAR-TECHNOLOGIE/DOSSIER%20POI/Forms/AllItems.aspx?id=%2Fsites%2FBureaud%27tudeAR%2DTECHNOLOGIE%2FDOSSIER%20POI%2FMEN%2FMEN400695%2FMEN400695&amp;viewid=ba243776%2Df837%2D4ace%2D8ee9%2D939a5753cc77&amp;FolderCTID=0x0120001BD1B7A29D5EA04EB7553F36EEAEE8D2" TargetMode="External"/><Relationship Id="rId22" Type="http://schemas.openxmlformats.org/officeDocument/2006/relationships/hyperlink" Target="https://artechnologie13.sharepoint.com/:f:/r/sites/Bureaud%27tudeAR-TECHNOLOGIE/DOSSIER%20POI/ROD/ROD500780?csf=1&amp;web=1&amp;e=pOswRS" TargetMode="External"/><Relationship Id="rId64" Type="http://schemas.openxmlformats.org/officeDocument/2006/relationships/hyperlink" Target="https://artechnologie13.sharepoint.com/sites/Bureaud'tudeAR-TECHNOLOGIE/DOSSIER%20POI/Forms/AllItems.aspx?id=%2Fsites%2FBureaud%27tudeAR%2DTECHNOLOGIE%2FDOSSIER%20POI%2FROD%2FROD501407&amp;sortField=Modified&amp;isAscending=false&amp;viewid=ba243776%2Df837%2D4ace%2D8ee9%2D939a5753cc77&amp;csf=1&amp;web=1&amp;e=ywV4ci&amp;CID=8a368264%2D6d13%2D449a%2D9bb4%2Dd27682d10b0a&amp;FolderCTID=0x0120001BD1B7A29D5EA04EB7553F36EEAEE8D2" TargetMode="External"/><Relationship Id="rId118" Type="http://schemas.openxmlformats.org/officeDocument/2006/relationships/hyperlink" Target="https://artechnologie13.sharepoint.com/sites/Bureaud'tudeAR-TECHNOLOGIE/DOSSIER%20POI/Forms/AllItems.aspx?id=%2Fsites%2FBureaud%27tudeAR%2DTECHNOLOGIE%2FDOSSIER%20POI%2FROD%2FROD501172&amp;sortField=LinkFilename&amp;isAscending=false&amp;viewid=ba243776%2Df837%2D4ace%2D8ee9%2D939a5753cc77&amp;csf=1&amp;web=1&amp;e=wXAjoh&amp;CID=033b4116%2D656c%2D4ff3%2Da705%2D325ecfa46a89&amp;FolderCTID=0x0120001BD1B7A29D5EA04EB7553F36EEAEE8D2" TargetMode="External"/><Relationship Id="rId325" Type="http://schemas.openxmlformats.org/officeDocument/2006/relationships/hyperlink" Target="https://artechnologie13.sharepoint.com/sites/Bureaud'tudeAR-TECHNOLOGIE/DOSSIER%20POI/Forms/AllItems.aspx?id=%2Fsites%2FBureaud%27tudeAR%2DTECHNOLOGIE%2FDOSSIER%20POI%2FMEN%2FMEN600034&amp;sortField=Modified&amp;isAscending=false&amp;viewid=ba243776%2Df837%2D4ace%2D8ee9%2D939a5753cc77&amp;FolderCTID=0x0120001BD1B7A29D5EA04EB7553F36EEAEE8D2" TargetMode="External"/><Relationship Id="rId171" Type="http://schemas.openxmlformats.org/officeDocument/2006/relationships/hyperlink" Target="https://artechnologie13.sharepoint.com/sites/Bureaud%27tudeAR-TECHNOLOGIE/DOSSIER%20POI/Forms/AllItems.aspx?id=%2Fsites%2FBureaud%27tudeAR%2DTECHNOLOGIE%2FDOSSIER%20POI%2FROD%2FROD600072&amp;sortField=Modified&amp;isAscending=false&amp;viewid=ba243776%2Df837%2D4ace%2D8ee9%2D939a5753cc77&amp;csf=1&amp;web=1&amp;e=gs979d&amp;CID=62f44cec%2D22a3%2D45af%2D97cb%2D96c2f484fdb6&amp;FolderCTID=0x0120001BD1B7A29D5EA04EB7553F36EEAEE8D2&amp;view=7" TargetMode="External"/><Relationship Id="rId227" Type="http://schemas.openxmlformats.org/officeDocument/2006/relationships/hyperlink" Target="https://artechnologie13.sharepoint.com/sites/Bureaud'tudeAR-TECHNOLOGIE/DOSSIER%20POI/Forms/AllItems.aspx?id=%2Fsites%2FBureaud%27tudeAR%2DTECHNOLOGIE%2FDOSSIER%20POI%2FMEN%2FMEN500382&amp;sortField=Modified&amp;isAscending=false&amp;viewid=ba243776%2Df837%2D4ace%2D8ee9%2D939a5753cc77&amp;view=7" TargetMode="External"/><Relationship Id="rId269" Type="http://schemas.openxmlformats.org/officeDocument/2006/relationships/hyperlink" Target="https://artechnologie13.sharepoint.com/:f:/r/sites/Bureaud%27tudeAR-TECHNOLOGIE/DOSSIER%20POI/MEN/MEN500219?csf=1&amp;web=1&amp;e=KEiT83" TargetMode="External"/><Relationship Id="rId33" Type="http://schemas.openxmlformats.org/officeDocument/2006/relationships/hyperlink" Target="https://artechnologie13.sharepoint.com/sites/Bureaud'tudeAR-TECHNOLOGIE/DOSSIER%20POI/Forms/AllItems.aspx?id=%2Fsites%2FBureaud%27tudeAR%2DTECHNOLOGIE%2FDOSSIER%20POI%2FROD%2FROD500893&amp;sortField=Modified&amp;isAscending=false&amp;viewid=ba243776%2Df837%2D4ace%2D8ee9%2D939a5753cc77&amp;csf=1&amp;web=1&amp;e=xUPcuK&amp;CID=e382a5b9%2D168f%2D4447%2D9601%2D78fc7bfb7038&amp;FolderCTID=0x0120001BD1B7A29D5EA04EB7553F36EEAEE8D2" TargetMode="External"/><Relationship Id="rId129" Type="http://schemas.openxmlformats.org/officeDocument/2006/relationships/hyperlink" Target="https://artechnologie13.sharepoint.com/sites/Bureaud'tudeAR-TECHNOLOGIE/DOSSIER%20POI/Forms/AllItems.aspx?id=%2Fsites%2FBureaud%27tudeAR%2DTECHNOLOGIE%2FDOSSIER%20POI%2FROD%2FROD501946&amp;sortField=Modified&amp;isAscending=false&amp;viewid=ba243776%2Df837%2D4ace%2D8ee9%2D939a5753cc77" TargetMode="External"/><Relationship Id="rId280" Type="http://schemas.openxmlformats.org/officeDocument/2006/relationships/hyperlink" Target="https://artechnologie13.sharepoint.com/:f:/r/sites/Bureaud%27tudeAR-TECHNOLOGIE/DOSSIER%20POI/MEN/MEN500280?csf=1&amp;web=1&amp;e=huIgXT" TargetMode="External"/><Relationship Id="rId336" Type="http://schemas.openxmlformats.org/officeDocument/2006/relationships/hyperlink" Target="https://artechnologie13.sharepoint.com/sites/Bureaud'tudeAR-TECHNOLOGIE/DOSSIER%20POI/Forms/AllItems.aspx?id=%2Fsites%2FBureaud%27tudeAR%2DTECHNOLOGIE%2FDOSSIER%20POI%2FMEN%2FMEN600068&amp;sortField=Modified&amp;isAscending=false&amp;viewid=ba243776%2Df837%2D4ace%2D8ee9%2D939a5753cc77&amp;FolderCTID=0x0120001BD1B7A29D5EA04EB7553F36EEAEE8D2" TargetMode="External"/><Relationship Id="rId75" Type="http://schemas.openxmlformats.org/officeDocument/2006/relationships/hyperlink" Target="https://artechnologie13.sharepoint.com/sites/Bureaud%27tudeAR-TECHNOLOGIE/DOSSIER%20POI/Forms/AllItems.aspx?id=%2Fsites%2FBureaud%27tudeAR%2DTECHNOLOGIE%2FDOSSIER%20POI%2FROD%2FROD401787&amp;sortField=Modified&amp;isAscending=false&amp;viewid=ba243776%2Df837%2D4ace%2D8ee9%2D939a5753cc77&amp;csf=1&amp;web=1&amp;e=m0NFE2&amp;CID=c26ff311%2D2481%2D4e6e%2D9ec1%2D1d2e7a68be3e&amp;FolderCTID=0x0120001BD1B7A29D5EA04EB7553F36EEAEE8D2&amp;view=7" TargetMode="External"/><Relationship Id="rId140" Type="http://schemas.openxmlformats.org/officeDocument/2006/relationships/hyperlink" Target="https://artechnologie13.sharepoint.com/sites/Bureaud'tudeAR-TECHNOLOGIE/DOSSIER%20POI/Forms/AllItems.aspx?id=%2Fsites%2FBureaud%27tudeAR%2DTECHNOLOGIE%2FDOSSIER%20POI%2FROD%2FROD502024&amp;sortField=Modified&amp;isAscending=false&amp;viewid=ba243776%2Df837%2D4ace%2D8ee9%2D939a5753cc77&amp;csf=1&amp;web=1&amp;e=JhATME&amp;CID=028de158%2Dd4dc%2D48b6%2D89c4%2Ddb1f4163a833&amp;FolderCTID=0x0120001BD1B7A29D5EA04EB7553F36EEAEE8D2" TargetMode="External"/><Relationship Id="rId182" Type="http://schemas.openxmlformats.org/officeDocument/2006/relationships/hyperlink" Target="https://artechnologie13.sharepoint.com/sites/Bureaud'tudeAR-TECHNOLOGIE/DOSSIER%20POI/Forms/AllItems.aspx?id=%2Fsites%2FBureaud%27tudeAR%2DTECHNOLOGIE%2FDOSSIER%20POI%2FROD%2FROD401937&amp;sortField=Modified&amp;isAscending=false&amp;viewid=ba243776%2Df837%2D4ace%2D8ee9%2D939a5753cc77" TargetMode="External"/><Relationship Id="rId6"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sAscending=false&amp;id=%2Fsites%2FBureaud%27tudeAR%2DTECHNOLOGIE%2FDOSSIER%20POI%2FROD%2FROD500574&amp;sortField=LinkFilename&amp;viewid=ba243776%2Df837%2D4ace%2D8ee9%2D939a5753cc77" TargetMode="External"/><Relationship Id="rId238" Type="http://schemas.openxmlformats.org/officeDocument/2006/relationships/hyperlink" Target="https://artechnologie13.sharepoint.com/sites/Bureaud'tudeAR-TECHNOLOGIE/DOSSIER%20POI/Forms/AllItems.aspx?id=%2Fsites%2FBureaud%27tudeAR%2DTECHNOLOGIE%2FDOSSIER%20POI%2FMEN%2FMEN500416&amp;sortField=Modified&amp;isAscending=false&amp;viewid=ba243776%2Df837%2D4ace%2D8ee9%2D939a5753cc77&amp;csf=1&amp;web=1&amp;e=2UATb9&amp;CID=1129da57%2Dd4d2%2D4656%2Db057%2D469b7e857027&amp;FolderCTID=0x0120001BD1B7A29D5EA04EB7553F36EEAEE8D2" TargetMode="External"/><Relationship Id="rId291" Type="http://schemas.openxmlformats.org/officeDocument/2006/relationships/hyperlink" Target="https://artechnologie13.sharepoint.com/sites/Bureaud'tudeAR-TECHNOLOGIE/DOSSIER%20POI/Forms/AllItems.aspx?id=%2Fsites%2FBureaud%27tudeAR%2DTECHNOLOGIE%2FDOSSIER%20POI%2FMEN%2FMEN500490&amp;sortField=Modified&amp;isAscending=false&amp;viewid=ba243776%2Df837%2D4ace%2D8ee9%2D939a5753cc77&amp;csf=1&amp;web=1&amp;e=2UATb9&amp;CID=1129da57%2Dd4d2%2D4656%2Db057%2D469b7e857027&amp;FolderCTID=0x0120001BD1B7A29D5EA04EB7553F36EEAEE8D2" TargetMode="External"/><Relationship Id="rId305" Type="http://schemas.openxmlformats.org/officeDocument/2006/relationships/hyperlink" Target="https://artechnologie13.sharepoint.com/sites/Bureaud'tudeAR-TECHNOLOGIE/DOSSIER%20POI/Forms/AllItems.aspx?id=%2Fsites%2FBureaud%27tudeAR%2DTECHNOLOGIE%2FDOSSIER%20POI%2FMEN%2FMEN400329&amp;sortField=Modified&amp;isAscending=false&amp;viewid=ba243776%2Df837%2D4ace%2D8ee9%2D939a5753cc77&amp;FolderCTID=0x0120001BD1B7A29D5EA04EB7553F36EEAEE8D2" TargetMode="External"/><Relationship Id="rId44" Type="http://schemas.openxmlformats.org/officeDocument/2006/relationships/hyperlink" Target="https://artechnologie13.sharepoint.com/sites/Bureaud'tudeAR-TECHNOLOGIE/DOSSIER%20POI/Forms/AllItems.aspx?id=%2Fsites%2FBureaud%27tudeAR%2DTECHNOLOGIE%2FDOSSIER%20POI%2FROD%2FROD501148&amp;sortField=LinkFilename&amp;isAscending=false&amp;viewid=ba243776%2Df837%2D4ace%2D8ee9%2D939a5753cc77&amp;csf=1&amp;web=1&amp;e=wXAjoh&amp;CID=033b4116%2D656c%2D4ff3%2Da705%2D325ecfa46a89&amp;FolderCTID=0x0120001BD1B7A29D5EA04EB7553F36EEAEE8D2" TargetMode="External"/><Relationship Id="rId86" Type="http://schemas.openxmlformats.org/officeDocument/2006/relationships/hyperlink" Target="https://artechnologie13.sharepoint.com/sites/Bureaud'tudeAR-TECHNOLOGIE/DOSSIER%20POI/Forms/AllItems.aspx?id=%2Fsites%2FBureaud%27tudeAR%2DTECHNOLOGIE%2FDOSSIER%20POI%2FROD%2FROD500263&amp;sortField=Modified&amp;isAscending=false&amp;viewid=ba243776%2Df837%2D4ace%2D8ee9%2D939a5753cc77&amp;csf=1&amp;web=1&amp;e=ywV4ci&amp;CID=8a368264%2D6d13%2D449a%2D9bb4%2Dd27682d10b0a&amp;FolderCTID=0x0120001BD1B7A29D5EA04EB7553F36EEAEE8D2&amp;view=7" TargetMode="External"/><Relationship Id="rId151" Type="http://schemas.openxmlformats.org/officeDocument/2006/relationships/hyperlink" Target="https://artechnologie13.sharepoint.com/sites/Bureaud'tudeAR-TECHNOLOGIE/DOSSIER%20POI/Forms/AllItems.aspx?id=%2Fsites%2FBureaud%27tudeAR%2DTECHNOLOGIE%2FDOSSIER%20POI%2FROD%2FROD502091%2D%20ROD502092&amp;sortField=Modified&amp;isAscending=false&amp;viewid=ba243776%2Df837%2D4ace%2D8ee9%2D939a5753cc77" TargetMode="External"/><Relationship Id="rId193" Type="http://schemas.openxmlformats.org/officeDocument/2006/relationships/hyperlink" Target="https://artechnologie13.sharepoint.com/sites/Bureaud'tudeAR-TECHNOLOGIE/DOSSIER%20POI/Forms/AllItems.aspx?id=%2Fsites%2FBureaud%27tudeAR%2DTECHNOLOGIE%2FDOSSIER%20POI%2FROD%2FROD600204&amp;sortField=Modified&amp;isAscending=false&amp;viewid=ba243776%2Df837%2D4ace%2D8ee9%2D939a5753cc77&amp;csf=1&amp;CID=028de158%2Dd4dc%2D48b6%2D89c4%2Ddb1f4163a833&amp;FolderCTID=0x0120001BD1B7A29D5EA04EB7553F36EEAEE8D2" TargetMode="External"/><Relationship Id="rId207" Type="http://schemas.openxmlformats.org/officeDocument/2006/relationships/hyperlink" Target="https://artechnologie13.sharepoint.com/sites/Bureaud'tudeAR-TECHNOLOGIE/DOSSIER%20POI/Forms/AllItems.aspx?id=%2Fsites%2FBureaud%27tudeAR%2DTECHNOLOGIE%2FDOSSIER%20POI%2FROD%2FROD600283&amp;sortField=Modified&amp;isAscending=false&amp;viewid=ba243776%2Df837%2D4ace%2D8ee9%2D939a5753cc77" TargetMode="External"/><Relationship Id="rId249" Type="http://schemas.openxmlformats.org/officeDocument/2006/relationships/hyperlink" Target="https://artechnologie13.sharepoint.com/sites/Bureaud'tudeAR-TECHNOLOGIE/DOSSIER%20POI/Forms/AllItems.aspx?id=%2Fsites%2FBureaud%27tudeAR%2DTECHNOLOGIE%2FDOSSIER%20POI%2FMEN%2FMEN500679&amp;sortField=Modified&amp;isAscending=false&amp;viewid=ba243776%2Df837%2D4ace%2D8ee9%2D939a5753cc77&amp;csf=1&amp;web=1&amp;e=xJSWPp&amp;CID=834583a6%2D0b09%2D4127%2D93b5%2Dc71f4baa33f8&amp;FolderCTID=0x0120001BD1B7A29D5EA04EB7553F36EEAEE8D2" TargetMode="External"/><Relationship Id="rId13" Type="http://schemas.openxmlformats.org/officeDocument/2006/relationships/hyperlink" Target="https://artechnologie13.sharepoint.com/sites/Bureaud'tudeAR-TECHNOLOGIE/DOSSIER%20POI/Forms/AllItems.aspx?id=%2Fsites%2FBureaud%27tudeAR%2DTECHNOLOGIE%2FDOSSIER%20POI%2FROD%2FROD500708&amp;sortField=Modified&amp;isAscending=false&amp;viewid=ba243776%2Df837%2D4ace%2D8ee9%2D939a5753cc77&amp;csf=1&amp;web=1&amp;e=zg2kyq&amp;CID=0c563d64%2Df1ef%2D4e74%2D84ad%2Da7db8c378009&amp;FolderCTID=0x0120001BD1B7A29D5EA04EB7553F36EEAEE8D2" TargetMode="External"/><Relationship Id="rId109" Type="http://schemas.openxmlformats.org/officeDocument/2006/relationships/hyperlink" Target="https://artechnologie13.sharepoint.com/sites/Bureaud'tudeAR-TECHNOLOGIE/DOSSIER%20POI/Forms/AllItems.aspx?id=%2Fsites%2FBureaud%27tudeAR%2DTECHNOLOGIE%2FDOSSIER%20POI%2FROD%2FROD500994&amp;sortField=Modified&amp;isAscending=false&amp;viewid=ba243776%2Df837%2D4ace%2D8ee9%2D939a5753cc77" TargetMode="External"/><Relationship Id="rId260" Type="http://schemas.openxmlformats.org/officeDocument/2006/relationships/hyperlink" Target="https://artechnologie13.sharepoint.com/sites/Bureaud'tudeAR-TECHNOLOGIE/DOSSIER%20POI/Forms/AllItems.aspx?id=%2Fsites%2FBureaud%27tudeAR%2DTECHNOLOGIE%2FDOSSIER%20POI%2FMEN%2FMEN600021&amp;sortField=Modified&amp;isAscending=false&amp;viewid=ba243776%2Df837%2D4ace%2D8ee9%2D939a5753cc77&amp;FolderCTID=0x0120001BD1B7A29D5EA04EB7553F36EEAEE8D2" TargetMode="External"/><Relationship Id="rId316" Type="http://schemas.openxmlformats.org/officeDocument/2006/relationships/hyperlink" Target="https://artechnologie13.sharepoint.com/sites/Bureaud'tudeAR-TECHNOLOGIE/DOSSIER%20POI/Forms/AllItems.aspx?id=%2Fsites%2FBureaud%27tudeAR%2DTECHNOLOGIE%2FDOSSIER%20POI%2FMEN%2FMEN600010&amp;sortField=Modified&amp;isAscending=false&amp;viewid=ba243776%2Df837%2D4ace%2D8ee9%2D939a5753cc77" TargetMode="External"/><Relationship Id="rId55" Type="http://schemas.openxmlformats.org/officeDocument/2006/relationships/hyperlink" Target="https://artechnologie13.sharepoint.com/sites/Bureaud'tudeAR-TECHNOLOGIE/DOSSIER%20POI/Forms/AllItems.aspx?id=%2Fsites%2FBureaud%27tudeAR%2DTECHNOLOGIE%2FDOSSIER%20POI%2FROD%2FROD501264&amp;sortField=Modified&amp;isAscending=false&amp;viewid=ba243776%2Df837%2D4ace%2D8ee9%2D939a5753cc77&amp;csf=1&amp;web=1&amp;e=JhATME&amp;CID=028de158%2Dd4dc%2D48b6%2D89c4%2Ddb1f4163a833&amp;FolderCTID=0x0120001BD1B7A29D5EA04EB7553F36EEAEE8D2" TargetMode="External"/><Relationship Id="rId97" Type="http://schemas.openxmlformats.org/officeDocument/2006/relationships/hyperlink" Target="https://artechnologie13.sharepoint.com/:f:/s/Bureaud'tudeAR-TECHNOLOGIE/EkovnZ1gTkNLj9IGla1Ld_oBHGOIU9J-ePcV14296_uZ6w?e=twbPHM" TargetMode="External"/><Relationship Id="rId120" Type="http://schemas.openxmlformats.org/officeDocument/2006/relationships/hyperlink" Target="https://artechnologie13.sharepoint.com/sites/Bureaud'tudeAR-TECHNOLOGIE/DOSSIER%20POI/Forms/AllItems.aspx?id=%2Fsites%2FBureaud%27tudeAR%2DTECHNOLOGIE%2FDOSSIER%20POI%2FROD%2FROD501874&amp;sortField=Modified&amp;isAscending=false&amp;viewid=ba243776%2Df837%2D4ace%2D8ee9%2D939a5753cc77" TargetMode="External"/><Relationship Id="rId162" Type="http://schemas.openxmlformats.org/officeDocument/2006/relationships/hyperlink" Target="https://artechnologie13.sharepoint.com/sites/Bureaud'tudeAR-TECHNOLOGIE/DOSSIER%20POI/Forms/AllItems.aspx?id=%2Fsites%2FBureaud%27tudeAR%2DTECHNOLOGIE%2FDOSSIER%20POI%2FROD%2FROD600027&amp;sortField=Modified&amp;isAscending=false&amp;viewid=ba243776%2Df837%2D4ace%2D8ee9%2D939a5753cc77" TargetMode="External"/><Relationship Id="rId218" Type="http://schemas.openxmlformats.org/officeDocument/2006/relationships/hyperlink" Target="https://artechnologie13.sharepoint.com/sites/Bureaud%27tudeAR-TECHNOLOGIE/DOSSIER%20POI/Forms/AllItems.aspx?id=%2Fsites%2FBureaud%27tudeAR%2DTECHNOLOGIE%2FDOSSIER%20POI%2FROD%2FROD501105&amp;sortField=Modified&amp;isAscending=false&amp;viewid=ba243776%2Df837%2D4ace%2D8ee9%2D939a5753cc77&amp;csf=1&amp;web=1&amp;e=kGBMXs&amp;CID=99ecfc67%2D50d1%2D470b%2Db438%2D40c98d69e2e2&amp;FolderCTID=0x0120001BD1B7A29D5EA04EB7553F36EEAEE8D2" TargetMode="External"/><Relationship Id="rId271" Type="http://schemas.openxmlformats.org/officeDocument/2006/relationships/hyperlink" Target="https://artechnologie13.sharepoint.com/:f:/r/sites/Bureaud%27tudeAR-TECHNOLOGIE/DOSSIER%20POI/MEN/MEN500223?csf=1&amp;web=1&amp;e=qNDoYi" TargetMode="External"/><Relationship Id="rId24" Type="http://schemas.openxmlformats.org/officeDocument/2006/relationships/hyperlink" Target="https://artechnologie13.sharepoint.com/:f:/r/sites/Bureaud%27tudeAR-TECHNOLOGIE/DOSSIER%20POI/ROD/ROD500797?csf=1&amp;web=1&amp;e=MIfdVn" TargetMode="External"/><Relationship Id="rId66" Type="http://schemas.openxmlformats.org/officeDocument/2006/relationships/hyperlink" Target="https://artechnologie13.sharepoint.com/sites/Bureaud'tudeAR-TECHNOLOGIE/DOSSIER%20POI/Forms/AllItems.aspx?id=%2Fsites%2FBureaud%27tudeAR%2DTECHNOLOGIE%2FDOSSIER%20POI%2FROD%2FROD501439&amp;sortField=Modified&amp;isAscending=false&amp;viewid=ba243776%2Df837%2D4ace%2D8ee9%2D939a5753cc77&amp;csf=1&amp;web=1&amp;e=m0NFE2&amp;CID=c26ff311%2D2481%2D4e6e%2D9ec1%2D1d2e7a68be3e&amp;FolderCTID=0x0120001BD1B7A29D5EA04EB7553F36EEAEE8D2" TargetMode="External"/><Relationship Id="rId131" Type="http://schemas.openxmlformats.org/officeDocument/2006/relationships/hyperlink" Target="https://artechnologie13.sharepoint.com/sites/Bureaud'tudeAR-TECHNOLOGIE/DOSSIER%20POI/Forms/AllItems.aspx?id=%2Fsites%2FBureaud%27tudeAR%2DTECHNOLOGIE%2FDOSSIER%20POI%2FROD%2FROD501960&amp;sortField=Modified&amp;isAscending=false&amp;viewid=ba243776%2Df837%2D4ace%2D8ee9%2D939a5753cc77" TargetMode="External"/><Relationship Id="rId327" Type="http://schemas.openxmlformats.org/officeDocument/2006/relationships/hyperlink" Target="https://artechnologie13.sharepoint.com/sites/Bureaud'tudeAR-TECHNOLOGIE/DOSSIER%20POI/Forms/AllItems.aspx?id=%2Fsites%2FBureaud%27tudeAR%2DTECHNOLOGIE%2FDOSSIER%20POI%2FMEN%2FMEN600045&amp;sortField=Modified&amp;isAscending=false&amp;viewid=ba243776%2Df837%2D4ace%2D8ee9%2D939a5753cc77&amp;FolderCTID=0x0120001BD1B7A29D5EA04EB7553F36EEAEE8D2" TargetMode="External"/><Relationship Id="rId173" Type="http://schemas.openxmlformats.org/officeDocument/2006/relationships/hyperlink" Target="https://artechnologie13.sharepoint.com/sites/Bureaud'tudeAR-TECHNOLOGIE/DOSSIER%20POI/Forms/AllItems.aspx?id=%2Fsites%2FBureaud%27tudeAR%2DTECHNOLOGIE%2FDOSSIER%20POI%2FROD%2FROD600081&amp;sortField=Modified&amp;isAscending=false&amp;viewid=ba243776%2Df837%2D4ace%2D8ee9%2D939a5753cc77&amp;csf=1&amp;web=1&amp;e=JhATME&amp;CID=028de158%2Dd4dc%2D48b6%2D89c4%2Ddb1f4163a833&amp;FolderCTID=0x0120001BD1B7A29D5EA04EB7553F36EEAEE8D2" TargetMode="External"/><Relationship Id="rId229" Type="http://schemas.openxmlformats.org/officeDocument/2006/relationships/hyperlink" Target="https://artechnologie13.sharepoint.com/sites/Bureaud'tudeAR-TECHNOLOGIE/DOSSIER%20POI/Forms/AllItems.aspx?id=%2Fsites%2FBureaud%27tudeAR%2DTECHNOLOGIE%2FDOSSIER%20POI%2FMEN%2FMPL500844&amp;sortField=Modified&amp;isAscending=false&amp;viewid=ba243776%2Df837%2D4ace%2D8ee9%2D939a5753cc77&amp;csf=1&amp;web=1&amp;e=057i8G&amp;CID=11093229%2D73ad%2D422e%2D9fb9%2D6261fc8030f4&amp;FolderCTID=0x0120001BD1B7A29D5EA04EB7553F36EEAEE8D2"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artechnologie13.sharepoint.com/sites/Bureaud'tudeAR-TECHNOLOGIE/DOSSIER%20POI/Forms/AllItems.aspx?id=%2Fsites%2FBureaud%27tudeAR%2DTECHNOLOGIE%2FDOSSIER%20POI%2FQPR%20%2D%20CRO%2FQPR402104&amp;sortField=Modified&amp;isAscending=false&amp;viewid=ba243776%2Df837%2D4ace%2D8ee9%2D939a5753cc77&amp;FolderCTID=0x0120001BD1B7A29D5EA04EB7553F36EEAEE8D2" TargetMode="External"/><Relationship Id="rId21" Type="http://schemas.openxmlformats.org/officeDocument/2006/relationships/hyperlink" Target="https://artechnologie13.sharepoint.com/sites/Bureaud'tudeAR-TECHNOLOGIE/DOSSIER%20POI/Forms/AllItems.aspx?id=%2Fsites%2FBureaud%27tudeAR%2DTECHNOLOGIE%2FDOSSIER%20POI%2FQPR%20%2D%20CRO%2FVAN500982&amp;sortField=Modified&amp;isAscending=false&amp;viewid=ba243776%2Df837%2D4ace%2D8ee9%2D939a5753cc77&amp;csf=1&amp;web=1&amp;e=owQXVh&amp;CID=c5b168e7%2D67df%2D41af%2Db0d7%2D508a6306f4cd&amp;FolderCTID=0x0120001BD1B7A29D5EA04EB7553F36EEAEE8D2" TargetMode="External"/><Relationship Id="rId63" Type="http://schemas.openxmlformats.org/officeDocument/2006/relationships/hyperlink" Target="https://artechnologie13.sharepoint.com/sites/Bureaud'tudeAR-TECHNOLOGIE/DOSSIER%20POI/Forms/AllItems.aspx?id=%2Fsites%2FBureaud%27tudeAR%2DTECHNOLOGIE%2FDOSSIER%20POI%2FQPR%20%2D%20CRO%2FQPR501171&amp;sortField=Modified&amp;isAscending=false&amp;viewid=ba243776%2Df837%2D4ace%2D8ee9%2D939a5753cc77&amp;csf=1&amp;web=1&amp;e=owQXVh&amp;CID=c5b168e7%2D67df%2D41af%2Db0d7%2D508a6306f4cd&amp;FolderCTID=0x0120001BD1B7A29D5EA04EB7553F36EEAEE8D2&amp;view=7" TargetMode="External"/><Relationship Id="rId159" Type="http://schemas.openxmlformats.org/officeDocument/2006/relationships/hyperlink" Target="https://artechnologie13.sharepoint.com/sites/Bureaud%27tudeAR-TECHNOLOGIE/DOSSIER%20POI/Forms/AllItems.aspx?id=%2Fsites%2FBureaud%27tudeAR%2DTECHNOLOGIE%2FDOSSIER%20POI%2FQPR%20%2D%20CRO%2FRRE501826&amp;viewid=ba243776%2Df837%2D4ace%2D8ee9%2D939a5753cc77&amp;view=7" TargetMode="External"/><Relationship Id="rId170" Type="http://schemas.openxmlformats.org/officeDocument/2006/relationships/hyperlink" Target="https://artechnologie13.sharepoint.com/:f:/s/Bureaud'tudeAR-TECHNOLOGIE/IgD4kQxukjK3T4HIE4tdSODiAfAMCGY1My-r31Z-Jc19Bic?e=WRFybs" TargetMode="External"/><Relationship Id="rId226" Type="http://schemas.openxmlformats.org/officeDocument/2006/relationships/hyperlink" Target="https://artechnologie13.sharepoint.com/sites/Bureaud%27tudeAR-TECHNOLOGIE/DOSSIER%20POI/Forms/AllItems.aspx?id=%2Fsites%2FBureaud%27tudeAR%2DTECHNOLOGIE%2FDOSSIER%20POI%2FQPR%20%2D%20CRO%2FQPR600256&amp;sortField=Modified&amp;isAscending=false&amp;viewid=ba243776%2Df837%2D4ace%2D8ee9%2D939a5753cc77&amp;csf=1&amp;CID=c5b168e7%2D67df%2D41af%2Db0d7%2D508a6306f4cd&amp;FolderCTID=0x0120001BD1B7A29D5EA04EB7553F36EEAEE8D2" TargetMode="External"/><Relationship Id="rId268" Type="http://schemas.openxmlformats.org/officeDocument/2006/relationships/hyperlink" Target="https://artechnologie13.sharepoint.com/sites/Bureaud%27tudeAR-TECHNOLOGIE/DOSSIER%20POI/Forms/AllItems.aspx?id=%2Fsites%2FBureaud%27tudeAR%2DTECHNOLOGIE%2FDOSSIER%20POI%2FQPR%20%2D%20CRO%2FVAN600453&amp;sortField=Modified&amp;isAscending=false&amp;viewid=ba243776%2Df837%2D4ace%2D8ee9%2D939a5753cc77&amp;csf=1&amp;CID=c5b168e7%2D67df%2D41af%2Db0d7%2D508a6306f4cd&amp;FolderCTID=0x0120001BD1B7A29D5EA04EB7553F36EEAEE8D2" TargetMode="External"/><Relationship Id="rId32" Type="http://schemas.openxmlformats.org/officeDocument/2006/relationships/hyperlink" Target="https://artechnologie13.sharepoint.com/sites/Bureaud'tudeAR-TECHNOLOGIE/DOSSIER%20POI/Forms/AllItems.aspx?id=%2Fsites%2FBureaud%27tudeAR%2DTECHNOLOGIE%2FDOSSIER%20POI%2FQPR%20%2D%20CRO%2FQPR500992&amp;sortField=Modified&amp;isAscending=false&amp;viewid=ba243776%2Df837%2D4ace%2D8ee9%2D939a5753cc77&amp;csf=1&amp;web=1&amp;e=owQXVh&amp;CID=c5b168e7%2D67df%2D41af%2Db0d7%2D508a6306f4cd&amp;FolderCTID=0x0120001BD1B7A29D5EA04EB7553F36EEAEE8D2" TargetMode="External"/><Relationship Id="rId74" Type="http://schemas.openxmlformats.org/officeDocument/2006/relationships/hyperlink" Target="https://artechnologie13.sharepoint.com/sites/Bureaud'tudeAR-TECHNOLOGIE/DOSSIER%20POI/Forms/AllItems.aspx?id=%2Fsites%2FBureaud%27tudeAR%2DTECHNOLOGIE%2FDOSSIER%20POI%2FQPR%20%2D%20CRO%2FLOR501041&amp;sortField=Modified&amp;isAscending=false&amp;viewid=ba243776%2Df837%2D4ace%2D8ee9%2D939a5753cc77&amp;csf=1&amp;web=1&amp;e=owQXVh&amp;CID=c5b168e7%2D67df%2D41af%2Db0d7%2D508a6306f4cd&amp;FolderCTID=0x0120001BD1B7A29D5EA04EB7553F36EEAEE8D2" TargetMode="External"/><Relationship Id="rId128" Type="http://schemas.openxmlformats.org/officeDocument/2006/relationships/hyperlink" Target="https://artechnologie13.sharepoint.com/sites/Bureaud'tudeAR-TECHNOLOGIE/DOSSIER%20POI/Forms/AllItems.aspx?id=%2Fsites%2FBureaud%27tudeAR%2DTECHNOLOGIE%2FDOSSIER%20POI%2FQPR%20%2D%20CRO%2FQPR501965&amp;sortField=Modified&amp;isAscending=false&amp;viewid=ba243776%2Df837%2D4ace%2D8ee9%2D939a5753cc77&amp;FolderCTID=0x0120001BD1B7A29D5EA04EB7553F36EEAEE8D2" TargetMode="External"/><Relationship Id="rId5" Type="http://schemas.openxmlformats.org/officeDocument/2006/relationships/hyperlink" Target="https://artechnologie13.sharepoint.com/sites/Bureaud'tudeAR-TECHNOLOGIE/DOSSIER%20POI/Forms/AllItems.aspx?id=%2Fsites%2FBureaud%27tudeAR%2DTECHNOLOGIE%2FDOSSIER%20POI%2FQPR%20%2D%20CRO%2FQPR402367%2FRetour%20VT%20suite%20r%C3%A9union%20mairie&amp;sortField=Modified&amp;isAscending=false&amp;viewid=ba243776%2Df837%2D4ace%2D8ee9%2D939a5753cc77&amp;csf=1&amp;web=1&amp;e=rpmcna&amp;CID=89330d6f%2D3a99%2D424b%2D8f70%2Dcdd687054232&amp;FolderCTID=0x0120001BD1B7A29D5EA04EB7553F36EEAEE8D2" TargetMode="External"/><Relationship Id="rId181" Type="http://schemas.openxmlformats.org/officeDocument/2006/relationships/hyperlink" Target="https://artechnologie13.sharepoint.com/sites/Bureaud%27tudeAR-TECHNOLOGIE/DOSSIER%20POI/Forms/AllItems.aspx?id=%2Fsites%2FBureaud%27tudeAR%2DTECHNOLOGIE%2FDOSSIER%20POI%2FQPR%20%2D%20CRO%2FQPR600084&amp;sortField=Modified&amp;isAscending=false&amp;viewid=ba243776%2Df837%2D4ace%2D8ee9%2D939a5753cc77&amp;FolderCTID=0x0120001BD1B7A29D5EA04EB7553F36EEAEE8D2" TargetMode="External"/><Relationship Id="rId237" Type="http://schemas.openxmlformats.org/officeDocument/2006/relationships/hyperlink" Target="https://artechnologie13.sharepoint.com/sites/Bureaud%27tudeAR-TECHNOLOGIE/DOSSIER%20POI/Forms/AllItems.aspx?id=%2Fsites%2FBureaud%27tudeAR%2DTECHNOLOGIE%2FDOSSIER%20POI%2FQPR%20%2D%20CRO%2FVAN502329&amp;sortField=Modified&amp;isAscending=false&amp;viewid=ba243776%2Df837%2D4ace%2D8ee9%2D939a5753cc77&amp;csf=1&amp;CID=c5b168e7%2D67df%2D41af%2Db0d7%2D508a6306f4cd&amp;FolderCTID=0x0120001BD1B7A29D5EA04EB7553F36EEAEE8D2" TargetMode="External"/><Relationship Id="rId258" Type="http://schemas.openxmlformats.org/officeDocument/2006/relationships/hyperlink" Target="https://artechnologie13.sharepoint.com/sites/Bureaud'tudeAR-TECHNOLOGIE/DOSSIER%20POI/Forms/AllItems.aspx?sortField=Modified&amp;isAscending=false&amp;viewid=ba243776%2Df837%2D4ace%2D8ee9%2D939a5753cc77&amp;FolderCTID=0x0120001BD1B7A29D5EA04EB7553F36EEAEE8D2&amp;id=%2Fsites%2FBureaud%27tudeAR%2DTECHNOLOGIE%2FDOSSIER%20POI%2FQPR%20%2D%20CRO%2FVAN600238%2FVAN600238%2Epdf&amp;parent=%2Fsites%2FBureaud%27tudeAR%2DTECHNOLOGIE%2FDOSSIER%20POI%2FQPR%20%2D%20CRO%2FVAN600238" TargetMode="External"/><Relationship Id="rId22" Type="http://schemas.openxmlformats.org/officeDocument/2006/relationships/hyperlink" Target="https://artechnologie13.sharepoint.com/sites/Bureaud'tudeAR-TECHNOLOGIE/DOSSIER%20POI/Forms/AllItems.aspx?id=%2Fsites%2FBureaud%27tudeAR%2DTECHNOLOGIE%2FDOSSIER%20POI%2FQPR%20%2D%20CRO%2FVAN501000&amp;sortField=Modified&amp;isAscending=false&amp;viewid=ba243776%2Df837%2D4ace%2D8ee9%2D939a5753cc77&amp;csf=1&amp;web=1&amp;e=owQXVh&amp;CID=c5b168e7%2D67df%2D41af%2Db0d7%2D508a6306f4cd&amp;FolderCTID=0x0120001BD1B7A29D5EA04EB7553F36EEAEE8D2" TargetMode="External"/><Relationship Id="rId43" Type="http://schemas.openxmlformats.org/officeDocument/2006/relationships/hyperlink" Target="https://artechnologie13.sharepoint.com/sites/Bureaud'tudeAR-TECHNOLOGIE/DOSSIER%20POI/Forms/AllItems.aspx?id=%2Fsites%2FBureaud%27tudeAR%2DTECHNOLOGIE%2FDOSSIER%20POI%2FQPR%20%2D%20CRO%2FQPR501010&amp;sortField=Modified&amp;isAscending=false&amp;viewid=ba243776%2Df837%2D4ace%2D8ee9%2D939a5753cc77&amp;csf=1&amp;web=1&amp;e=owQXVh&amp;CID=c5b168e7%2D67df%2D41af%2Db0d7%2D508a6306f4cd&amp;FolderCTID=0x0120001BD1B7A29D5EA04EB7553F36EEAEE8D2" TargetMode="External"/><Relationship Id="rId64" Type="http://schemas.openxmlformats.org/officeDocument/2006/relationships/hyperlink" Target="https://artechnologie13.sharepoint.com/sites/Bureaud'tudeAR-TECHNOLOGIE/DOSSIER%20POI/Forms/AllItems.aspx?id=%2Fsites%2FBureaud%27tudeAR%2DTECHNOLOGIE%2FDOSSIER%20POI%2FQPR%20%2D%20CRO%2FLOR500925%2FVT%2008%2D10&amp;sortField=Modified&amp;isAscending=false&amp;viewid=ba243776%2Df837%2D4ace%2D8ee9%2D939a5753cc77&amp;csf=1&amp;web=1&amp;e=owQXVh&amp;CID=c5b168e7%2D67df%2D41af%2Db0d7%2D508a6306f4cd&amp;FolderCTID=0x0120001BD1B7A29D5EA04EB7553F36EEAEE8D2" TargetMode="External"/><Relationship Id="rId118" Type="http://schemas.openxmlformats.org/officeDocument/2006/relationships/hyperlink" Target="https://artechnologie13.sharepoint.com/sites/Bureaud'tudeAR-TECHNOLOGIE/DOSSIER%20POI/Forms/AllItems.aspx?id=%2Fsites%2FBureaud%27tudeAR%2DTECHNOLOGIE%2FDOSSIER%20POI%2FQPR%20%2D%20CRO%2FCRO500261&amp;sortField=Modified&amp;isAscending=false&amp;viewid=ba243776%2Df837%2D4ace%2D8ee9%2D939a5753cc77&amp;FolderCTID=0x0120001BD1B7A29D5EA04EB7553F36EEAEE8D2" TargetMode="External"/><Relationship Id="rId139" Type="http://schemas.openxmlformats.org/officeDocument/2006/relationships/hyperlink" Target="https://artechnologie13.sharepoint.com/sites/Bureaud'tudeAR-TECHNOLOGIE/DOSSIER%20POI/Forms/AllItems.aspx?id=%2Fsites%2FBureaud%27tudeAR%2DTECHNOLOGIE%2FDOSSIER%20POI%2FQPR%20%2D%20CRO%2FQPR501381&amp;sortField=Modified&amp;isAscending=false&amp;viewid=ba243776%2Df837%2D4ace%2D8ee9%2D939a5753cc77&amp;csf=1&amp;web=1&amp;e=owQXVh&amp;CID=c5b168e7%2D67df%2D41af%2Db0d7%2D508a6306f4cd&amp;FolderCTID=0x0120001BD1B7A29D5EA04EB7553F36EEAEE8D2" TargetMode="External"/><Relationship Id="rId85" Type="http://schemas.openxmlformats.org/officeDocument/2006/relationships/hyperlink" Target="https://artechnologie13.sharepoint.com/:f:/r/sites/Bureaud%27tudeAR-TECHNOLOGIE/DOSSIER%20POI/QPR%20-%20CRO/RRE501826?csf=1&amp;web=1&amp;e=9WvHyN" TargetMode="External"/><Relationship Id="rId150" Type="http://schemas.openxmlformats.org/officeDocument/2006/relationships/hyperlink" Target="https://artechnologie13.sharepoint.com/sites/Bureaud'tudeAR-TECHNOLOGIE/DOSSIER%20POI/Forms/AllItems.aspx?id=%2Fsites%2FBureaud%27tudeAR%2DTECHNOLOGIE%2FDOSSIER%20POI%2FQPR%20%2D%20CRO%2FLOR501398&amp;sortField=Modified&amp;isAscending=false&amp;viewid=ba243776%2Df837%2D4ace%2D8ee9%2D939a5753cc77&amp;csf=1&amp;web=1&amp;e=Hzs091&amp;CID=04134872%2Df162%2D4f8b%2Dab49%2D5cbfb7288b16&amp;FolderCTID=0x0120001BD1B7A29D5EA04EB7553F36EEAEE8D2" TargetMode="External"/><Relationship Id="rId171" Type="http://schemas.openxmlformats.org/officeDocument/2006/relationships/hyperlink" Target="https://artechnologie13.sharepoint.com/sites/Bureaud%27tudeAR-TECHNOLOGIE/DOSSIER%20POI/Forms/AllItems.aspx?id=%2Fsites%2FBureaud%27tudeAR%2DTECHNOLOGIE%2FDOSSIER%20POI%2FQPR%20%2D%20CRO%2FQPR502127&amp;sortField=Modified&amp;isAscending=false&amp;viewid=ba243776%2Df837%2D4ace%2D8ee9%2D939a5753cc77&amp;FolderCTID=0x0120001BD1B7A29D5EA04EB7553F36EEAEE8D2" TargetMode="External"/><Relationship Id="rId192" Type="http://schemas.openxmlformats.org/officeDocument/2006/relationships/hyperlink" Target="https://artechnologie13.sharepoint.com/sites/Bureaud'tudeAR-TECHNOLOGIE/DOSSIER%20POI/Forms/AllItems.aspx?id=%2Fsites%2FBureaud%27tudeAR%2DTECHNOLOGIE%2FDOSSIER%20POI%2FQPR%20%2D%20CRO%2FVAN600248&amp;sortField=Modified&amp;isAscending=false&amp;viewid=ba243776%2Df837%2D4ace%2D8ee9%2D939a5753cc77&amp;FolderCTID=0x0120001BD1B7A29D5EA04EB7553F36EEAEE8D2" TargetMode="External"/><Relationship Id="rId206" Type="http://schemas.openxmlformats.org/officeDocument/2006/relationships/hyperlink" Target="https://artechnologie13.sharepoint.com/sites/Bureaud%27tudeAR-TECHNOLOGIE/DOSSIER%20POI/Forms/AllItems.aspx?id=%2Fsites%2FBureaud%27tudeAR%2DTECHNOLOGIE%2FDOSSIER%20POI%2FQPR%20%2D%20CRO%2FVAN500832&amp;sortField=Modified&amp;isAscending=false&amp;viewid=ba243776%2Df837%2D4ace%2D8ee9%2D939a5753cc77&amp;FolderCTID=0x0120001BD1B7A29D5EA04EB7553F36EEAEE8D2" TargetMode="External"/><Relationship Id="rId227" Type="http://schemas.openxmlformats.org/officeDocument/2006/relationships/hyperlink" Target="https://artechnologie13.sharepoint.com/sites/Bureaud%27tudeAR-TECHNOLOGIE/DOSSIER%20POI/Forms/AllItems.aspx?id=%2Fsites%2FBureaud%27tudeAR%2DTECHNOLOGIE%2FDOSSIER%20POI%2FQPR%20%2D%20CRO%2FVAN600280&amp;sortField=Modified&amp;isAscending=false&amp;viewid=ba243776%2Df837%2D4ace%2D8ee9%2D939a5753cc77&amp;csf=1&amp;CID=c5b168e7%2D67df%2D41af%2Db0d7%2D508a6306f4cd&amp;FolderCTID=0x0120001BD1B7A29D5EA04EB7553F36EEAEE8D2" TargetMode="External"/><Relationship Id="rId248" Type="http://schemas.openxmlformats.org/officeDocument/2006/relationships/hyperlink" Target="https://artechnologie13.sharepoint.com/sites/Bureaud%27tudeAR-TECHNOLOGIE/DOSSIER%20POI/Forms/AllItems.aspx?id=%2Fsites%2FBureaud%27tudeAR%2DTECHNOLOGIE%2FDOSSIER%20POI%2FQPR%20%2D%20CRO%2FVAN501934&amp;sortField=Modified&amp;isAscending=false&amp;viewid=ba243776%2Df837%2D4ace%2D8ee9%2D939a5753cc77&amp;csf=1&amp;CID=c5b168e7%2D67df%2D41af%2Db0d7%2D508a6306f4cd&amp;FolderCTID=0x0120001BD1B7A29D5EA04EB7553F36EEAEE8D2" TargetMode="External"/><Relationship Id="rId269" Type="http://schemas.openxmlformats.org/officeDocument/2006/relationships/hyperlink" Target="https://artechnologie13.sharepoint.com/sites/Bureaud%27tudeAR-TECHNOLOGIE/DOSSIER%20POI/Forms/AllItems.aspx?id=%2Fsites%2FBureaud%27tudeAR%2DTECHNOLOGIE%2FDOSSIER%20POI%2FQPR%20%2D%20CRO%2FQPR600231&amp;sortField=Modified&amp;isAscending=false&amp;viewid=ba243776%2Df837%2D4ace%2D8ee9%2D939a5753cc77&amp;FolderCTID=0x0120001BD1B7A29D5EA04EB7553F36EEAEE8D2&amp;startedResponseCatch=true" TargetMode="External"/><Relationship Id="rId12" Type="http://schemas.openxmlformats.org/officeDocument/2006/relationships/hyperlink" Target="https://artechnologie13.sharepoint.com/sites/Bureaud'tudeAR-TECHNOLOGIE/DOSSIER%20POI/Forms/AllItems.aspx?id=%2Fsites%2FBureaud%27tudeAR%2DTECHNOLOGIE%2FDOSSIER%20POI%2FQPR%20%2D%20CRO%2FCRO400002&amp;viewid=ba243776%2Df837%2D4ace%2D8ee9%2D939a5753cc77&amp;csf=1&amp;web=1&amp;e=rpmcna&amp;CID=89330d6f%2D3a99%2D424b%2D8f70%2Dcdd687054232&amp;FolderCTID=0x0120001BD1B7A29D5EA04EB7553F36EEAEE8D2" TargetMode="External"/><Relationship Id="rId33" Type="http://schemas.openxmlformats.org/officeDocument/2006/relationships/hyperlink" Target="https://artechnologie13.sharepoint.com/sites/Bureaud'tudeAR-TECHNOLOGIE/DOSSIER%20POI/Forms/AllItems.aspx?id=%2Fsites%2FBureaud%27tudeAR%2DTECHNOLOGIE%2FDOSSIER%20POI%2FQPR%20%2D%20CRO%2FVAN500258&amp;sortField=Modified&amp;isAscending=false&amp;viewid=ba243776%2Df837%2D4ace%2D8ee9%2D939a5753cc77&amp;csf=1&amp;web=1&amp;e=owQXVh&amp;CID=c5b168e7%2D67df%2D41af%2Db0d7%2D508a6306f4cd&amp;FolderCTID=0x0120001BD1B7A29D5EA04EB7553F36EEAEE8D2" TargetMode="External"/><Relationship Id="rId108" Type="http://schemas.openxmlformats.org/officeDocument/2006/relationships/hyperlink" Target="https://artechnologie13.sharepoint.com/:f:/r/sites/Bureaud%27tudeAR-TECHNOLOGIE/DOSSIER%20POI/QPR%20-%20CRO/RRE501199?csf=1&amp;web=1&amp;e=4JECwS" TargetMode="External"/><Relationship Id="rId129" Type="http://schemas.openxmlformats.org/officeDocument/2006/relationships/hyperlink" Target="https://artechnologie13.sharepoint.com/sites/Bureaud'tudeAR-TECHNOLOGIE/DOSSIER%20POI/Forms/AllItems.aspx?id=%2Fsites%2FBureaud%27tudeAR%2DTECHNOLOGIE%2FDOSSIER%20POI%2FQPR%20%2D%20CRO%2FQPR501908&amp;sortField=Modified&amp;isAscending=false&amp;viewid=ba243776%2Df837%2D4ace%2D8ee9%2D939a5753cc77&amp;FolderCTID=0x0120001BD1B7A29D5EA04EB7553F36EEAEE8D2" TargetMode="External"/><Relationship Id="rId54" Type="http://schemas.openxmlformats.org/officeDocument/2006/relationships/hyperlink" Target="https://artechnologie13.sharepoint.com/:f:/r/sites/Bureaud%27tudeAR-TECHNOLOGIE/DOSSIER%20POI/QPR%20-%20CRO/RRE501466?csf=1&amp;web=1&amp;e=Is0f8A" TargetMode="External"/><Relationship Id="rId75" Type="http://schemas.openxmlformats.org/officeDocument/2006/relationships/hyperlink" Target="https://artechnologie13.sharepoint.com/sites/Bureaud'tudeAR-TECHNOLOGIE/DOSSIER%20POI/Forms/AllItems.aspx?id=%2Fsites%2FBureaud%27tudeAR%2DTECHNOLOGIE%2FDOSSIER%20POI%2FQPR%20%2D%20CRO%2FQPR501383&amp;sortField=Modified&amp;isAscending=false&amp;viewid=ba243776%2Df837%2D4ace%2D8ee9%2D939a5753cc77&amp;csf=1&amp;web=1&amp;e=owQXVh&amp;CID=c5b168e7%2D67df%2D41af%2Db0d7%2D508a6306f4cd&amp;FolderCTID=0x0120001BD1B7A29D5EA04EB7553F36EEAEE8D2" TargetMode="External"/><Relationship Id="rId96" Type="http://schemas.openxmlformats.org/officeDocument/2006/relationships/hyperlink" Target="https://artechnologie13.sharepoint.com/sites/Bureaud%27tudeAR-TECHNOLOGIE/DOSSIER%20POI/Forms/AllItems.aspx?id=%2Fsites%2FBureaud%27tudeAR%2DTECHNOLOGIE%2FDOSSIER%20POI%2FQPR%20%2D%20CRO%2FLOR501153&amp;sortField=Modified&amp;isAscending=false&amp;viewid=ba243776%2Df837%2D4ace%2D8ee9%2D939a5753cc77&amp;csf=1&amp;web=1&amp;e=9WvHyN&amp;CID=36301bcb%2D5b9c%2D44bf%2D88d4%2D647a11855c95&amp;FolderCTID=0x0120001BD1B7A29D5EA04EB7553F36EEAEE8D2" TargetMode="External"/><Relationship Id="rId140" Type="http://schemas.openxmlformats.org/officeDocument/2006/relationships/hyperlink" Target="https://artechnologie13.sharepoint.com/sites/Bureaud'tudeAR-TECHNOLOGIE/DOSSIER%20POI/Forms/AllItems.aspx?id=%2Fsites%2FBureaud%27tudeAR%2DTECHNOLOGIE%2FDOSSIER%20POI%2FQPR%20%2D%20CRO%2FLOR501020&amp;sortField=Modified&amp;isAscending=false&amp;viewid=ba243776%2Df837%2D4ace%2D8ee9%2D939a5753cc77&amp;csf=1&amp;web=1&amp;e=Hzs091&amp;CID=04134872%2Df162%2D4f8b%2Dab49%2D5cbfb7288b16&amp;FolderCTID=0x0120001BD1B7A29D5EA04EB7553F36EEAEE8D2" TargetMode="External"/><Relationship Id="rId161" Type="http://schemas.openxmlformats.org/officeDocument/2006/relationships/hyperlink" Target="https://artechnologie13.sharepoint.com/sites/Bureaud'tudeAR-TECHNOLOGIE/DOSSIER%20POI/Forms/AllItems.aspx?id=%2Fsites%2FBureaud%27tudeAR%2DTECHNOLOGIE%2FDOSSIER%20POI%2FQPR%20%2D%20CRO%2FCRO500295&amp;sortField=Modified&amp;isAscending=false&amp;viewid=ba243776%2Df837%2D4ace%2D8ee9%2D939a5753cc77&amp;csf=1&amp;web=1&amp;e=owQXVh&amp;CID=c5b168e7%2D67df%2D41af%2Db0d7%2D508a6306f4cd&amp;FolderCTID=0x0120001BD1B7A29D5EA04EB7553F36EEAEE8D2&amp;view=7" TargetMode="External"/><Relationship Id="rId182" Type="http://schemas.openxmlformats.org/officeDocument/2006/relationships/hyperlink" Target="https://artechnologie13.sharepoint.com/sites/Bureaud%27tudeAR-TECHNOLOGIE/DOSSIER%20POI/Forms/AllItems.aspx?id=%2Fsites%2FBureaud%27tudeAR%2DTECHNOLOGIE%2FDOSSIER%20POI%2FQPR%20%2D%20CRO%2FVAN600141&amp;sortField=Modified&amp;isAscending=false&amp;viewid=ba243776%2Df837%2D4ace%2D8ee9%2D939a5753cc77&amp;FolderCTID=0x0120001BD1B7A29D5EA04EB7553F36EEAEE8D2" TargetMode="External"/><Relationship Id="rId217" Type="http://schemas.openxmlformats.org/officeDocument/2006/relationships/hyperlink" Target="https://artechnologie13.sharepoint.com/sites/Bureaud'tudeAR-TECHNOLOGIE/DOSSIER%20POI/Forms/AllItems.aspx?id=%2Fsites%2FBureaud%27tudeAR%2DTECHNOLOGIE%2FDOSSIER%20POI%2FQPR%20%2D%20CRO%2FVAN600288&amp;sortField=Modified&amp;isAscending=false&amp;viewid=ba243776%2Df837%2D4ace%2D8ee9%2D939a5753cc77&amp;csf=1&amp;CID=c5b168e7%2D67df%2D41af%2Db0d7%2D508a6306f4cd&amp;FolderCTID=0x0120001BD1B7A29D5EA04EB7553F36EEAEE8D2" TargetMode="External"/><Relationship Id="rId6" Type="http://schemas.openxmlformats.org/officeDocument/2006/relationships/hyperlink" Target="https://artechnologie13.sharepoint.com/sites/Bureaud'tudeAR-TECHNOLOGIE/DOSSIER%20POI/Forms/AllItems.aspx?id=%2Fsites%2FBureaud%27tudeAR%2DTECHNOLOGIE%2FDOSSIER%20POI%2FQPR%20%2D%20CRO%2FQPR500040&amp;sortField=Modified&amp;isAscending=false&amp;viewid=ba243776%2Df837%2D4ace%2D8ee9%2D939a5753cc77&amp;csf=1&amp;web=1&amp;e=rpmcna&amp;CID=89330d6f%2D3a99%2D424b%2D8f70%2Dcdd687054232&amp;FolderCTID=0x0120001BD1B7A29D5EA04EB7553F36EEAEE8D2" TargetMode="External"/><Relationship Id="rId238" Type="http://schemas.openxmlformats.org/officeDocument/2006/relationships/hyperlink" Target="https://artechnologie13.sharepoint.com/sites/Bureaud%27tudeAR-TECHNOLOGIE/DOSSIER%20POI/Forms/AllItems.aspx?id=%2Fsites%2FBureaud%27tudeAR%2DTECHNOLOGIE%2FDOSSIER%20POI%2FQPR%20%2D%20CRO%2FVAN400293&amp;sortField=Modified&amp;isAscending=false&amp;viewid=ba243776%2Df837%2D4ace%2D8ee9%2D939a5753cc77&amp;csf=1&amp;CID=c5b168e7%2D67df%2D41af%2Db0d7%2D508a6306f4cd&amp;FolderCTID=0x0120001BD1B7A29D5EA04EB7553F36EEAEE8D2" TargetMode="External"/><Relationship Id="rId259" Type="http://schemas.openxmlformats.org/officeDocument/2006/relationships/hyperlink" Target="https://artechnologie13.sharepoint.com/:f:/s/Bureaud'tudeAR-TECHNOLOGIE/IgC9hWuYJmaSQa97YMtYsALTAeoIDZPFpJumbJRy3NhK_wI?e=FdkAOJ" TargetMode="External"/><Relationship Id="rId23" Type="http://schemas.openxmlformats.org/officeDocument/2006/relationships/hyperlink" Target="https://artechnologie13.sharepoint.com/sites/Bureaud'tudeAR-TECHNOLOGIE/DOSSIER%20POI/Forms/AllItems.aspx?id=%2Fsites%2FBureaud%27tudeAR%2DTECHNOLOGIE%2FDOSSIER%20POI%2FQPR%20%2D%20CRO%2FVAN501004&amp;sortField=Modified&amp;isAscending=false&amp;viewid=ba243776%2Df837%2D4ace%2D8ee9%2D939a5753cc77&amp;csf=1&amp;web=1&amp;e=owQXVh&amp;CID=c5b168e7%2D67df%2D41af%2Db0d7%2D508a6306f4cd&amp;FolderCTID=0x0120001BD1B7A29D5EA04EB7553F36EEAEE8D2" TargetMode="External"/><Relationship Id="rId119" Type="http://schemas.openxmlformats.org/officeDocument/2006/relationships/hyperlink" Target="https://artechnologie13.sharepoint.com/sites/Bureaud'tudeAR-TECHNOLOGIE/DOSSIER%20POI/Forms/AllItems.aspx?id=%2Fsites%2FBureaud%27tudeAR%2DTECHNOLOGIE%2FDOSSIER%20POI%2FQPR%20%2D%20CRO%2FLOR501447&amp;sortField=Modified&amp;isAscending=false&amp;viewid=ba243776%2Df837%2D4ace%2D8ee9%2D939a5753cc77&amp;FolderCTID=0x0120001BD1B7A29D5EA04EB7553F36EEAEE8D2" TargetMode="External"/><Relationship Id="rId270" Type="http://schemas.openxmlformats.org/officeDocument/2006/relationships/hyperlink" Target="https://artechnologie13.sharepoint.com/sites/Bureaud%27tudeAR-TECHNOLOGIE/DOSSIER%20POI/Forms/AllItems.aspx?id=%2Fsites%2FBureaud%27tudeAR%2DTECHNOLOGIE%2FDOSSIER%20POI%2FQPR%20%2D%20CRO%2FQPR600077&amp;sortField=Modified&amp;isAscending=false&amp;viewid=ba243776%2Df837%2D4ace%2D8ee9%2D939a5753cc77&amp;FolderCTID=0x0120001BD1B7A29D5EA04EB7553F36EEAEE8D2" TargetMode="External"/><Relationship Id="rId44" Type="http://schemas.openxmlformats.org/officeDocument/2006/relationships/hyperlink" Target="https://artechnologie13.sharepoint.com/sites/Bureaud'tudeAR-TECHNOLOGIE/DOSSIER%20POI/Forms/AllItems.aspx?id=%2Fsites%2FBureaud%27tudeAR%2DTECHNOLOGIE%2FDOSSIER%20POI%2FQPR%20%2D%20CRO%2FQPR500994&amp;sortField=Modified&amp;isAscending=false&amp;viewid=ba243776%2Df837%2D4ace%2D8ee9%2D939a5753cc77&amp;csf=1&amp;web=1&amp;e=owQXVh&amp;CID=c5b168e7%2D67df%2D41af%2Db0d7%2D508a6306f4cd&amp;FolderCTID=0x0120001BD1B7A29D5EA04EB7553F36EEAEE8D2" TargetMode="External"/><Relationship Id="rId65" Type="http://schemas.openxmlformats.org/officeDocument/2006/relationships/hyperlink" Target="https://artechnologie13.sharepoint.com/sites/Bureaud'tudeAR-TECHNOLOGIE/DOSSIER%20POI/Forms/AllItems.aspx?id=%2Fsites%2FBureaud%27tudeAR%2DTECHNOLOGIE%2FDOSSIER%20POI%2FQPR%20%2D%20CRO%2FLOR500901&amp;sortField=Modified&amp;isAscending=false&amp;viewid=ba243776%2Df837%2D4ace%2D8ee9%2D939a5753cc77&amp;csf=1&amp;web=1&amp;e=owQXVh&amp;CID=c5b168e7%2D67df%2D41af%2Db0d7%2D508a6306f4cd&amp;FolderCTID=0x0120001BD1B7A29D5EA04EB7553F36EEAEE8D2&amp;view=7" TargetMode="External"/><Relationship Id="rId86" Type="http://schemas.openxmlformats.org/officeDocument/2006/relationships/hyperlink" Target="https://artechnologie13.sharepoint.com/sites/Bureaud'tudeAR-TECHNOLOGIE/DOSSIER%20POI/Forms/AllItems.aspx?FolderCTID=0x0120001BD1B7A29D5EA04EB7553F36EEAEE8D2&amp;id=%2Fsites%2FBureaud%27tudeAR%2DTECHNOLOGIE%2FDOSSIER%20POI%2FQPR%20%2D%20CRO%2FQPR501501" TargetMode="External"/><Relationship Id="rId130" Type="http://schemas.openxmlformats.org/officeDocument/2006/relationships/hyperlink" Target="https://artechnologie13.sharepoint.com/sites/Bureaud'tudeAR-TECHNOLOGIE/DOSSIER%20POI/Forms/AllItems.aspx?id=%2Fsites%2FBureaud%27tudeAR%2DTECHNOLOGIE%2FDOSSIER%20POI%2FQPR%20%2D%20CRO%2FQPR501867&amp;sortField=Modified&amp;isAscending=false&amp;viewid=ba243776%2Df837%2D4ace%2D8ee9%2D939a5753cc77" TargetMode="External"/><Relationship Id="rId151" Type="http://schemas.openxmlformats.org/officeDocument/2006/relationships/hyperlink" Target="https://artechnologie13.sharepoint.com/sites/Bureaud'tudeAR-TECHNOLOGIE/DOSSIER%20POI/Forms/AllItems.aspx?id=%2Fsites%2FBureaud%27tudeAR%2DTECHNOLOGIE%2FDOSSIER%20POI%2FQPR%20%2D%20CRO%2FQPR501916&amp;sortField=Modified&amp;isAscending=false&amp;viewid=ba243776%2Df837%2D4ace%2D8ee9%2D939a5753cc77&amp;csf=1&amp;web=1&amp;e=Hzs091&amp;CID=04134872%2Df162%2D4f8b%2Dab49%2D5cbfb7288b16&amp;FolderCTID=0x0120001BD1B7A29D5EA04EB7553F36EEAEE8D2" TargetMode="External"/><Relationship Id="rId172" Type="http://schemas.openxmlformats.org/officeDocument/2006/relationships/hyperlink" Target="https://artechnologie13.sharepoint.com/sites/Bureaud%27tudeAR-TECHNOLOGIE/DOSSIER%20POI/Forms/AllItems.aspx?id=%2Fsites%2FBureaud%27tudeAR%2DTECHNOLOGIE%2FDOSSIER%20POI%2FQPR%20%2D%20CRO%2FLOR600042&amp;sortField=Modified&amp;isAscending=false&amp;viewid=ba243776%2Df837%2D4ace%2D8ee9%2D939a5753cc77&amp;p=true&amp;ga=1" TargetMode="External"/><Relationship Id="rId193" Type="http://schemas.openxmlformats.org/officeDocument/2006/relationships/hyperlink" Target="https://artechnologie13.sharepoint.com/sites/Bureaud'tudeAR-TECHNOLOGIE/DOSSIER%20POI/Forms/AllItems.aspx?id=%2Fsites%2FBureaud%27tudeAR%2DTECHNOLOGIE%2FDOSSIER%20POI%2FQPR%20%2D%20CRO%2FVAN600252&amp;sortField=Modified&amp;isAscending=false&amp;viewid=ba243776%2Df837%2D4ace%2D8ee9%2D939a5753cc77&amp;FolderCTID=0x0120001BD1B7A29D5EA04EB7553F36EEAEE8D2" TargetMode="External"/><Relationship Id="rId207" Type="http://schemas.openxmlformats.org/officeDocument/2006/relationships/hyperlink" Target="https://artechnologie13.sharepoint.com/sites/Bureaud%27tudeAR-TECHNOLOGIE/DOSSIER%20POI/Forms/AllItems.aspx?id=%2Fsites%2FBureaud%27tudeAR%2DTECHNOLOGIE%2FDOSSIER%20POI%2FQPR%20%2D%20CRO%2FLOR600159&amp;sortField=Modified&amp;isAscending=false&amp;viewid=ba243776%2Df837%2D4ace%2D8ee9%2D939a5753cc77&amp;FolderCTID=0x0120001BD1B7A29D5EA04EB7553F36EEAEE8D2&amp;startedResponseCatch=true" TargetMode="External"/><Relationship Id="rId228" Type="http://schemas.openxmlformats.org/officeDocument/2006/relationships/hyperlink" Target="https://artechnologie13.sharepoint.com/sites/Bureaud%27tudeAR-TECHNOLOGIE/DOSSIER%20POI/Forms/AllItems.aspx?id=%2Fsites%2FBureaud%27tudeAR%2DTECHNOLOGIE%2FDOSSIER%20POI%2FQPR%20%2D%20CRO%2FVAN600329&amp;sortField=Modified&amp;isAscending=false&amp;viewid=ba243776%2Df837%2D4ace%2D8ee9%2D939a5753cc77&amp;csf=1&amp;CID=c5b168e7%2D67df%2D41af%2Db0d7%2D508a6306f4cd&amp;FolderCTID=0x0120001BD1B7A29D5EA04EB7553F36EEAEE8D2" TargetMode="External"/><Relationship Id="rId249" Type="http://schemas.openxmlformats.org/officeDocument/2006/relationships/hyperlink" Target="https://artechnologie13.sharepoint.com/sites/Bureaud%27tudeAR-TECHNOLOGIE/DOSSIER%20POI/Forms/AllItems.aspx?id=%2Fsites%2FBureaud%27tudeAR%2DTECHNOLOGIE%2FDOSSIER%20POI%2FQPR%20%2D%20CRO%2FVAN402881&amp;sortField=Modified&amp;isAscending=false&amp;viewid=ba243776%2Df837%2D4ace%2D8ee9%2D939a5753cc77&amp;csf=1&amp;CID=c5b168e7%2D67df%2D41af%2Db0d7%2D508a6306f4cd&amp;FolderCTID=0x0120001BD1B7A29D5EA04EB7553F36EEAEE8D2" TargetMode="External"/><Relationship Id="rId13" Type="http://schemas.openxmlformats.org/officeDocument/2006/relationships/hyperlink" Target="https://artechnologie13.sharepoint.com/sites/Bureaud'tudeAR-TECHNOLOGIE/DOSSIER%20POI/Forms/AllItems.aspx?id=%2Fsites%2FBureaud%27tudeAR%2DTECHNOLOGIE%2FDOSSIER%20POI%2FQPR%20%2D%20CRO%2FLOR500509&amp;sortField=Modified&amp;isAscending=false&amp;viewid=ba243776%2Df837%2D4ace%2D8ee9%2D939a5753cc77&amp;csf=1&amp;web=1&amp;e=rpmcna&amp;CID=89330d6f%2D3a99%2D424b%2D8f70%2Dcdd687054232&amp;FolderCTID=0x0120001BD1B7A29D5EA04EB7553F36EEAEE8D2" TargetMode="External"/><Relationship Id="rId109" Type="http://schemas.openxmlformats.org/officeDocument/2006/relationships/hyperlink" Target="https://artechnologie13.sharepoint.com/sites/Bureaud'tudeAR-TECHNOLOGIE/DOSSIER%20POI/Forms/AllItems.aspx?id=%2Fsites%2FBureaud%27tudeAR%2DTECHNOLOGIE%2FDOSSIER%20POI%2FQPR%20%2D%20CRO%2FCRO500257&amp;sortField=Modified&amp;isAscending=false&amp;viewid=ba243776%2Df837%2D4ace%2D8ee9%2D939a5753cc77&amp;csf=1&amp;web=1&amp;e=Hzs091&amp;CID=04134872%2Df162%2D4f8b%2Dab49%2D5cbfb7288b16&amp;FolderCTID=0x0120001BD1B7A29D5EA04EB7553F36EEAEE8D2" TargetMode="External"/><Relationship Id="rId260" Type="http://schemas.openxmlformats.org/officeDocument/2006/relationships/hyperlink" Target="https://artechnologie13.sharepoint.com/:f:/s/Bureaud'tudeAR-TECHNOLOGIE/IgC9hWuYJmaSQa97YMtYsALTAeoIDZPFpJumbJRy3NhK_wI?e=FdkAOJ" TargetMode="External"/><Relationship Id="rId34" Type="http://schemas.openxmlformats.org/officeDocument/2006/relationships/hyperlink" Target="https://artechnologie13.sharepoint.com/sites/Bureaud'tudeAR-TECHNOLOGIE/DOSSIER%20POI/Forms/AllItems.aspx?id=%2Fsites%2FBureaud%27tudeAR%2DTECHNOLOGIE%2FDOSSIER%20POI%2FQPR%20%2D%20CRO%2FVAN500258&amp;sortField=Modified&amp;isAscending=false&amp;viewid=ba243776%2Df837%2D4ace%2D8ee9%2D939a5753cc77&amp;csf=1&amp;web=1&amp;e=owQXVh&amp;CID=c5b168e7%2D67df%2D41af%2Db0d7%2D508a6306f4cd&amp;FolderCTID=0x0120001BD1B7A29D5EA04EB7553F36EEAEE8D2" TargetMode="External"/><Relationship Id="rId55" Type="http://schemas.openxmlformats.org/officeDocument/2006/relationships/hyperlink" Target="https://artechnologie13.sharepoint.com/:f:/r/sites/Bureaud%27tudeAR-TECHNOLOGIE/DOSSIER%20POI/QPR%20-%20CRO/RRE501484?csf=1&amp;web=1&amp;e=ODe31v" TargetMode="External"/><Relationship Id="rId76" Type="http://schemas.openxmlformats.org/officeDocument/2006/relationships/hyperlink" Target="https://artechnologie13.sharepoint.com/sites/Bureaud'tudeAR-TECHNOLOGIE/DOSSIER%20POI/Forms/AllItems.aspx?id=%2Fsites%2FBureaud%27tudeAR%2DTECHNOLOGIE%2FDOSSIER%20POI%2FQPR%20%2D%20CRO%2FLOR501031&amp;sortField=Modified&amp;isAscending=false&amp;viewid=ba243776%2Df837%2D4ace%2D8ee9%2D939a5753cc77&amp;csf=1&amp;web=1&amp;e=owQXVh&amp;CID=c5b168e7%2D67df%2D41af%2Db0d7%2D508a6306f4cd&amp;FolderCTID=0x0120001BD1B7A29D5EA04EB7553F36EEAEE8D2" TargetMode="External"/><Relationship Id="rId97" Type="http://schemas.openxmlformats.org/officeDocument/2006/relationships/hyperlink" Target="https://artechnologie13.sharepoint.com/sites/Bureaud%27tudeAR-TECHNOLOGIE/DOSSIER%20POI/Forms/AllItems.aspx?id=%2Fsites%2FBureaud%27tudeAR%2DTECHNOLOGIE%2FDOSSIER%20POI%2FQPR%20%2D%20CRO%2FLOR501066&amp;sortField=Modified&amp;isAscending=false&amp;viewid=ba243776%2Df837%2D4ace%2D8ee9%2D939a5753cc77&amp;csf=1&amp;web=1&amp;e=rpmcna&amp;CID=89330d6f%2D3a99%2D424b%2D8f70%2Dcdd687054232&amp;FolderCTID=0x0120001BD1B7A29D5EA04EB7553F36EEAEE8D2" TargetMode="External"/><Relationship Id="rId120" Type="http://schemas.openxmlformats.org/officeDocument/2006/relationships/hyperlink" Target="https://artechnologie13.sharepoint.com/:f:/r/sites/Bureaud%27tudeAR-TECHNOLOGIE/DOSSIER%20POI/QPR%20-%20CRO/RRE501198?csf=1&amp;web=1&amp;e=lEMPTZ" TargetMode="External"/><Relationship Id="rId141" Type="http://schemas.openxmlformats.org/officeDocument/2006/relationships/hyperlink" Target="https://artechnologie13.sharepoint.com/sites/Bureaud'tudeAR-TECHNOLOGIE/DOSSIER%20POI/Forms/AllItems.aspx?id=%2Fsites%2FBureaud%27tudeAR%2DTECHNOLOGIE%2FDOSSIER%20POI%2FQPR%20%2D%20CRO%2FCRO500276&amp;sortField=Modified&amp;isAscending=false&amp;viewid=ba243776%2Df837%2D4ace%2D8ee9%2D939a5753cc77" TargetMode="External"/><Relationship Id="rId7" Type="http://schemas.openxmlformats.org/officeDocument/2006/relationships/hyperlink" Target="https://artechnologie13.sharepoint.com/sites/Bureaud'tudeAR-TECHNOLOGIE/DOSSIER%20POI/Forms/AllItems.aspx?id=%2Fsites%2FBureaud%27tudeAR%2DTECHNOLOGIE%2FDOSSIER%20POI%2FQPR%20%2D%20CRO%2FQPR500419&amp;sortField=Modified&amp;isAscending=false&amp;viewid=ba243776%2Df837%2D4ace%2D8ee9%2D939a5753cc77&amp;csf=1&amp;web=1&amp;e=rpmcna&amp;CID=89330d6f%2D3a99%2D424b%2D8f70%2Dcdd687054232&amp;FolderCTID=0x0120001BD1B7A29D5EA04EB7553F36EEAEE8D2" TargetMode="External"/><Relationship Id="rId162" Type="http://schemas.openxmlformats.org/officeDocument/2006/relationships/hyperlink" Target="https://artechnologie13.sharepoint.com/sites/Bureaud'tudeAR-TECHNOLOGIE/DOSSIER%20POI/Forms/AllItems.aspx?id=%2Fsites%2FBureaud%27tudeAR%2DTECHNOLOGIE%2FDOSSIER%20POI%2FQPR%20%2D%20CRO%2FQPR502100&amp;sortField=Modified&amp;isAscending=false&amp;viewid=ba243776%2Df837%2D4ace%2D8ee9%2D939a5753cc77&amp;csf=1&amp;web=1&amp;e=owQXVh&amp;CID=c5b168e7%2D67df%2D41af%2Db0d7%2D508a6306f4cd&amp;FolderCTID=0x0120001BD1B7A29D5EA04EB7553F36EEAEE8D2&amp;view=7" TargetMode="External"/><Relationship Id="rId183" Type="http://schemas.openxmlformats.org/officeDocument/2006/relationships/hyperlink" Target="https://artechnologie13.sharepoint.com/sites/Bureaud%27tudeAR-TECHNOLOGIE/DOSSIER%20POI/Forms/AllItems.aspx?id=%2Fsites%2FBureaud%27tudeAR%2DTECHNOLOGIE%2FDOSSIER%20POI%2FQPR%20%2D%20CRO%2FLOR600065&amp;sortField=Modified&amp;isAscending=false&amp;viewid=ba243776%2Df837%2D4ace%2D8ee9%2D939a5753cc77&amp;FolderCTID=0x0120001BD1B7A29D5EA04EB7553F36EEAEE8D2" TargetMode="External"/><Relationship Id="rId218" Type="http://schemas.openxmlformats.org/officeDocument/2006/relationships/hyperlink" Target="https://artechnologie13.sharepoint.com/sites/Bureaud'tudeAR-TECHNOLOGIE/DOSSIER%20POI/Forms/AllItems.aspx?id=%2Fsites%2FBureaud%27tudeAR%2DTECHNOLOGIE%2FDOSSIER%20POI%2FQPR%20%2D%20CRO%2FVAN403032&amp;sortField=Modified&amp;isAscending=false&amp;viewid=ba243776%2Df837%2D4ace%2D8ee9%2D939a5753cc77&amp;csf=1&amp;CID=c5b168e7%2D67df%2D41af%2Db0d7%2D508a6306f4cd&amp;FolderCTID=0x0120001BD1B7A29D5EA04EB7553F36EEAEE8D2" TargetMode="External"/><Relationship Id="rId239" Type="http://schemas.openxmlformats.org/officeDocument/2006/relationships/hyperlink" Target="https://artechnologie13.sharepoint.com/sites/Bureaud%27tudeAR-TECHNOLOGIE/DOSSIER%20POI/Forms/AllItems.aspx?id=%2Fsites%2FBureaud%27tudeAR%2DTECHNOLOGIE%2FDOSSIER%20POI%2FQPR%20%2D%20CRO%2FVAN501217&amp;sortField=Modified&amp;isAscending=false&amp;viewid=ba243776%2Df837%2D4ace%2D8ee9%2D939a5753cc77&amp;csf=1&amp;CID=c5b168e7%2D67df%2D41af%2Db0d7%2D508a6306f4cd&amp;FolderCTID=0x0120001BD1B7A29D5EA04EB7553F36EEAEE8D2" TargetMode="External"/><Relationship Id="rId250" Type="http://schemas.openxmlformats.org/officeDocument/2006/relationships/hyperlink" Target="https://artechnologie13.sharepoint.com/sites/Bureaud%27tudeAR-TECHNOLOGIE/DOSSIER%20POI/Forms/AllItems.aspx?id=%2Fsites%2FBureaud%27tudeAR%2DTECHNOLOGIE%2FDOSSIER%20POI%2FQPR%20%2D%20CRO%2FVAN402881&amp;sortField=Modified&amp;isAscending=false&amp;viewid=ba243776%2Df837%2D4ace%2D8ee9%2D939a5753cc77&amp;csf=1&amp;CID=c5b168e7%2D67df%2D41af%2Db0d7%2D508a6306f4cd&amp;FolderCTID=0x0120001BD1B7A29D5EA04EB7553F36EEAEE8D2" TargetMode="External"/><Relationship Id="rId271" Type="http://schemas.openxmlformats.org/officeDocument/2006/relationships/hyperlink" Target="https://artechnologie13.sharepoint.com/sites/Bureaud%27tudeAR-TECHNOLOGIE/DOSSIER%20POI/Forms/AllItems.aspx?id=%2Fsites%2FBureaud%27tudeAR%2DTECHNOLOGIE%2FDOSSIER%20POI%2FQPR%20%2D%20CRO%2FQPR600297&amp;sortField=Modified&amp;isAscending=false&amp;viewid=ba243776%2Df837%2D4ace%2D8ee9%2D939a5753cc77&amp;FolderCTID=0x0120001BD1B7A29D5EA04EB7553F36EEAEE8D2" TargetMode="External"/><Relationship Id="rId24" Type="http://schemas.openxmlformats.org/officeDocument/2006/relationships/hyperlink" Target="https://artechnologie13.sharepoint.com/sites/Bureaud'tudeAR-TECHNOLOGIE/DOSSIER%20POI/Forms/AllItems.aspx?id=%2Fsites%2FBureaud%27tudeAR%2DTECHNOLOGIE%2FDOSSIER%20POI%2FQPR%20%2D%20CRO%2FVAN501393&amp;sortField=Modified&amp;isAscending=false&amp;viewid=ba243776%2Df837%2D4ace%2D8ee9%2D939a5753cc77&amp;csf=1&amp;web=1&amp;e=owQXVh&amp;CID=c5b168e7%2D67df%2D41af%2Db0d7%2D508a6306f4cd&amp;FolderCTID=0x0120001BD1B7A29D5EA04EB7553F36EEAEE8D2" TargetMode="External"/><Relationship Id="rId45" Type="http://schemas.openxmlformats.org/officeDocument/2006/relationships/hyperlink" Target="https://artechnologie13.sharepoint.com/sites/Bureaud'tudeAR-TECHNOLOGIE/DOSSIER%20POI/Forms/AllItems.aspx?id=%2Fsites%2FBureaud%27tudeAR%2DTECHNOLOGIE%2FDOSSIER%20POI%2FQPR%20%2D%20CRO%2FQPR500983&amp;sortField=Modified&amp;isAscending=false&amp;viewid=ba243776%2Df837%2D4ace%2D8ee9%2D939a5753cc77&amp;csf=1&amp;web=1&amp;e=owQXVh&amp;CID=c5b168e7%2D67df%2D41af%2Db0d7%2D508a6306f4cd&amp;FolderCTID=0x0120001BD1B7A29D5EA04EB7553F36EEAEE8D2" TargetMode="External"/><Relationship Id="rId66" Type="http://schemas.openxmlformats.org/officeDocument/2006/relationships/hyperlink" Target="https://artechnologie13.sharepoint.com/sites/Bureaud'tudeAR-TECHNOLOGIE/DOSSIER%20POI/Forms/AllItems.aspx?id=%2Fsites%2FBureaud%27tudeAR%2DTECHNOLOGIE%2FDOSSIER%20POI%2FQPR%20%2D%20CRO%2FCRO500184&amp;sortField=Modified&amp;isAscending=false&amp;viewid=ba243776%2Df837%2D4ace%2D8ee9%2D939a5753cc77&amp;csf=1&amp;web=1&amp;e=owQXVh&amp;CID=c5b168e7%2D67df%2D41af%2Db0d7%2D508a6306f4cd&amp;FolderCTID=0x0120001BD1B7A29D5EA04EB7553F36EEAEE8D2" TargetMode="External"/><Relationship Id="rId87" Type="http://schemas.openxmlformats.org/officeDocument/2006/relationships/hyperlink" Target="https://artechnologie13.sharepoint.com/sites/Bureaud'tudeAR-TECHNOLOGIE/DOSSIER%20POI/Forms/AllItems.aspx?id=%2Fsites%2FBureaud%27tudeAR%2DTECHNOLOGIE%2FDOSSIER%20POI%2FQPR%20%2D%20CRO%2FLOR501153&amp;sortField=Modified&amp;isAscending=false&amp;viewid=ba243776%2Df837%2D4ace%2D8ee9%2D939a5753cc77&amp;csf=1&amp;web=1&amp;e=9WvHyN&amp;CID=36301bcb%2D5b9c%2D44bf%2D88d4%2D647a11855c95&amp;FolderCTID=0x0120001BD1B7A29D5EA04EB7553F36EEAEE8D2" TargetMode="External"/><Relationship Id="rId110" Type="http://schemas.openxmlformats.org/officeDocument/2006/relationships/hyperlink" Target="https://artechnologie13.sharepoint.com/sites/Bureaud'tudeAR-TECHNOLOGIE/DOSSIER%20POI/Forms/AllItems.aspx?id=%2Fsites%2FBureaud%27tudeAR%2DTECHNOLOGIE%2FDOSSIER%20POI%2FQPR%20%2D%20CRO%2FLOR501425&amp;sortField=Modified&amp;isAscending=false&amp;viewid=ba243776%2Df837%2D4ace%2D8ee9%2D939a5753cc77&amp;csf=1&amp;web=1&amp;e=Hzs091&amp;CID=04134872%2Df162%2D4f8b%2Dab49%2D5cbfb7288b16&amp;FolderCTID=0x0120001BD1B7A29D5EA04EB7553F36EEAEE8D2" TargetMode="External"/><Relationship Id="rId131" Type="http://schemas.openxmlformats.org/officeDocument/2006/relationships/hyperlink" Target="https://artechnologie13.sharepoint.com/sites/Bureaud'tudeAR-TECHNOLOGIE/DOSSIER%20POI/Forms/AllItems.aspx?id=%2Fsites%2FBureaud%27tudeAR%2DTECHNOLOGIE%2FDOSSIER%20POI%2FQPR%20%2D%20CRO%2FVAN502718&amp;sortField=Modified&amp;isAscending=false&amp;viewid=ba243776%2Df837%2D4ace%2D8ee9%2D939a5753cc77&amp;FolderCTID=0x0120001BD1B7A29D5EA04EB7553F36EEAEE8D2" TargetMode="External"/><Relationship Id="rId152" Type="http://schemas.openxmlformats.org/officeDocument/2006/relationships/hyperlink" Target="https://artechnologie13.sharepoint.com/sites/Bureaud%27tudeAR-TECHNOLOGIE/DOSSIER%20POI/Forms/AllItems.aspx?id=%2Fsites%2FBureaud%27tudeAR%2DTECHNOLOGIE%2FDOSSIER%20POI%2FQPR%20%2D%20CRO%2FQPR502092&amp;sortField=Modified&amp;isAscending=false&amp;viewid=ba243776%2Df837%2D4ace%2D8ee9%2D939a5753cc77&amp;FolderCTID=0x0120001BD1B7A29D5EA04EB7553F36EEAEE8D2" TargetMode="External"/><Relationship Id="rId173" Type="http://schemas.openxmlformats.org/officeDocument/2006/relationships/hyperlink" Target="https://artechnologie13.sharepoint.com/sites/Bureaud%27tudeAR-TECHNOLOGIE/DOSSIER%20POI/Forms/AllItems.aspx?id=%2Fsites%2FBureaud%27tudeAR%2DTECHNOLOGIE%2FDOSSIER%20POI%2FQPR%20%2D%20CRO%2FQPR600054&amp;sortField=Modified&amp;isAscending=false&amp;viewid=ba243776%2Df837%2D4ace%2D8ee9%2D939a5753cc77&amp;p=true&amp;ga=1" TargetMode="External"/><Relationship Id="rId194" Type="http://schemas.openxmlformats.org/officeDocument/2006/relationships/hyperlink" Target="https://artechnologie13.sharepoint.com/sites/Bureaud%27tudeAR-TECHNOLOGIE/DOSSIER%20POI/Forms/AllItems.aspx?id=%2Fsites%2FBureaud%27tudeAR%2DTECHNOLOGIE%2FDOSSIER%20POI%2FQPR%20%2D%20CRO%2FLOR600154&amp;sortField=Modified&amp;isAscending=false&amp;viewid=ba243776%2Df837%2D4ace%2D8ee9%2D939a5753cc77&amp;FolderCTID=0x0120001BD1B7A29D5EA04EB7553F36EEAEE8D2" TargetMode="External"/><Relationship Id="rId208" Type="http://schemas.openxmlformats.org/officeDocument/2006/relationships/hyperlink" Target="https://artechnologie13.sharepoint.com/sites/Bureaud'tudeAR-TECHNOLOGIE/DOSSIER%20POI/Forms/AllItems.aspx?id=%2Fsites%2FBureaud%27tudeAR%2DTECHNOLOGIE%2FDOSSIER%20POI%2FQPR%20%2D%20CRO%2FQPR600138&amp;sortField=Modified&amp;isAscending=false&amp;viewid=ba243776%2Df837%2D4ace%2D8ee9%2D939a5753cc77&amp;FolderCTID=0x0120001BD1B7A29D5EA04EB7553F36EEAEE8D2" TargetMode="External"/><Relationship Id="rId229" Type="http://schemas.openxmlformats.org/officeDocument/2006/relationships/hyperlink" Target="https://artechnologie13.sharepoint.com/sites/Bureaud%27tudeAR-TECHNOLOGIE/DOSSIER%20POI/Forms/AllItems.aspx?id=%2Fsites%2FBureaud%27tudeAR%2DTECHNOLOGIE%2FDOSSIER%20POI%2FQPR%20%2D%20CRO%2FVAN600351&amp;sortField=Modified&amp;isAscending=false&amp;viewid=ba243776%2Df837%2D4ace%2D8ee9%2D939a5753cc77&amp;csf=1&amp;CID=c5b168e7%2D67df%2D41af%2Db0d7%2D508a6306f4cd&amp;FolderCTID=0x0120001BD1B7A29D5EA04EB7553F36EEAEE8D2" TargetMode="External"/><Relationship Id="rId240" Type="http://schemas.openxmlformats.org/officeDocument/2006/relationships/hyperlink" Target="https://artechnologie13.sharepoint.com/sites/Bureaud%27tudeAR-TECHNOLOGIE/DOSSIER%20POI/Forms/AllItems.aspx?id=%2Fsites%2FBureaud%27tudeAR%2DTECHNOLOGIE%2FDOSSIER%20POI%2FQPR%20%2D%20CRO%2FVAN500194&amp;sortField=Modified&amp;isAscending=false&amp;viewid=ba243776%2Df837%2D4ace%2D8ee9%2D939a5753cc77&amp;csf=1&amp;CID=c5b168e7%2D67df%2D41af%2Db0d7%2D508a6306f4cd&amp;FolderCTID=0x0120001BD1B7A29D5EA04EB7553F36EEAEE8D2" TargetMode="External"/><Relationship Id="rId261" Type="http://schemas.openxmlformats.org/officeDocument/2006/relationships/hyperlink" Target="https://artechnologie13.sharepoint.com/sites/Bureaud%27tudeAR-TECHNOLOGIE/DOSSIER%20POI/Forms/AllItems.aspx?id=%2Fsites%2FBureaud%27tudeAR%2DTECHNOLOGIE%2FDOSSIER%20POI%2FQPR%20%2D%20CRO%2FVAN502694&amp;sortField=Modified&amp;isAscending=false&amp;viewid=ba243776%2Df837%2D4ace%2D8ee9%2D939a5753cc77&amp;csf=1&amp;CID=c5b168e7%2D67df%2D41af%2Db0d7%2D508a6306f4cd&amp;FolderCTID=0x0120001BD1B7A29D5EA04EB7553F36EEAEE8D2" TargetMode="External"/><Relationship Id="rId14" Type="http://schemas.openxmlformats.org/officeDocument/2006/relationships/hyperlink" Target="https://artechnologie13.sharepoint.com/sites/Bureaud'tudeAR-TECHNOLOGIE/DOSSIER%20POI/Forms/AllItems.aspx?id=%2Fsites%2FBureaud%27tudeAR%2DTECHNOLOGIE%2FDOSSIER%20POI%2FQPR%20%2D%20CRO%2FLOR500521&amp;sortField=Modified&amp;isAscending=false&amp;viewid=ba243776%2Df837%2D4ace%2D8ee9%2D939a5753cc77&amp;csf=1&amp;web=1&amp;e=rpmcna&amp;CID=89330d6f%2D3a99%2D424b%2D8f70%2Dcdd687054232&amp;FolderCTID=0x0120001BD1B7A29D5EA04EB7553F36EEAEE8D2" TargetMode="External"/><Relationship Id="rId35" Type="http://schemas.openxmlformats.org/officeDocument/2006/relationships/hyperlink" Target="https://artechnologie13.sharepoint.com/sites/Bureaud'tudeAR-TECHNOLOGIE/DOSSIER%20POI/Forms/AllItems.aspx?id=%2Fsites%2FBureaud%27tudeAR%2DTECHNOLOGIE%2FDOSSIER%20POI%2FQPR%20%2D%20CRO%2FVAN402941&amp;sortField=Modified&amp;isAscending=false&amp;viewid=ba243776%2Df837%2D4ace%2D8ee9%2D939a5753cc77&amp;csf=1&amp;web=1&amp;e=owQXVh&amp;CID=c5b168e7%2D67df%2D41af%2Db0d7%2D508a6306f4cd&amp;FolderCTID=0x0120001BD1B7A29D5EA04EB7553F36EEAEE8D2" TargetMode="External"/><Relationship Id="rId56" Type="http://schemas.openxmlformats.org/officeDocument/2006/relationships/hyperlink" Target="https://artechnologie13.sharepoint.com/:f:/r/sites/Bureaud%27tudeAR-TECHNOLOGIE/DOSSIER%20POI/QPR%20-%20CRO/RRE501518?csf=1&amp;web=1&amp;e=VcpAZP" TargetMode="External"/><Relationship Id="rId77" Type="http://schemas.openxmlformats.org/officeDocument/2006/relationships/hyperlink" Target="https://artechnologie13.sharepoint.com/sites/Bureaud'tudeAR-TECHNOLOGIE/DOSSIER%20POI/Forms/AllItems.aspx?id=%2Fsites%2FBureaud%27tudeAR%2DTECHNOLOGIE%2FDOSSIER%20POI%2FQPR%20%2D%20CRO%2FQPR501403&amp;sortField=Modified&amp;isAscending=false&amp;viewid=ba243776%2Df837%2D4ace%2D8ee9%2D939a5753cc77&amp;csf=1&amp;web=1&amp;e=owQXVh&amp;CID=c5b168e7%2D67df%2D41af%2Db0d7%2D508a6306f4cd&amp;FolderCTID=0x0120001BD1B7A29D5EA04EB7553F36EEAEE8D2" TargetMode="External"/><Relationship Id="rId100" Type="http://schemas.openxmlformats.org/officeDocument/2006/relationships/hyperlink" Target="https://artechnologie13.sharepoint.com/sites/Bureaud'tudeAR-TECHNOLOGIE/DOSSIER%20POI/Forms/AllItems.aspx?id=%2Fsites%2FBureaud%27tudeAR%2DTECHNOLOGIE%2FDOSSIER%20POI%2FQPR%20%2D%20CRO%2FLOR501322&amp;sortField=Modified&amp;isAscending=false&amp;viewid=ba243776%2Df837%2D4ace%2D8ee9%2D939a5753cc77&amp;FolderCTID=0x0120001BD1B7A29D5EA04EB7553F36EEAEE8D2" TargetMode="External"/><Relationship Id="rId8" Type="http://schemas.openxmlformats.org/officeDocument/2006/relationships/hyperlink" Target="https://artechnologie13.sharepoint.com/sites/Bureaud'tudeAR-TECHNOLOGIE/DOSSIER%20POI/Forms/AllItems.aspx?id=%2Fsites%2FBureaud%27tudeAR%2DTECHNOLOGIE%2FDOSSIER%20POI%2FQPR%20%2D%20CRO%2FQPR500654&amp;sortField=Modified&amp;isAscending=false&amp;viewid=ba243776%2Df837%2D4ace%2D8ee9%2D939a5753cc77&amp;csf=1&amp;web=1&amp;e=rpmcna&amp;CID=89330d6f%2D3a99%2D424b%2D8f70%2Dcdd687054232&amp;FolderCTID=0x0120001BD1B7A29D5EA04EB7553F36EEAEE8D2" TargetMode="External"/><Relationship Id="rId98" Type="http://schemas.openxmlformats.org/officeDocument/2006/relationships/hyperlink" Target="https://artechnologie13.sharepoint.com/sites/Bureaud%27tudeAR-TECHNOLOGIE/DOSSIER%20POI/Forms/AllItems.aspx?id=%2Fsites%2FBureaud%27tudeAR%2DTECHNOLOGIE%2FDOSSIER%20POI%2FQPR%20%2D%20CRO%2FQPR500631&amp;sortField=Modified&amp;isAscending=false&amp;viewid=ba243776%2Df837%2D4ace%2D8ee9%2D939a5753cc77&amp;csf=1&amp;web=1&amp;e=6bmZ5C&amp;CID=658eb343%2Df747%2D4fc5%2Daf25%2D1b5bada361aa&amp;FolderCTID=0x0120001BD1B7A29D5EA04EB7553F36EEAEE8D2&amp;view=7" TargetMode="External"/><Relationship Id="rId121" Type="http://schemas.openxmlformats.org/officeDocument/2006/relationships/hyperlink" Target="https://artechnologie13.sharepoint.com/sites/Bureaud'tudeAR-TECHNOLOGIE/DOSSIER%20POI/Forms/AllItems.aspx?id=%2Fsites%2FBureaud%27tudeAR%2DTECHNOLOGIE%2FDOSSIER%20POI%2FQPR%20%2D%20CRO%2FQPR501931&amp;sortField=Modified&amp;isAscending=false&amp;viewid=ba243776%2Df837%2D4ace%2D8ee9%2D939a5753cc77&amp;FolderCTID=0x0120001BD1B7A29D5EA04EB7553F36EEAEE8D2&amp;view=7" TargetMode="External"/><Relationship Id="rId142" Type="http://schemas.openxmlformats.org/officeDocument/2006/relationships/hyperlink" Target="https://artechnologie13.sharepoint.com/sites/Bureaud'tudeAR-TECHNOLOGIE/DOSSIER%20POI/Forms/AllItems.aspx?id=%2Fsites%2FBureaud%27tudeAR%2DTECHNOLOGIE%2FDOSSIER%20POI%2FQPR%20%2D%20CRO%2FQPR502014&amp;sortField=Modified&amp;isAscending=false&amp;viewid=ba243776%2Df837%2D4ace%2D8ee9%2D939a5753cc77" TargetMode="External"/><Relationship Id="rId163" Type="http://schemas.openxmlformats.org/officeDocument/2006/relationships/hyperlink" Target="https://artechnologie13.sharepoint.com/sites/Bureaud'tudeAR-TECHNOLOGIE/DOSSIER%20POI/Forms/AllItems.aspx?id=%2Fsites%2FBureaud%27tudeAR%2DTECHNOLOGIE%2FDOSSIER%20POI%2FQPR%20%2D%20CRO%2FQPR501966&amp;sortField=Modified&amp;isAscending=false&amp;viewid=ba243776%2Df837%2D4ace%2D8ee9%2D939a5753cc77&amp;FolderCTID=0x0120001BD1B7A29D5EA04EB7553F36EEAEE8D2" TargetMode="External"/><Relationship Id="rId184" Type="http://schemas.openxmlformats.org/officeDocument/2006/relationships/hyperlink" Target="https://artechnologie13.sharepoint.com/sites/Bureaud%27tudeAR-TECHNOLOGIE/DOSSIER%20POI/Forms/AllItems.aspx?id=%2Fsites%2FBureaud%27tudeAR%2DTECHNOLOGIE%2FDOSSIER%20POI%2FQPR%20%2D%20CRO%2FVAN600158&amp;sortField=Modified&amp;isAscending=false&amp;viewid=ba243776%2Df837%2D4ace%2D8ee9%2D939a5753cc77&amp;FolderCTID=0x0120001BD1B7A29D5EA04EB7553F36EEAEE8D2" TargetMode="External"/><Relationship Id="rId219" Type="http://schemas.openxmlformats.org/officeDocument/2006/relationships/hyperlink" Target="https://artechnologie13.sharepoint.com/sites/Bureaud'tudeAR-TECHNOLOGIE/DOSSIER%20POI/Forms/AllItems.aspx?id=%2Fsites%2FBureaud%27tudeAR%2DTECHNOLOGIE%2FDOSSIER%20POI%2FQPR%20%2D%20CRO%2FVAN501638&amp;sortField=Modified&amp;isAscending=false&amp;viewid=ba243776%2Df837%2D4ace%2D8ee9%2D939a5753cc77&amp;csf=1&amp;CID=c5b168e7%2D67df%2D41af%2Db0d7%2D508a6306f4cd&amp;FolderCTID=0x0120001BD1B7A29D5EA04EB7553F36EEAEE8D2" TargetMode="External"/><Relationship Id="rId230" Type="http://schemas.openxmlformats.org/officeDocument/2006/relationships/hyperlink" Target="https://artechnologie13.sharepoint.com/sites/Bureaud%27tudeAR-TECHNOLOGIE/DOSSIER%20POI/Forms/AllItems.aspx?id=%2Fsites%2FBureaud%27tudeAR%2DTECHNOLOGIE%2FDOSSIER%20POI%2FQPR%20%2D%20CRO%2FVAN600360&amp;sortField=Modified&amp;isAscending=false&amp;viewid=ba243776%2Df837%2D4ace%2D8ee9%2D939a5753cc77&amp;csf=1&amp;CID=c5b168e7%2D67df%2D41af%2Db0d7%2D508a6306f4cd&amp;FolderCTID=0x0120001BD1B7A29D5EA04EB7553F36EEAEE8D2" TargetMode="External"/><Relationship Id="rId251" Type="http://schemas.openxmlformats.org/officeDocument/2006/relationships/hyperlink" Target="https://artechnologie13.sharepoint.com/sites/Bureaud%27tudeAR-TECHNOLOGIE/DOSSIER%20POI/Forms/AllItems.aspx?id=%2Fsites%2FBureaud%27tudeAR%2DTECHNOLOGIE%2FDOSSIER%20POI%2FQPR%20%2D%20CRO%2FVAN502362&amp;sortField=Modified&amp;isAscending=false&amp;viewid=ba243776%2Df837%2D4ace%2D8ee9%2D939a5753cc77&amp;csf=1&amp;CID=c5b168e7%2D67df%2D41af%2Db0d7%2D508a6306f4cd&amp;FolderCTID=0x0120001BD1B7A29D5EA04EB7553F36EEAEE8D2" TargetMode="External"/><Relationship Id="rId25" Type="http://schemas.openxmlformats.org/officeDocument/2006/relationships/hyperlink" Target="https://artechnologie13.sharepoint.com/sites/Bureaud'tudeAR-TECHNOLOGIE/DOSSIER%20POI/Forms/AllItems.aspx?id=%2Fsites%2FBureaud%27tudeAR%2DTECHNOLOGIE%2FDOSSIER%20POI%2FQPR%20%2D%20CRO%2FQPR500660&amp;sortField=Modified&amp;isAscending=false&amp;viewid=ba243776%2Df837%2D4ace%2D8ee9%2D939a5753cc77&amp;csf=1&amp;web=1&amp;e=owQXVh&amp;CID=c5b168e7%2D67df%2D41af%2Db0d7%2D508a6306f4cd&amp;FolderCTID=0x0120001BD1B7A29D5EA04EB7553F36EEAEE8D2" TargetMode="External"/><Relationship Id="rId46" Type="http://schemas.openxmlformats.org/officeDocument/2006/relationships/hyperlink" Target="https://artechnologie13.sharepoint.com/sites/Bureaud'tudeAR-TECHNOLOGIE/DOSSIER%20POI/Forms/AllItems.aspx?id=%2Fsites%2FBureaud%27tudeAR%2DTECHNOLOGIE%2FDOSSIER%20POI%2FQPR%20%2D%20CRO%2FCRO500116&amp;sortField=Modified&amp;isAscending=false&amp;viewid=ba243776%2Df837%2D4ace%2D8ee9%2D939a5753cc77&amp;csf=1&amp;web=1&amp;e=owQXVh&amp;CID=c5b168e7%2D67df%2D41af%2Db0d7%2D508a6306f4cd&amp;FolderCTID=0x0120001BD1B7A29D5EA04EB7553F36EEAEE8D2" TargetMode="External"/><Relationship Id="rId67" Type="http://schemas.openxmlformats.org/officeDocument/2006/relationships/hyperlink" Target="https://artechnologie13.sharepoint.com/sites/Bureaud'tudeAR-TECHNOLOGIE/DOSSIER%20POI/Forms/AllItems.aspx?id=%2Fsites%2FBureaud%27tudeAR%2DTECHNOLOGIE%2FDOSSIER%20POI%2FQPR%20%2D%20CRO%2FLOR501050&amp;sortField=Modified&amp;isAscending=false&amp;viewid=ba243776%2Df837%2D4ace%2D8ee9%2D939a5753cc77&amp;csf=1&amp;web=1&amp;e=owQXVh&amp;CID=c5b168e7%2D67df%2D41af%2Db0d7%2D508a6306f4cd&amp;FolderCTID=0x0120001BD1B7A29D5EA04EB7553F36EEAEE8D2&amp;view=7" TargetMode="External"/><Relationship Id="rId272" Type="http://schemas.openxmlformats.org/officeDocument/2006/relationships/hyperlink" Target="https://artechnologie13.sharepoint.com/sites/Bureaud'tudeAR-TECHNOLOGIE/DOSSIER%20POI/Forms/AllItems.aspx?id=%2Fsites%2FBureaud%27tudeAR%2DTECHNOLOGIE%2FDOSSIER%20POI%2FQPR%20%2D%20CRO%2FLOR501519&amp;sortField=Modified&amp;isAscending=false&amp;viewid=ba243776%2Df837%2D4ace%2D8ee9%2D939a5753cc77&amp;csf=1&amp;web=1&amp;e=owQXVh&amp;CID=c5b168e7%2D67df%2D41af%2Db0d7%2D508a6306f4cd&amp;FolderCTID=0x0120001BD1B7A29D5EA04EB7553F36EEAEE8D2&amp;view=7" TargetMode="External"/><Relationship Id="rId88" Type="http://schemas.openxmlformats.org/officeDocument/2006/relationships/hyperlink" Target="https://artechnologie13.sharepoint.com/sites/Bureaud'tudeAR-TECHNOLOGIE/DOSSIER%20POI/Forms/AllItems.aspx?id=%2Fsites%2FBureaud%27tudeAR%2DTECHNOLOGIE%2FDOSSIER%20POI%2FQPR%20%2D%20CRO%2FLOR501156&amp;sortField=Modified&amp;isAscending=false&amp;viewid=ba243776%2Df837%2D4ace%2D8ee9%2D939a5753cc77&amp;csf=1&amp;web=1&amp;e=9WvHyN&amp;CID=36301bcb%2D5b9c%2D44bf%2D88d4%2D647a11855c95&amp;FolderCTID=0x0120001BD1B7A29D5EA04EB7553F36EEAEE8D2" TargetMode="External"/><Relationship Id="rId111" Type="http://schemas.openxmlformats.org/officeDocument/2006/relationships/hyperlink" Target="https://artechnologie13.sharepoint.com/sites/Bureaud'tudeAR-TECHNOLOGIE/DOSSIER%20POI/Forms/AllItems.aspx?id=%2Fsites%2FBureaud%27tudeAR%2DTECHNOLOGIE%2FDOSSIER%20POI%2FQPR%20%2D%20CRO%2FQPR501919&amp;sortField=Modified&amp;isAscending=false&amp;viewid=ba243776%2Df837%2D4ace%2D8ee9%2D939a5753cc77&amp;csf=1&amp;web=1&amp;e=Hzs091&amp;CID=04134872%2Df162%2D4f8b%2Dab49%2D5cbfb7288b16&amp;FolderCTID=0x0120001BD1B7A29D5EA04EB7553F36EEAEE8D2" TargetMode="External"/><Relationship Id="rId132" Type="http://schemas.openxmlformats.org/officeDocument/2006/relationships/hyperlink" Target="https://artechnologie13.sharepoint.com/sites/Bureaud%27tudeAR-TECHNOLOGIE/DOSSIER%20POI/Forms/AllItems.aspx?id=%2Fsites%2FBureaud%27tudeAR%2DTECHNOLOGIE%2FDOSSIER%20POI%2FQPR%20%2D%20CRO%2FLOR501478&amp;sortField=Modified&amp;isAscending=false&amp;viewid=ba243776%2Df837%2D4ace%2D8ee9%2D939a5753cc77&amp;FolderCTID=0x0120001BD1B7A29D5EA04EB7553F36EEAEE8D2" TargetMode="External"/><Relationship Id="rId153" Type="http://schemas.openxmlformats.org/officeDocument/2006/relationships/hyperlink" Target="https://artechnologie13.sharepoint.com/sites/Bureaud%27tudeAR-TECHNOLOGIE/DOSSIER%20POI/Forms/AllItems.aspx?id=%2Fsites%2FBureaud%27tudeAR%2DTECHNOLOGIE%2FDOSSIER%20POI%2FQPR%20%2D%20CRO%2FLOR501552&amp;sortField=Modified&amp;isAscending=false&amp;viewid=ba243776%2Df837%2D4ace%2D8ee9%2D939a5753cc77&amp;FolderCTID=0x0120001BD1B7A29D5EA04EB7553F36EEAEE8D2" TargetMode="External"/><Relationship Id="rId174" Type="http://schemas.openxmlformats.org/officeDocument/2006/relationships/hyperlink" Target="https://artechnologie13.sharepoint.com/sites/Bureaud%27tudeAR-TECHNOLOGIE/DOSSIER%20POI/Forms/AllItems.aspx?id=%2Fsites%2FBureaud%27tudeAR%2DTECHNOLOGIE%2FDOSSIER%20POI%2FQPR%20%2D%20CRO%2FQPR600066&amp;sortField=Modified&amp;isAscending=false&amp;viewid=ba243776%2Df837%2D4ace%2D8ee9%2D939a5753cc77&amp;FolderCTID=0x0120001BD1B7A29D5EA04EB7553F36EEAEE8D2" TargetMode="External"/><Relationship Id="rId195" Type="http://schemas.openxmlformats.org/officeDocument/2006/relationships/hyperlink" Target="https://artechnologie13.sharepoint.com/sites/Bureaud%27tudeAR-TECHNOLOGIE/DOSSIER%20POI/Forms/AllItems.aspx?id=%2Fsites%2FBureaud%27tudeAR%2DTECHNOLOGIE%2FDOSSIER%20POI%2FQPR%20%2D%20CRO%2FVAN600293&amp;sortField=Modified&amp;isAscending=false&amp;viewid=ba243776%2Df837%2D4ace%2D8ee9%2D939a5753cc77&amp;FolderCTID=0x0120001BD1B7A29D5EA04EB7553F36EEAEE8D2" TargetMode="External"/><Relationship Id="rId209" Type="http://schemas.openxmlformats.org/officeDocument/2006/relationships/hyperlink" Target="https://artechnologie13.sharepoint.com/sites/Bureaud'tudeAR-TECHNOLOGIE/DOSSIER%20POI/Forms/AllItems.aspx?id=%2Fsites%2FBureaud%27tudeAR%2DTECHNOLOGIE%2FDOSSIER%20POI%2FQPR%20%2D%20CRO%2FQPR501963&amp;sortField=Modified&amp;isAscending=false&amp;viewid=ba243776%2Df837%2D4ace%2D8ee9%2D939a5753cc77&amp;FolderCTID=0x0120001BD1B7A29D5EA04EB7553F36EEAEE8D2" TargetMode="External"/><Relationship Id="rId220" Type="http://schemas.openxmlformats.org/officeDocument/2006/relationships/hyperlink" Target="https://artechnologie13.sharepoint.com/sites/Bureaud'tudeAR-TECHNOLOGIE/DOSSIER%20POI/Forms/AllItems.aspx?id=%2Fsites%2FBureaud%27tudeAR%2DTECHNOLOGIE%2FDOSSIER%20POI%2FQPR%20%2D%20CRO%2FVAN501849&amp;sortField=Modified&amp;isAscending=false&amp;viewid=ba243776%2Df837%2D4ace%2D8ee9%2D939a5753cc77&amp;csf=1&amp;CID=c5b168e7%2D67df%2D41af%2Db0d7%2D508a6306f4cd&amp;FolderCTID=0x0120001BD1B7A29D5EA04EB7553F36EEAEE8D2" TargetMode="External"/><Relationship Id="rId241" Type="http://schemas.openxmlformats.org/officeDocument/2006/relationships/hyperlink" Target="https://artechnologie13.sharepoint.com/sites/Bureaud%27tudeAR-TECHNOLOGIE/DOSSIER%20POI/Forms/AllItems.aspx?id=%2Fsites%2FBureaud%27tudeAR%2DTECHNOLOGIE%2FDOSSIER%20POI%2FQPR%20%2D%20CRO%2FVAN403047&amp;sortField=Modified&amp;isAscending=false&amp;viewid=ba243776%2Df837%2D4ace%2D8ee9%2D939a5753cc77&amp;csf=1&amp;CID=c5b168e7%2D67df%2D41af%2Db0d7%2D508a6306f4cd&amp;FolderCTID=0x0120001BD1B7A29D5EA04EB7553F36EEAEE8D2" TargetMode="External"/><Relationship Id="rId15" Type="http://schemas.openxmlformats.org/officeDocument/2006/relationships/hyperlink" Target="https://artechnologie13.sharepoint.com/sites/Bureaud'tudeAR-TECHNOLOGIE/DOSSIER%20POI/Forms/AllItems.aspx?id=%2Fsites%2FBureaud%27tudeAR%2DTECHNOLOGIE%2FDOSSIER%20POI%2FQPR%20%2D%20CRO%2FLOR500732&amp;sortField=Modified&amp;isAscending=false&amp;viewid=ba243776%2Df837%2D4ace%2D8ee9%2D939a5753cc77&amp;csf=1&amp;web=1&amp;e=rpmcna&amp;CID=89330d6f%2D3a99%2D424b%2D8f70%2Dcdd687054232&amp;FolderCTID=0x0120001BD1B7A29D5EA04EB7553F36EEAEE8D2" TargetMode="External"/><Relationship Id="rId36" Type="http://schemas.openxmlformats.org/officeDocument/2006/relationships/hyperlink" Target="https://artechnologie13.sharepoint.com/sites/Bureaud'tudeAR-TECHNOLOGIE/DOSSIER%20POI/Forms/AllItems.aspx?id=%2Fsites%2FBureaud%27tudeAR%2DTECHNOLOGIE%2FDOSSIER%20POI%2FQPR%20%2D%20CRO%2FVAN500330&amp;sortField=Modified&amp;isAscending=false&amp;viewid=ba243776%2Df837%2D4ace%2D8ee9%2D939a5753cc77&amp;csf=1&amp;web=1&amp;e=owQXVh&amp;CID=c5b168e7%2D67df%2D41af%2Db0d7%2D508a6306f4cd&amp;FolderCTID=0x0120001BD1B7A29D5EA04EB7553F36EEAEE8D2" TargetMode="External"/><Relationship Id="rId57" Type="http://schemas.openxmlformats.org/officeDocument/2006/relationships/hyperlink" Target="https://artechnologie13.sharepoint.com/:f:/r/sites/Bureaud%27tudeAR-TECHNOLOGIE/DOSSIER%20POI/QPR%20-%20CRO/RRE501554?csf=1&amp;web=1&amp;e=7tPhrH" TargetMode="External"/><Relationship Id="rId262" Type="http://schemas.openxmlformats.org/officeDocument/2006/relationships/hyperlink" Target="https://artechnologie13.sharepoint.com/:f:/s/Bureaud'tudeAR-TECHNOLOGIE/IgBO2mCLE35xRJkYEBekPzAiAQ2YGh-bKaFnvBZ7NHVYUWs?e=MIBBUY" TargetMode="External"/><Relationship Id="rId78" Type="http://schemas.openxmlformats.org/officeDocument/2006/relationships/hyperlink" Target="https://artechnologie13.sharepoint.com/sites/Bureaud'tudeAR-TECHNOLOGIE/DOSSIER%20POI/Forms/AllItems.aspx?id=%2Fsites%2FBureaud%27tudeAR%2DTECHNOLOGIE%2FDOSSIER%20POI%2FQPR%20%2D%20CRO%2FQPR501406&amp;sortField=Modified&amp;isAscending=false&amp;viewid=ba243776%2Df837%2D4ace%2D8ee9%2D939a5753cc77&amp;csf=1&amp;web=1&amp;e=owQXVh&amp;CID=c5b168e7%2D67df%2D41af%2Db0d7%2D508a6306f4cd&amp;FolderCTID=0x0120001BD1B7A29D5EA04EB7553F36EEAEE8D2" TargetMode="External"/><Relationship Id="rId99" Type="http://schemas.openxmlformats.org/officeDocument/2006/relationships/hyperlink" Target="https://artechnologie13.sharepoint.com/sites/Bureaud'tudeAR-TECHNOLOGIE/DOSSIER%20POI/Forms/AllItems.aspx?id=%2Fsites%2FBureaud%27tudeAR%2DTECHNOLOGIE%2FDOSSIER%20POI%2FQPR%20%2D%20CRO%2FLOR501327&amp;sortField=Modified&amp;isAscending=false&amp;viewid=ba243776%2Df837%2D4ace%2D8ee9%2D939a5753cc77&amp;csf=1&amp;web=1&amp;e=nbT2Vs&amp;CID=37182ddc%2Dad88%2D4aff%2Da979%2D30ca890b5e8f&amp;FolderCTID=0x0120001BD1B7A29D5EA04EB7553F36EEAEE8D2" TargetMode="External"/><Relationship Id="rId101" Type="http://schemas.openxmlformats.org/officeDocument/2006/relationships/hyperlink" Target="https://artechnologie13.sharepoint.com/sites/Bureaud'tudeAR-TECHNOLOGIE/DOSSIER%20POI/Forms/AllItems.aspx?id=%2Fsites%2FBureaud%27tudeAR%2DTECHNOLOGIE%2FDOSSIER%20POI%2FQPR%20%2D%20CRO%2FQPR501841&amp;sortField=Modified&amp;isAscending=false&amp;viewid=ba243776%2Df837%2D4ace%2D8ee9%2D939a5753cc77&amp;FolderCTID=0x0120001BD1B7A29D5EA04EB7553F36EEAEE8D2" TargetMode="External"/><Relationship Id="rId122" Type="http://schemas.openxmlformats.org/officeDocument/2006/relationships/hyperlink" Target="https://artechnologie13.sharepoint.com/sites/Bureaud'tudeAR-TECHNOLOGIE/DOSSIER%20POI/Forms/AllItems.aspx?id=%2Fsites%2FBureaud%27tudeAR%2DTECHNOLOGIE%2FDOSSIER%20POI%2FQPR%20%2D%20CRO%2FCRO500268&amp;sortField=Modified&amp;isAscending=false&amp;viewid=ba243776%2Df837%2D4ace%2D8ee9%2D939a5753cc77&amp;FolderCTID=0x0120001BD1B7A29D5EA04EB7553F36EEAEE8D2&amp;view=7" TargetMode="External"/><Relationship Id="rId143" Type="http://schemas.openxmlformats.org/officeDocument/2006/relationships/hyperlink" Target="https://artechnologie13.sharepoint.com/sites/Bureaud'tudeAR-TECHNOLOGIE/DOSSIER%20POI/Forms/AllItems.aspx?id=%2Fsites%2FBureaud%27tudeAR%2DTECHNOLOGIE%2FDOSSIER%20POI%2FQPR%20%2D%20CRO%2FRRE501899&amp;sortField=Modified&amp;isAscending=false&amp;viewid=ba243776%2Df837%2D4ace%2D8ee9%2D939a5753cc77&amp;csf=1&amp;web=1&amp;e=9WvHyN&amp;CID=36301bcb%2D5b9c%2D44bf%2D88d4%2D647a11855c95&amp;FolderCTID=0x0120001BD1B7A29D5EA04EB7553F36EEAEE8D2" TargetMode="External"/><Relationship Id="rId164" Type="http://schemas.openxmlformats.org/officeDocument/2006/relationships/hyperlink" Target="https://artechnologie13.sharepoint.com/sites/Bureaud'tudeAR-TECHNOLOGIE/DOSSIER%20POI/Forms/AllItems.aspx?id=%2Fsites%2FBureaud%27tudeAR%2DTECHNOLOGIE%2FDOSSIER%20POI%2FQPR%20%2D%20CRO%2FQPR501927&amp;sortField=Modified&amp;isAscending=false&amp;viewid=ba243776%2Df837%2D4ace%2D8ee9%2D939a5753cc77&amp;FolderCTID=0x0120001BD1B7A29D5EA04EB7553F36EEAEE8D2" TargetMode="External"/><Relationship Id="rId185" Type="http://schemas.openxmlformats.org/officeDocument/2006/relationships/hyperlink" Target="https://artechnologie13.sharepoint.com/sites/Bureaud%27tudeAR-TECHNOLOGIE/DOSSIER%20POI/Forms/AllItems.aspx?id=%2Fsites%2FBureaud%27tudeAR%2DTECHNOLOGIE%2FDOSSIER%20POI%2FQPR%20%2D%20CRO%2FVAN600185&amp;sortField=Modified&amp;isAscending=false&amp;viewid=ba243776%2Df837%2D4ace%2D8ee9%2D939a5753cc77&amp;FolderCTID=0x0120001BD1B7A29D5EA04EB7553F36EEAEE8D2" TargetMode="External"/><Relationship Id="rId9" Type="http://schemas.openxmlformats.org/officeDocument/2006/relationships/hyperlink" Target="https://artechnologie13.sharepoint.com/sites/Bureaud'tudeAR-TECHNOLOGIE/DOSSIER%20POI/Forms/AllItems.aspx?id=%2Fsites%2FBureaud%27tudeAR%2DTECHNOLOGIE%2FDOSSIER%20POI%2FQPR%20%2D%20CRO%2FQPR500679&amp;sortField=Modified&amp;isAscending=false&amp;viewid=ba243776%2Df837%2D4ace%2D8ee9%2D939a5753cc77&amp;csf=1&amp;web=1&amp;e=rpmcna&amp;CID=89330d6f%2D3a99%2D424b%2D8f70%2Dcdd687054232&amp;FolderCTID=0x0120001BD1B7A29D5EA04EB7553F36EEAEE8D2" TargetMode="External"/><Relationship Id="rId210" Type="http://schemas.openxmlformats.org/officeDocument/2006/relationships/hyperlink" Target="https://artechnologie13.sharepoint.com/sites/Bureaud'tudeAR-TECHNOLOGIE/DOSSIER%20POI/Forms/AllItems.aspx?id=%2Fsites%2FBureaud%27tudeAR%2DTECHNOLOGIE%2FDOSSIER%20POI%2FQPR%20%2D%20CRO%2FRRE600368&amp;sortField=Modified&amp;isAscending=false&amp;viewid=ba243776%2Df837%2D4ace%2D8ee9%2D939a5753cc77&amp;csf=1&amp;CID=c5b168e7%2D67df%2D41af%2Db0d7%2D508a6306f4cd&amp;FolderCTID=0x0120001BD1B7A29D5EA04EB7553F36EEAEE8D2" TargetMode="External"/><Relationship Id="rId26" Type="http://schemas.openxmlformats.org/officeDocument/2006/relationships/hyperlink" Target="https://artechnologie13.sharepoint.com/sites/Bureaud'tudeAR-TECHNOLOGIE/DOSSIER%20POI/Forms/AllItems.aspx?id=%2Fsites%2FBureaud%27tudeAR%2DTECHNOLOGIE%2FDOSSIER%20POI%2FQPR%20%2D%20CRO%2FCRO500068&amp;sortField=Modified&amp;isAscending=false&amp;viewid=ba243776%2Df837%2D4ace%2D8ee9%2D939a5753cc77&amp;csf=1&amp;web=1&amp;e=owQXVh&amp;CID=c5b168e7%2D67df%2D41af%2Db0d7%2D508a6306f4cd&amp;FolderCTID=0x0120001BD1B7A29D5EA04EB7553F36EEAEE8D2" TargetMode="External"/><Relationship Id="rId231" Type="http://schemas.openxmlformats.org/officeDocument/2006/relationships/hyperlink" Target="https://artechnologie13.sharepoint.com/sites/Bureaud%27tudeAR-TECHNOLOGIE/DOSSIER%20POI/Forms/AllItems.aspx?id=%2Fsites%2FBureaud%27tudeAR%2DTECHNOLOGIE%2FDOSSIER%20POI%2FQPR%20%2D%20CRO%2FVAN600357&amp;sortField=Modified&amp;isAscending=false&amp;viewid=ba243776%2Df837%2D4ace%2D8ee9%2D939a5753cc77&amp;csf=1&amp;CID=c5b168e7%2D67df%2D41af%2Db0d7%2D508a6306f4cd&amp;FolderCTID=0x0120001BD1B7A29D5EA04EB7553F36EEAEE8D2" TargetMode="External"/><Relationship Id="rId252" Type="http://schemas.openxmlformats.org/officeDocument/2006/relationships/hyperlink" Target="https://artechnologie13.sharepoint.com/sites/Bureaud%27tudeAR-TECHNOLOGIE/DOSSIER%20POI/Forms/AllItems.aspx?id=%2Fsites%2FBureaud%27tudeAR%2DTECHNOLOGIE%2FDOSSIER%20POI%2FQPR%20%2D%20CRO%2FRRE600325&amp;sortField=Modified&amp;isAscending=false&amp;viewid=ba243776%2Df837%2D4ace%2D8ee9%2D939a5753cc77&amp;FolderCTID=0x0120001BD1B7A29D5EA04EB7553F36EEAEE8D2" TargetMode="External"/><Relationship Id="rId273" Type="http://schemas.openxmlformats.org/officeDocument/2006/relationships/hyperlink" Target="https://artechnologie13.sharepoint.com/sites/Bureaud%27tudeAR-TECHNOLOGIE/DOSSIER%20POI/Forms/AllItems.aspx?id=%2Fsites%2FBureaud%27tudeAR%2DTECHNOLOGIE%2FDOSSIER%20POI%2FQPR%20%2D%20CRO%2FVAN600430&amp;sortField=Modified&amp;isAscending=false&amp;viewid=ba243776%2Df837%2D4ace%2D8ee9%2D939a5753cc77&amp;csf=1&amp;CID=c5b168e7%2D67df%2D41af%2Db0d7%2D508a6306f4cd&amp;FolderCTID=0x0120001BD1B7A29D5EA04EB7553F36EEAEE8D2" TargetMode="External"/><Relationship Id="rId47" Type="http://schemas.openxmlformats.org/officeDocument/2006/relationships/hyperlink" Target="https://artechnologie13.sharepoint.com/sites/Bureaud'tudeAR-TECHNOLOGIE/DOSSIER%20POI/Forms/AllItems.aspx?id=%2Fsites%2FBureaud%27tudeAR%2DTECHNOLOGIE%2FDOSSIER%20POI%2FQPR%20%2D%20CRO%2FQPR500129&amp;sortField=Modified&amp;isAscending=false&amp;viewid=ba243776%2Df837%2D4ace%2D8ee9%2D939a5753cc77&amp;csf=1&amp;web=1&amp;e=owQXVh&amp;CID=c5b168e7%2D67df%2D41af%2Db0d7%2D508a6306f4cd&amp;FolderCTID=0x0120001BD1B7A29D5EA04EB7553F36EEAEE8D2&amp;view=7" TargetMode="External"/><Relationship Id="rId68" Type="http://schemas.openxmlformats.org/officeDocument/2006/relationships/hyperlink" Target="https://artechnologie13.sharepoint.com/sites/Bureaud'tudeAR-TECHNOLOGIE/DOSSIER%20POI/Forms/AllItems.aspx?id=%2Fsites%2FBureaud%27tudeAR%2DTECHNOLOGIE%2FDOSSIER%20POI%2FQPR%20%2D%20CRO%2FQPR501380&amp;sortField=Modified&amp;isAscending=false&amp;viewid=ba243776%2Df837%2D4ace%2D8ee9%2D939a5753cc77&amp;csf=1&amp;web=1&amp;e=owQXVh&amp;CID=c5b168e7%2D67df%2D41af%2Db0d7%2D508a6306f4cd&amp;FolderCTID=0x0120001BD1B7A29D5EA04EB7553F36EEAEE8D2&amp;view=7" TargetMode="External"/><Relationship Id="rId89" Type="http://schemas.openxmlformats.org/officeDocument/2006/relationships/hyperlink" Target="https://artechnologie13.sharepoint.com/sites/Bureaud'tudeAR-TECHNOLOGIE/DOSSIER%20POI/Forms/AllItems.aspx?id=%2Fsites%2FBureaud%27tudeAR%2DTECHNOLOGIE%2FDOSSIER%20POI%2FQPR%20%2D%20CRO%2FRRE501894&amp;sortField=Modified&amp;isAscending=false&amp;viewid=ba243776%2Df837%2D4ace%2D8ee9%2D939a5753cc77&amp;csf=1&amp;web=1&amp;e=9WvHyN&amp;CID=36301bcb%2D5b9c%2D44bf%2D88d4%2D647a11855c95&amp;FolderCTID=0x0120001BD1B7A29D5EA04EB7553F36EEAEE8D2" TargetMode="External"/><Relationship Id="rId112" Type="http://schemas.openxmlformats.org/officeDocument/2006/relationships/hyperlink" Target="https://artechnologie13.sharepoint.com/sites/Bureaud'tudeAR-TECHNOLOGIE/DOSSIER%20POI/Forms/AllItems.aspx?id=%2Fsites%2FBureaud%27tudeAR%2DTECHNOLOGIE%2FDOSSIER%20POI%2FQPR%20%2D%20CRO%2FQPR501918&amp;sortField=Modified&amp;isAscending=false&amp;viewid=ba243776%2Df837%2D4ace%2D8ee9%2D939a5753cc77&amp;csf=1&amp;web=1&amp;e=Hzs091&amp;CID=04134872%2Df162%2D4f8b%2Dab49%2D5cbfb7288b16&amp;FolderCTID=0x0120001BD1B7A29D5EA04EB7553F36EEAEE8D2" TargetMode="External"/><Relationship Id="rId133" Type="http://schemas.openxmlformats.org/officeDocument/2006/relationships/hyperlink" Target="https://artechnologie13.sharepoint.com/sites/Bureaud'tudeAR-TECHNOLOGIE/DOSSIER%20POI/Forms/AllItems.aspx?id=%2Fsites%2FBureaud%27tudeAR%2DTECHNOLOGIE%2FDOSSIER%20POI%2FQPR%20%2D%20CRO%2FVAN502631&amp;sortField=Modified&amp;isAscending=false&amp;viewid=ba243776%2Df837%2D4ace%2D8ee9%2D939a5753cc77&amp;FolderCTID=0x0120001BD1B7A29D5EA04EB7553F36EEAEE8D2" TargetMode="External"/><Relationship Id="rId154" Type="http://schemas.openxmlformats.org/officeDocument/2006/relationships/hyperlink" Target="https://artechnologie13.sharepoint.com/sites/Bureaud%27tudeAR-TECHNOLOGIE/DOSSIER%20POI/Forms/AllItems.aspx?id=%2Fsites%2FBureaud%27tudeAR%2DTECHNOLOGIE%2FDOSSIER%20POI%2FQPR%20%2D%20CRO%2FQPR502116&amp;sortField=Modified&amp;isAscending=false&amp;viewid=ba243776%2Df837%2D4ace%2D8ee9%2D939a5753cc77&amp;FolderCTID=0x0120001BD1B7A29D5EA04EB7553F36EEAEE8D2" TargetMode="External"/><Relationship Id="rId175" Type="http://schemas.openxmlformats.org/officeDocument/2006/relationships/hyperlink" Target="https://artechnologie13.sharepoint.com/sites/Bureaud%27tudeAR-TECHNOLOGIE/DOSSIER%20POI/Forms/AllItems.aspx?id=%2Fsites%2FBureaud%27tudeAR%2DTECHNOLOGIE%2FDOSSIER%20POI%2FQPR%20%2D%20CRO%2FQPR600079&amp;sortField=Modified&amp;isAscending=false&amp;viewid=ba243776%2Df837%2D4ace%2D8ee9%2D939a5753cc77&amp;FolderCTID=0x0120001BD1B7A29D5EA04EB7553F36EEAEE8D2" TargetMode="External"/><Relationship Id="rId196" Type="http://schemas.openxmlformats.org/officeDocument/2006/relationships/hyperlink" Target="https://artechnologie13.sharepoint.com/sites/Bureaud%27tudeAR-TECHNOLOGIE/DOSSIER%20POI/Forms/AllItems.aspx?id=%2Fsites%2FBureaud%27tudeAR%2DTECHNOLOGIE%2FDOSSIER%20POI%2FQPR%20%2D%20CRO%2FVAN600303&amp;sortField=Modified&amp;isAscending=false&amp;viewid=ba243776%2Df837%2D4ace%2D8ee9%2D939a5753cc77&amp;FolderCTID=0x0120001BD1B7A29D5EA04EB7553F36EEAEE8D2" TargetMode="External"/><Relationship Id="rId200" Type="http://schemas.openxmlformats.org/officeDocument/2006/relationships/hyperlink" Target="https://artechnologie13.sharepoint.com/sites/Bureaud%27tudeAR-TECHNOLOGIE/DOSSIER%20POI/Forms/AllItems.aspx?id=%2Fsites%2FBureaud%27tudeAR%2DTECHNOLOGIE%2FDOSSIER%20POI%2FQPR%20%2D%20CRO%2FQPR600176&amp;sortField=Modified&amp;isAscending=false&amp;viewid=ba243776%2Df837%2D4ace%2D8ee9%2D939a5753cc77&amp;FolderCTID=0x0120001BD1B7A29D5EA04EB7553F36EEAEE8D2" TargetMode="External"/><Relationship Id="rId16" Type="http://schemas.openxmlformats.org/officeDocument/2006/relationships/hyperlink" Target="https://artechnologie13.sharepoint.com/sites/Bureaud'tudeAR-TECHNOLOGIE/DOSSIER%20POI/Forms/AllItems.aspx?id=%2Fsites%2FBureaud%27tudeAR%2DTECHNOLOGIE%2FDOSSIER%20POI%2FQPR%20%2D%20CRO%2FQPR500707&amp;sortField=Modified&amp;isAscending=false&amp;viewid=ba243776%2Df837%2D4ace%2D8ee9%2D939a5753cc77&amp;csf=1&amp;web=1&amp;e=owQXVh&amp;CID=c5b168e7%2D67df%2D41af%2Db0d7%2D508a6306f4cd&amp;FolderCTID=0x0120001BD1B7A29D5EA04EB7553F36EEAEE8D2" TargetMode="External"/><Relationship Id="rId221" Type="http://schemas.openxmlformats.org/officeDocument/2006/relationships/hyperlink" Target="https://artechnologie13.sharepoint.com/sites/Bureaud'tudeAR-TECHNOLOGIE/DOSSIER%20POI/Forms/AllItems.aspx?id=%2Fsites%2FBureaud%27tudeAR%2DTECHNOLOGIE%2FDOSSIER%20POI%2FQPR%20%2D%20CRO%2FVAN502407&amp;sortField=Modified&amp;isAscending=false&amp;viewid=ba243776%2Df837%2D4ace%2D8ee9%2D939a5753cc77&amp;csf=1&amp;CID=c5b168e7%2D67df%2D41af%2Db0d7%2D508a6306f4cd&amp;FolderCTID=0x0120001BD1B7A29D5EA04EB7553F36EEAEE8D2" TargetMode="External"/><Relationship Id="rId242" Type="http://schemas.openxmlformats.org/officeDocument/2006/relationships/hyperlink" Target="https://artechnologie13.sharepoint.com/sites/Bureaud%27tudeAR-TECHNOLOGIE/DOSSIER%20POI/Forms/AllItems.aspx?id=%2Fsites%2FBureaud%27tudeAR%2DTECHNOLOGIE%2FDOSSIER%20POI%2FQPR%20%2D%20CRO%2FVAN502724&amp;sortField=Modified&amp;isAscending=false&amp;viewid=ba243776%2Df837%2D4ace%2D8ee9%2D939a5753cc77&amp;csf=1&amp;CID=c5b168e7%2D67df%2D41af%2Db0d7%2D508a6306f4cd&amp;FolderCTID=0x0120001BD1B7A29D5EA04EB7553F36EEAEE8D2" TargetMode="External"/><Relationship Id="rId263" Type="http://schemas.openxmlformats.org/officeDocument/2006/relationships/hyperlink" Target="https://artechnologie13.sharepoint.com/sites/Bureaud%27tudeAR-TECHNOLOGIE/DOSSIER%20POI/Forms/AllItems.aspx?id=%2Fsites%2FBureaud%27tudeAR%2DTECHNOLOGIE%2FDOSSIER%20POI%2FQPR%20%2D%20CRO%2FQPR600293&amp;sortField=Modified&amp;isAscending=false&amp;viewid=ba243776%2Df837%2D4ace%2D8ee9%2D939a5753cc77&amp;csf=1&amp;CID=c5b168e7%2D67df%2D41af%2Db0d7%2D508a6306f4cd&amp;FolderCTID=0x0120001BD1B7A29D5EA04EB7553F36EEAEE8D2" TargetMode="External"/><Relationship Id="rId37" Type="http://schemas.openxmlformats.org/officeDocument/2006/relationships/hyperlink" Target="https://artechnologie13.sharepoint.com/sites/Bureaud'tudeAR-TECHNOLOGIE/DOSSIER%20POI/Forms/AllItems.aspx?id=%2Fsites%2FBureaud%27tudeAR%2DTECHNOLOGIE%2FDOSSIER%20POI%2FQPR%20%2D%20CRO%2FVAN500469&amp;sortField=Modified&amp;isAscending=false&amp;viewid=ba243776%2Df837%2D4ace%2D8ee9%2D939a5753cc77&amp;csf=1&amp;web=1&amp;e=owQXVh&amp;CID=c5b168e7%2D67df%2D41af%2Db0d7%2D508a6306f4cd&amp;FolderCTID=0x0120001BD1B7A29D5EA04EB7553F36EEAEE8D2" TargetMode="External"/><Relationship Id="rId58" Type="http://schemas.openxmlformats.org/officeDocument/2006/relationships/hyperlink" Target="https://artechnologie13.sharepoint.com/:f:/r/sites/Bureaud%27tudeAR-TECHNOLOGIE/DOSSIER%20POI/QPR%20-%20CRO/CRO500153?csf=1&amp;web=1&amp;e=mNdpe5" TargetMode="External"/><Relationship Id="rId79" Type="http://schemas.openxmlformats.org/officeDocument/2006/relationships/hyperlink" Target="https://artechnologie13.sharepoint.com/sites/Bureaud'tudeAR-TECHNOLOGIE/DOSSIER%20POI/Forms/AllItems.aspx?id=%2Fsites%2FBureaud%27tudeAR%2DTECHNOLOGIE%2FDOSSIER%20POI%2FQPR%20%2D%20CRO%2FLOR501073&amp;sortField=Modified&amp;isAscending=false&amp;viewid=ba243776%2Df837%2D4ace%2D8ee9%2D939a5753cc77&amp;csf=1&amp;web=1&amp;e=owQXVh&amp;CID=c5b168e7%2D67df%2D41af%2Db0d7%2D508a6306f4cd&amp;FolderCTID=0x0120001BD1B7A29D5EA04EB7553F36EEAEE8D2" TargetMode="External"/><Relationship Id="rId102" Type="http://schemas.openxmlformats.org/officeDocument/2006/relationships/hyperlink" Target="https://artechnologie13.sharepoint.com/sites/Bureaud'tudeAR-TECHNOLOGIE/DOSSIER%20POI/Forms/AllItems.aspx?id=%2Fsites%2FBureaud%27tudeAR%2DTECHNOLOGIE%2FDOSSIER%20POI%2FQPR%20%2D%20CRO%2FLOR500350%20LOR500820&amp;sortField=Modified&amp;isAscending=false&amp;viewid=ba243776%2Df837%2D4ace%2D8ee9%2D939a5753cc77&amp;csf=1&amp;web=1&amp;e=owQXVh&amp;CID=c5b168e7%2D67df%2D41af%2Db0d7%2D508a6306f4cd&amp;FolderCTID=0x0120001BD1B7A29D5EA04EB7553F36EEAEE8D2&amp;view=7" TargetMode="External"/><Relationship Id="rId123" Type="http://schemas.openxmlformats.org/officeDocument/2006/relationships/hyperlink" Target="https://artechnologie13.sharepoint.com/sites/Bureaud'tudeAR-TECHNOLOGIE/DOSSIER%20POI/Forms/AllItems.aspx?id=%2Fsites%2FBureaud%27tudeAR%2DTECHNOLOGIE%2FDOSSIER%20POI%2FQPR%20%2D%20CRO%2FQPR501949&amp;sortField=Modified&amp;isAscending=false&amp;viewid=ba243776%2Df837%2D4ace%2D8ee9%2D939a5753cc77&amp;FolderCTID=0x0120001BD1B7A29D5EA04EB7553F36EEAEE8D2&amp;view=7" TargetMode="External"/><Relationship Id="rId144" Type="http://schemas.openxmlformats.org/officeDocument/2006/relationships/hyperlink" Target="https://artechnologie13.sharepoint.com/sites/Bureaud'tudeAR-TECHNOLOGIE/DOSSIER%20POI/Forms/AllItems.aspx?id=%2Fsites%2FBureaud%27tudeAR%2DTECHNOLOGIE%2FDOSSIER%20POI%2FQPR%20%2D%20CRO%2FQPR502010&amp;sortField=Modified&amp;isAscending=false&amp;viewid=ba243776%2Df837%2D4ace%2D8ee9%2D939a5753cc77" TargetMode="External"/><Relationship Id="rId90" Type="http://schemas.openxmlformats.org/officeDocument/2006/relationships/hyperlink" Target="https://artechnologie13.sharepoint.com/sites/Bureaud'tudeAR-TECHNOLOGIE/DOSSIER%20POI/Forms/AllItems.aspx?id=%2Fsites%2FBureaud%27tudeAR%2DTECHNOLOGIE%2FDOSSIER%20POI%2FQPR%20%2D%20CRO%2FRRE501899&amp;sortField=Modified&amp;isAscending=false&amp;viewid=ba243776%2Df837%2D4ace%2D8ee9%2D939a5753cc77&amp;csf=1&amp;web=1&amp;e=9WvHyN&amp;CID=36301bcb%2D5b9c%2D44bf%2D88d4%2D647a11855c95&amp;FolderCTID=0x0120001BD1B7A29D5EA04EB7553F36EEAEE8D2" TargetMode="External"/><Relationship Id="rId165" Type="http://schemas.openxmlformats.org/officeDocument/2006/relationships/hyperlink" Target="https://artechnologie13.sharepoint.com/sites/Bureaud'tudeAR-TECHNOLOGIE/DOSSIER%20POI/Forms/AllItems.aspx?id=%2Fsites%2FBureaud%27tudeAR%2DTECHNOLOGIE%2FDOSSIER%20POI%2FQPR%20%2D%20CRO%2FQPR600020&amp;sortField=Modified&amp;isAscending=false&amp;viewid=ba243776%2Df837%2D4ace%2D8ee9%2D939a5753cc77&amp;FolderCTID=0x0120001BD1B7A29D5EA04EB7553F36EEAEE8D2" TargetMode="External"/><Relationship Id="rId186" Type="http://schemas.openxmlformats.org/officeDocument/2006/relationships/hyperlink" Target="https://artechnologie13.sharepoint.com/sites/Bureaud%27tudeAR-TECHNOLOGIE/DOSSIER%20POI/Forms/AllItems.aspx?id=%2Fsites%2FBureaud%27tudeAR%2DTECHNOLOGIE%2FDOSSIER%20POI%2FQPR%20%2D%20CRO%2FVAN600198&amp;sortField=Modified&amp;isAscending=false&amp;viewid=ba243776%2Df837%2D4ace%2D8ee9%2D939a5753cc77&amp;FolderCTID=0x0120001BD1B7A29D5EA04EB7553F36EEAEE8D2" TargetMode="External"/><Relationship Id="rId211" Type="http://schemas.openxmlformats.org/officeDocument/2006/relationships/hyperlink" Target="https://artechnologie13.sharepoint.com/sites/Bureaud'tudeAR-TECHNOLOGIE/DOSSIER%20POI/Forms/AllItems.aspx?id=%2Fsites%2FBureaud%27tudeAR%2DTECHNOLOGIE%2FDOSSIER%20POI%2FQPR%20%2D%20CRO%2FRRE600369&amp;sortField=Modified&amp;isAscending=false&amp;viewid=ba243776%2Df837%2D4ace%2D8ee9%2D939a5753cc77&amp;csf=1&amp;CID=c5b168e7%2D67df%2D41af%2Db0d7%2D508a6306f4cd&amp;FolderCTID=0x0120001BD1B7A29D5EA04EB7553F36EEAEE8D2" TargetMode="External"/><Relationship Id="rId232" Type="http://schemas.openxmlformats.org/officeDocument/2006/relationships/hyperlink" Target="https://artechnologie13.sharepoint.com/sites/Bureaud%27tudeAR-TECHNOLOGIE/DOSSIER%20POI/Forms/AllItems.aspx?id=%2Fsites%2FBureaud%27tudeAR%2DTECHNOLOGIE%2FDOSSIER%20POI%2FQPR%20%2D%20CRO%2FVAN600358&amp;sortField=Modified&amp;isAscending=false&amp;viewid=ba243776%2Df837%2D4ace%2D8ee9%2D939a5753cc77&amp;csf=1&amp;CID=c5b168e7%2D67df%2D41af%2Db0d7%2D508a6306f4cd&amp;FolderCTID=0x0120001BD1B7A29D5EA04EB7553F36EEAEE8D2" TargetMode="External"/><Relationship Id="rId253" Type="http://schemas.openxmlformats.org/officeDocument/2006/relationships/hyperlink" Target="https://artechnologie13.sharepoint.com/sites/Bureaud%27tudeAR-TECHNOLOGIE/DOSSIER%20POI/Forms/AllItems.aspx?id=%2Fsites%2FBureaud%27tudeAR%2DTECHNOLOGIE%2FDOSSIER%20POI%2FQPR%20%2D%20CRO%2FCRO600032&amp;sortField=Modified&amp;isAscending=false&amp;viewid=ba243776%2Df837%2D4ace%2D8ee9%2D939a5753cc77&amp;csf=1&amp;CID=c5b168e7%2D67df%2D41af%2Db0d7%2D508a6306f4cd&amp;FolderCTID=0x0120001BD1B7A29D5EA04EB7553F36EEAEE8D2" TargetMode="External"/><Relationship Id="rId274" Type="http://schemas.openxmlformats.org/officeDocument/2006/relationships/vmlDrawing" Target="../drawings/vmlDrawing2.vml"/><Relationship Id="rId27" Type="http://schemas.openxmlformats.org/officeDocument/2006/relationships/hyperlink" Target="https://artechnologie13.sharepoint.com/sites/Bureaud'tudeAR-TECHNOLOGIE/DOSSIER%20POI/Forms/AllItems.aspx?id=%2Fsites%2FBureaud%27tudeAR%2DTECHNOLOGIE%2FDOSSIER%20POI%2FQPR%20%2D%20CRO%2FLOR500542&amp;sortField=Modified&amp;isAscending=false&amp;viewid=ba243776%2Df837%2D4ace%2D8ee9%2D939a5753cc77&amp;csf=1&amp;web=1&amp;e=owQXVh&amp;CID=c5b168e7%2D67df%2D41af%2Db0d7%2D508a6306f4cd&amp;FolderCTID=0x0120001BD1B7A29D5EA04EB7553F36EEAEE8D2" TargetMode="External"/><Relationship Id="rId48" Type="http://schemas.openxmlformats.org/officeDocument/2006/relationships/hyperlink" Target="https://artechnologie13.sharepoint.com/sites/Bureaud'tudeAR-TECHNOLOGIE/DOSSIER%20POI/Forms/AllItems.aspx?id=%2Fsites%2FBureaud%27tudeAR%2DTECHNOLOGIE%2FDOSSIER%20POI%2FQPR%20%2D%20CRO%2FQPR500963&amp;sortField=Modified&amp;isAscending=false&amp;viewid=ba243776%2Df837%2D4ace%2D8ee9%2D939a5753cc77&amp;csf=1&amp;web=1&amp;e=owQXVh&amp;CID=c5b168e7%2D67df%2D41af%2Db0d7%2D508a6306f4cd&amp;FolderCTID=0x0120001BD1B7A29D5EA04EB7553F36EEAEE8D2&amp;view=7" TargetMode="External"/><Relationship Id="rId69" Type="http://schemas.openxmlformats.org/officeDocument/2006/relationships/hyperlink" Target="https://artechnologie13.sharepoint.com/sites/Bureaud'tudeAR-TECHNOLOGIE/DOSSIER%20POI/Forms/AllItems.aspx?id=%2Fsites%2FBureaud%27tudeAR%2DTECHNOLOGIE%2FDOSSIER%20POI%2FQPR%20%2D%20CRO%2FLOR500806&amp;sortField=Modified&amp;isAscending=false&amp;viewid=ba243776%2Df837%2D4ace%2D8ee9%2D939a5753cc77&amp;csf=1&amp;web=1&amp;e=owQXVh&amp;CID=c5b168e7%2D67df%2D41af%2Db0d7%2D508a6306f4cd&amp;FolderCTID=0x0120001BD1B7A29D5EA04EB7553F36EEAEE8D2&amp;view=7" TargetMode="External"/><Relationship Id="rId113" Type="http://schemas.openxmlformats.org/officeDocument/2006/relationships/hyperlink" Target="https://artechnologie13.sharepoint.com/sites/Bureaud'tudeAR-TECHNOLOGIE/DOSSIER%20POI/Forms/AllItems.aspx?id=%2Fsites%2FBureaud%27tudeAR%2DTECHNOLOGIE%2FDOSSIER%20POI%2FQPR%20%2D%20CRO%2FQPR501902&amp;sortField=Modified&amp;isAscending=false&amp;viewid=ba243776%2Df837%2D4ace%2D8ee9%2D939a5753cc77&amp;FolderCTID=0x0120001BD1B7A29D5EA04EB7553F36EEAEE8D2" TargetMode="External"/><Relationship Id="rId134" Type="http://schemas.openxmlformats.org/officeDocument/2006/relationships/hyperlink" Target="https://artechnologie13.sharepoint.com/sites/Bureaud'tudeAR-TECHNOLOGIE/DOSSIER%20POI/Forms/AllItems.aspx?id=%2Fsites%2FBureaud%27tudeAR%2DTECHNOLOGIE%2FDOSSIER%20POI%2FQPR%20%2D%20CRO%2FLOR501475&amp;sortField=Modified&amp;isAscending=false&amp;viewid=ba243776%2Df837%2D4ace%2D8ee9%2D939a5753cc77" TargetMode="External"/><Relationship Id="rId80" Type="http://schemas.openxmlformats.org/officeDocument/2006/relationships/hyperlink" Target="https://artechnologie13.sharepoint.com/sites/Bureaud'tudeAR-TECHNOLOGIE/DOSSIER%20POI/Forms/AllItems.aspx?id=%2Fsites%2FBureaud%27tudeAR%2DTECHNOLOGIE%2FDOSSIER%20POI%2FQPR%20%2D%20CRO%2FQPR500928&amp;sortField=Modified&amp;isAscending=false&amp;viewid=ba243776%2Df837%2D4ace%2D8ee9%2D939a5753cc77&amp;csf=1&amp;web=1&amp;e=owQXVh&amp;CID=c5b168e7%2D67df%2D41af%2Db0d7%2D508a6306f4cd&amp;FolderCTID=0x0120001BD1B7A29D5EA04EB7553F36EEAEE8D2&amp;view=7" TargetMode="External"/><Relationship Id="rId155" Type="http://schemas.openxmlformats.org/officeDocument/2006/relationships/hyperlink" Target="https://artechnologie13.sharepoint.com/sites/Bureaud%27tudeAR-TECHNOLOGIE/DOSSIER%20POI/Forms/AllItems.aspx?id=%2Fsites%2FBureaud%27tudeAR%2DTECHNOLOGIE%2FDOSSIER%20POI%2FQPR%20%2D%20CRO%2FQPR502114&amp;sortField=Modified&amp;isAscending=false&amp;viewid=ba243776%2Df837%2D4ace%2D8ee9%2D939a5753cc77&amp;FolderCTID=0x0120001BD1B7A29D5EA04EB7553F36EEAEE8D2" TargetMode="External"/><Relationship Id="rId176" Type="http://schemas.openxmlformats.org/officeDocument/2006/relationships/hyperlink" Target="https://artechnologie13.sharepoint.com/sites/Bureaud%27tudeAR-TECHNOLOGIE/DOSSIER%20POI/Forms/AllItems.aspx?id=%2Fsites%2FBureaud%27tudeAR%2DTECHNOLOGIE%2FDOSSIER%20POI%2FQPR%20%2D%20CRO%2FQPR600078&amp;sortField=Modified&amp;isAscending=false&amp;viewid=ba243776%2Df837%2D4ace%2D8ee9%2D939a5753cc77&amp;FolderCTID=0x0120001BD1B7A29D5EA04EB7553F36EEAEE8D2" TargetMode="External"/><Relationship Id="rId197" Type="http://schemas.openxmlformats.org/officeDocument/2006/relationships/hyperlink" Target="https://artechnologie13.sharepoint.com/sites/Bureaud%27tudeAR-TECHNOLOGIE/DOSSIER%20POI/Forms/AllItems.aspx?id=%2Fsites%2FBureaud%27tudeAR%2DTECHNOLOGIE%2FDOSSIER%20POI%2FQPR%20%2D%20CRO%2FVAN600095&amp;sortField=Modified&amp;isAscending=false&amp;viewid=ba243776%2Df837%2D4ace%2D8ee9%2D939a5753cc77&amp;FolderCTID=0x0120001BD1B7A29D5EA04EB7553F36EEAEE8D2" TargetMode="External"/><Relationship Id="rId201" Type="http://schemas.openxmlformats.org/officeDocument/2006/relationships/hyperlink" Target="https://artechnologie13.sharepoint.com/sites/Bureaud%27tudeAR-TECHNOLOGIE/DOSSIER%20POI/Forms/AllItems.aspx?id=%2Fsites%2FBureaud%27tudeAR%2DTECHNOLOGIE%2FDOSSIER%20POI%2FQPR%20%2D%20CRO%2FQPR600185&amp;sortField=Modified&amp;isAscending=false&amp;viewid=ba243776%2Df837%2D4ace%2D8ee9%2D939a5753cc77&amp;FolderCTID=0x0120001BD1B7A29D5EA04EB7553F36EEAEE8D2" TargetMode="External"/><Relationship Id="rId222" Type="http://schemas.openxmlformats.org/officeDocument/2006/relationships/hyperlink" Target="https://artechnologie13.sharepoint.com/sites/Bureaud%27tudeAR-TECHNOLOGIE/DOSSIER%20POI/Forms/AllItems.aspx?id=%2Fsites%2FBureaud%27tudeAR%2DTECHNOLOGIE%2FDOSSIER%20POI%2FQPR%20%2D%20CRO%2FLOR600169&amp;sortField=Modified&amp;isAscending=false&amp;viewid=ba243776%2Df837%2D4ace%2D8ee9%2D939a5753cc77&amp;csf=1&amp;CID=c5b168e7%2D67df%2D41af%2Db0d7%2D508a6306f4cd&amp;FolderCTID=0x0120001BD1B7A29D5EA04EB7553F36EEAEE8D2" TargetMode="External"/><Relationship Id="rId243" Type="http://schemas.openxmlformats.org/officeDocument/2006/relationships/hyperlink" Target="https://artechnologie13.sharepoint.com/sites/Bureaud%27tudeAR-TECHNOLOGIE/DOSSIER%20POI/Forms/AllItems.aspx?id=%2Fsites%2FBureaud%27tudeAR%2DTECHNOLOGIE%2FDOSSIER%20POI%2FQPR%20%2D%20CRO%2FVAN502373&amp;sortField=Modified&amp;isAscending=false&amp;viewid=ba243776%2Df837%2D4ace%2D8ee9%2D939a5753cc77&amp;csf=1&amp;CID=c5b168e7%2D67df%2D41af%2Db0d7%2D508a6306f4cd&amp;FolderCTID=0x0120001BD1B7A29D5EA04EB7553F36EEAEE8D2" TargetMode="External"/><Relationship Id="rId264" Type="http://schemas.openxmlformats.org/officeDocument/2006/relationships/hyperlink" Target="https://artechnologie13.sharepoint.com/sites/Bureaud%27tudeAR-TECHNOLOGIE/DOSSIER%20POI/Forms/AllItems.aspx?id=%2Fsites%2FBureaud%27tudeAR%2DTECHNOLOGIE%2FDOSSIER%20POI%2FQPR%20%2D%20CRO%2FRRE600424&amp;sortField=Modified&amp;isAscending=false&amp;viewid=ba243776%2Df837%2D4ace%2D8ee9%2D939a5753cc77&amp;csf=1&amp;CID=c5b168e7%2D67df%2D41af%2Db0d7%2D508a6306f4cd&amp;FolderCTID=0x0120001BD1B7A29D5EA04EB7553F36EEAEE8D2" TargetMode="External"/><Relationship Id="rId17" Type="http://schemas.openxmlformats.org/officeDocument/2006/relationships/hyperlink" Target="https://artechnologie13.sharepoint.com/sites/Bureaud'tudeAR-TECHNOLOGIE/DOSSIER%20POI/Forms/AllItems.aspx?id=%2Fsites%2FBureaud%27tudeAR%2DTECHNOLOGIE%2FDOSSIER%20POI%2FQPR%20%2D%20CRO%2FQPR501059&amp;sortField=Modified&amp;isAscending=false&amp;viewid=ba243776%2Df837%2D4ace%2D8ee9%2D939a5753cc77&amp;csf=1&amp;web=1&amp;e=owQXVh&amp;CID=c5b168e7%2D67df%2D41af%2Db0d7%2D508a6306f4cd&amp;FolderCTID=0x0120001BD1B7A29D5EA04EB7553F36EEAEE8D2" TargetMode="External"/><Relationship Id="rId38" Type="http://schemas.openxmlformats.org/officeDocument/2006/relationships/hyperlink" Target="https://artechnologie13.sharepoint.com/sites/Bureaud'tudeAR-TECHNOLOGIE/DOSSIER%20POI/Forms/AllItems.aspx?id=%2Fsites%2FBureaud%27tudeAR%2DTECHNOLOGIE%2FDOSSIER%20POI%2FQPR%20%2D%20CRO%2FRRE400062&amp;sortField=Modified&amp;isAscending=false&amp;viewid=ba243776%2Df837%2D4ace%2D8ee9%2D939a5753cc77&amp;csf=1&amp;web=1&amp;e=owQXVh&amp;CID=c5b168e7%2D67df%2D41af%2Db0d7%2D508a6306f4cd&amp;FolderCTID=0x0120001BD1B7A29D5EA04EB7553F36EEAEE8D2" TargetMode="External"/><Relationship Id="rId59" Type="http://schemas.openxmlformats.org/officeDocument/2006/relationships/hyperlink" Target="https://artechnologie13.sharepoint.com/sites/Bureaud'tudeAR-TECHNOLOGIE/DOSSIER%20POI/Forms/AllItems.aspx?id=%2Fsites%2FBureaud%27tudeAR%2DTECHNOLOGIE%2FDOSSIER%20POI%2FQPR%20%2D%20CRO%2FVAN500993&amp;sortField=Modified&amp;isAscending=false&amp;viewid=ba243776%2Df837%2D4ace%2D8ee9%2D939a5753cc77&amp;csf=1&amp;web=1&amp;e=mNdpe5&amp;CID=7455e509%2D1753%2D4e80%2D85aa%2Db3d5ef9489ac&amp;FolderCTID=0x0120001BD1B7A29D5EA04EB7553F36EEAEE8D2" TargetMode="External"/><Relationship Id="rId103" Type="http://schemas.openxmlformats.org/officeDocument/2006/relationships/hyperlink" Target="https://artechnologie13.sharepoint.com/sites/Bureaud'tudeAR-TECHNOLOGIE/DOSSIER%20POI/Forms/AllItems.aspx?id=%2Fsites%2FBureaud%27tudeAR%2DTECHNOLOGIE%2FDOSSIER%20POI%2FQPR%20%2D%20CRO%2FLOR501149&amp;sortField=Modified&amp;isAscending=false&amp;viewid=ba243776%2Df837%2D4ace%2D8ee9%2D939a5753cc77&amp;csf=1&amp;web=1&amp;e=9WvHyN&amp;CID=36301bcb%2D5b9c%2D44bf%2D88d4%2D647a11855c95&amp;FolderCTID=0x0120001BD1B7A29D5EA04EB7553F36EEAEE8D2" TargetMode="External"/><Relationship Id="rId124" Type="http://schemas.openxmlformats.org/officeDocument/2006/relationships/hyperlink" Target="https://artechnologie13.sharepoint.com/sites/Bureaud'tudeAR-TECHNOLOGIE/DOSSIER%20POI/Forms/AllItems.aspx?id=%2Fsites%2FBureaud%27tudeAR%2DTECHNOLOGIE%2FDOSSIER%20POI%2FQPR%20%2D%20CRO%2FQPR501939&amp;sortField=Modified&amp;isAscending=false&amp;viewid=ba243776%2Df837%2D4ace%2D8ee9%2D939a5753cc77&amp;FolderCTID=0x0120001BD1B7A29D5EA04EB7553F36EEAEE8D2" TargetMode="External"/><Relationship Id="rId70" Type="http://schemas.openxmlformats.org/officeDocument/2006/relationships/hyperlink" Target="https://artechnologie13.sharepoint.com/sites/Bureaud'tudeAR-TECHNOLOGIE/DOSSIER%20POI/Forms/AllItems.aspx?id=%2Fsites%2FBureaud%27tudeAR%2DTECHNOLOGIE%2FDOSSIER%20POI%2FQPR%20%2D%20CRO%2FLOR500883&amp;sortField=Modified&amp;isAscending=false&amp;viewid=ba243776%2Df837%2D4ace%2D8ee9%2D939a5753cc77&amp;csf=1&amp;web=1&amp;e=owQXVh&amp;CID=c5b168e7%2D67df%2D41af%2Db0d7%2D508a6306f4cd&amp;FolderCTID=0x0120001BD1B7A29D5EA04EB7553F36EEAEE8D2" TargetMode="External"/><Relationship Id="rId91" Type="http://schemas.openxmlformats.org/officeDocument/2006/relationships/hyperlink" Target="https://artechnologie13.sharepoint.com/sites/Bureaud'tudeAR-TECHNOLOGIE/DOSSIER%20POI/Forms/AllItems.aspx?id=%2Fsites%2FBureaud%27tudeAR-TECHNOLOGIE%2FDOSSIER%20POI%2FQPR%20-%20CRO%2FVAN500469&amp;sortField=Modified&amp;isAscending=false&amp;viewid=ba243776-f837-4ace-8ee9-939a5753cc77&amp;csf=1&amp;web=1&amp;e=owQXVh&amp;CID=c5b168e7-67df-41af-b0d7-508a6306f4cd&amp;FolderCTID=0x0120001BD1B7A29D5EA04EB7553F36EEAEE8D2" TargetMode="External"/><Relationship Id="rId145" Type="http://schemas.openxmlformats.org/officeDocument/2006/relationships/hyperlink" Target="https://artechnologie13.sharepoint.com/sites/Bureaud'tudeAR-TECHNOLOGIE/DOSSIER%20POI/Forms/AllItems.aspx?id=%2Fsites%2FBureaud%27tudeAR%2DTECHNOLOGIE%2FDOSSIER%20POI%2FQPR%20%2D%20CRO%2FCRO500279&amp;sortField=Modified&amp;isAscending=false&amp;viewid=ba243776%2Df837%2D4ace%2D8ee9%2D939a5753cc77" TargetMode="External"/><Relationship Id="rId166" Type="http://schemas.openxmlformats.org/officeDocument/2006/relationships/hyperlink" Target="https://artechnologie13.sharepoint.com/sites/Bureaud'tudeAR-TECHNOLOGIE/DOSSIER%20POI/Forms/AllItems.aspx?id=%2Fsites%2FBureaud%27tudeAR%2DTECHNOLOGIE%2FDOSSIER%20POI%2FQPR%20%2D%20CRO%2FLOR500385&amp;sortField=Modified&amp;isAscending=false&amp;viewid=ba243776%2Df837%2D4ace%2D8ee9%2D939a5753cc77&amp;csf=1&amp;web=1&amp;e=owQXVh&amp;CID=c5b168e7%2D67df%2D41af%2Db0d7%2D508a6306f4cd&amp;FolderCTID=0x0120001BD1B7A29D5EA04EB7553F36EEAEE8D2" TargetMode="External"/><Relationship Id="rId187" Type="http://schemas.openxmlformats.org/officeDocument/2006/relationships/hyperlink" Target="https://artechnologie13.sharepoint.com/sites/Bureaud'tudeAR-TECHNOLOGIE/DOSSIER%20POI/Forms/AllItems.aspx?id=%2Fsites%2FBureaud%27tudeAR%2DTECHNOLOGIE%2FDOSSIER%20POI%2FQPR%20%2D%20CRO%2FQPR600044&amp;sortField=Modified&amp;isAscending=false&amp;viewid=ba243776%2Df837%2D4ace%2D8ee9%2D939a5753cc77&amp;FolderCTID=0x0120001BD1B7A29D5EA04EB7553F36EEAEE8D2" TargetMode="External"/><Relationship Id="rId1" Type="http://schemas.openxmlformats.org/officeDocument/2006/relationships/hyperlink" Target="https://artechnologie13.sharepoint.com/sites/Bureaud'tudeAR-TECHNOLOGIE/DOSSIER%20POI/Forms/AllItems.aspx?id=%2Fsites%2FBureaud%27tudeAR%2DTECHNOLOGIE%2FDOSSIER%20POI%2FQPR%20%2D%20CRO%2FCRO500072&amp;sortField=Modified&amp;isAscending=false&amp;viewid=ba243776%2Df837%2D4ace%2D8ee9%2D939a5753cc77&amp;csf=1&amp;web=1&amp;e=rpmcna&amp;CID=89330d6f%2D3a99%2D424b%2D8f70%2Dcdd687054232&amp;FolderCTID=0x0120001BD1B7A29D5EA04EB7553F36EEAEE8D2" TargetMode="External"/><Relationship Id="rId212" Type="http://schemas.openxmlformats.org/officeDocument/2006/relationships/hyperlink" Target="https://artechnologie13.sharepoint.com/sites/Bureaud'tudeAR-TECHNOLOGIE/DOSSIER%20POI/Forms/AllItems.aspx?id=%2Fsites%2FBureaud%27tudeAR%2DTECHNOLOGIE%2FDOSSIER%20POI%2FQPR%20%2D%20CRO%2FRRE600378&amp;sortField=Modified&amp;isAscending=false&amp;viewid=ba243776%2Df837%2D4ace%2D8ee9%2D939a5753cc77&amp;csf=1&amp;CID=c5b168e7%2D67df%2D41af%2Db0d7%2D508a6306f4cd&amp;FolderCTID=0x0120001BD1B7A29D5EA04EB7553F36EEAEE8D2" TargetMode="External"/><Relationship Id="rId233" Type="http://schemas.openxmlformats.org/officeDocument/2006/relationships/hyperlink" Target="https://artechnologie13.sharepoint.com/sites/Bureaud%27tudeAR-TECHNOLOGIE/DOSSIER%20POI/Forms/AllItems.aspx?id=%2Fsites%2FBureaud%27tudeAR%2DTECHNOLOGIE%2FDOSSIER%20POI%2FQPR%20%2D%20CRO%2FLOR600190&amp;sortField=Modified&amp;isAscending=false&amp;viewid=ba243776%2Df837%2D4ace%2D8ee9%2D939a5753cc77&amp;csf=1&amp;CID=c5b168e7%2D67df%2D41af%2Db0d7%2D508a6306f4cd&amp;FolderCTID=0x0120001BD1B7A29D5EA04EB7553F36EEAEE8D2" TargetMode="External"/><Relationship Id="rId254" Type="http://schemas.openxmlformats.org/officeDocument/2006/relationships/hyperlink" Target="https://artechnologie13.sharepoint.com/sites/Bureaud%27tudeAR-TECHNOLOGIE/DOSSIER%20POI/Forms/AllItems.aspx?id=%2Fsites%2FBureaud%27tudeAR%2DTECHNOLOGIE%2FDOSSIER%20POI%2FQPR%20%2D%20CRO%2FLOR600188&amp;sortField=Modified&amp;isAscending=false&amp;viewid=ba243776%2Df837%2D4ace%2D8ee9%2D939a5753cc77&amp;csf=1&amp;CID=c5b168e7%2D67df%2D41af%2Db0d7%2D508a6306f4cd&amp;FolderCTID=0x0120001BD1B7A29D5EA04EB7553F36EEAEE8D2" TargetMode="External"/><Relationship Id="rId28" Type="http://schemas.openxmlformats.org/officeDocument/2006/relationships/hyperlink" Target="https://artechnologie13.sharepoint.com/sites/Bureaud'tudeAR-TECHNOLOGIE/DOSSIER%20POI/Forms/AllItems.aspx?id=%2Fsites%2FBureaud%27tudeAR%2DTECHNOLOGIE%2FDOSSIER%20POI%2FQPR%20%2D%20CRO%2FQPR500784&amp;sortField=Modified&amp;isAscending=false&amp;viewid=ba243776%2Df837%2D4ace%2D8ee9%2D939a5753cc77&amp;csf=1&amp;web=1&amp;e=owQXVh&amp;CID=c5b168e7%2D67df%2D41af%2Db0d7%2D508a6306f4cd&amp;FolderCTID=0x0120001BD1B7A29D5EA04EB7553F36EEAEE8D2" TargetMode="External"/><Relationship Id="rId49" Type="http://schemas.openxmlformats.org/officeDocument/2006/relationships/hyperlink" Target="https://artechnologie13.sharepoint.com/sites/Bureaud'tudeAR-TECHNOLOGIE/DOSSIER%20POI/Forms/AllItems.aspx?id=%2Fsites%2FBureaud%27tudeAR%2DTECHNOLOGIE%2FDOSSIER%20POI%2FQPR%20%2D%20CRO%2FQPR500841&amp;sortField=Modified&amp;isAscending=false&amp;viewid=ba243776%2Df837%2D4ace%2D8ee9%2D939a5753cc77&amp;csf=1&amp;web=1&amp;e=owQXVh&amp;CID=c5b168e7%2D67df%2D41af%2Db0d7%2D508a6306f4cd&amp;FolderCTID=0x0120001BD1B7A29D5EA04EB7553F36EEAEE8D2&amp;view=7" TargetMode="External"/><Relationship Id="rId114" Type="http://schemas.openxmlformats.org/officeDocument/2006/relationships/hyperlink" Target="https://artechnologie13.sharepoint.com/sites/Bureaud'tudeAR-TECHNOLOGIE/DOSSIER%20POI/Forms/AllItems.aspx?id=%2Fsites%2FBureaud%27tudeAR%2DTECHNOLOGIE%2FDOSSIER%20POI%2FQPR%20%2D%20CRO%2FCRO500258&amp;sortField=Modified&amp;isAscending=false&amp;viewid=ba243776%2Df837%2D4ace%2D8ee9%2D939a5753cc77&amp;FolderCTID=0x0120001BD1B7A29D5EA04EB7553F36EEAEE8D2" TargetMode="External"/><Relationship Id="rId275" Type="http://schemas.openxmlformats.org/officeDocument/2006/relationships/comments" Target="../comments2.xml"/><Relationship Id="rId60" Type="http://schemas.openxmlformats.org/officeDocument/2006/relationships/hyperlink" Target="https://artechnologie13.sharepoint.com/sites/Bureaud'tudeAR-TECHNOLOGIE/DOSSIER%20POI/Forms/AllItems.aspx?id=%2Fsites%2FBureaud%27tudeAR%2DTECHNOLOGIE%2FDOSSIER%20POI%2FQPR%20%2D%20CRO%2FVAN500993&amp;sortField=Modified&amp;isAscending=false&amp;viewid=ba243776%2Df837%2D4ace%2D8ee9%2D939a5753cc77&amp;csf=1&amp;web=1&amp;e=mNdpe5&amp;CID=7455e509%2D1753%2D4e80%2D85aa%2Db3d5ef9489ac&amp;FolderCTID=0x0120001BD1B7A29D5EA04EB7553F36EEAEE8D2" TargetMode="External"/><Relationship Id="rId81" Type="http://schemas.openxmlformats.org/officeDocument/2006/relationships/hyperlink" Target="https://artechnologie13.sharepoint.com/:f:/r/sites/Bureaud%27tudeAR-TECHNOLOGIE/DOSSIER%20POI/QPR%20-%20CRO/QPR500887?csf=1&amp;web=1&amp;e=g2ghtp" TargetMode="External"/><Relationship Id="rId135" Type="http://schemas.openxmlformats.org/officeDocument/2006/relationships/hyperlink" Target="https://artechnologie13.sharepoint.com/sites/Bureaud'tudeAR-TECHNOLOGIE/DOSSIER%20POI/Forms/AllItems.aspx?id=%2Fsites%2FBureaud%27tudeAR%2DTECHNOLOGIE%2FDOSSIER%20POI%2FQPR%20%2D%20CRO%2FLOR501477&amp;sortField=Modified&amp;isAscending=false&amp;viewid=ba243776%2Df837%2D4ace%2D8ee9%2D939a5753cc77" TargetMode="External"/><Relationship Id="rId156" Type="http://schemas.openxmlformats.org/officeDocument/2006/relationships/hyperlink" Target="https://artechnologie13.sharepoint.com/sites/Bureaud%27tudeAR-TECHNOLOGIE/DOSSIER%20POI/Forms/AllItems.aspx?id=%2Fsites%2FBureaud%27tudeAR%2DTECHNOLOGIE%2FDOSSIER%20POI%2FQPR%20%2D%20CRO%2FRRE502654&amp;sortField=Modified&amp;isAscending=false&amp;viewid=ba243776%2Df837%2D4ace%2D8ee9%2D939a5753cc77&amp;FolderCTID=0x0120001BD1B7A29D5EA04EB7553F36EEAEE8D2" TargetMode="External"/><Relationship Id="rId177" Type="http://schemas.openxmlformats.org/officeDocument/2006/relationships/hyperlink" Target="https://artechnologie13.sharepoint.com/sites/Bureaud%27tudeAR-TECHNOLOGIE/DOSSIER%20POI/Forms/AllItems.aspx?id=%2Fsites%2FBureaud%27tudeAR%2DTECHNOLOGIE%2FDOSSIER%20POI%2FQPR%20%2D%20CRO%2FLOR401756&amp;sortField=Modified&amp;isAscending=false&amp;viewid=ba243776%2Df837%2D4ace%2D8ee9%2D939a5753cc77&amp;FolderCTID=0x0120001BD1B7A29D5EA04EB7553F36EEAEE8D2" TargetMode="External"/><Relationship Id="rId198" Type="http://schemas.openxmlformats.org/officeDocument/2006/relationships/hyperlink" Target="https://artechnologie13.sharepoint.com/sites/Bureaud%27tudeAR-TECHNOLOGIE/DOSSIER%20POI/Forms/AllItems.aspx?id=%2Fsites%2FBureaud%27tudeAR%2DTECHNOLOGIE%2FDOSSIER%20POI%2FQPR%20%2D%20CRO%2FVAN600095&amp;sortField=Modified&amp;isAscending=false&amp;viewid=ba243776%2Df837%2D4ace%2D8ee9%2D939a5753cc77&amp;FolderCTID=0x0120001BD1B7A29D5EA04EB7553F36EEAEE8D2" TargetMode="External"/><Relationship Id="rId202" Type="http://schemas.openxmlformats.org/officeDocument/2006/relationships/hyperlink" Target="https://artechnologie13.sharepoint.com/sites/Bureaud%27tudeAR-TECHNOLOGIE/DOSSIER%20POI/Forms/AllItems.aspx?id=%2Fsites%2FBureaud%27tudeAR%2DTECHNOLOGIE%2FDOSSIER%20POI%2FQPR%20%2D%20CRO%2FQPR600186&amp;sortField=Modified&amp;isAscending=false&amp;viewid=ba243776%2Df837%2D4ace%2D8ee9%2D939a5753cc77&amp;FolderCTID=0x0120001BD1B7A29D5EA04EB7553F36EEAEE8D2" TargetMode="External"/><Relationship Id="rId223" Type="http://schemas.openxmlformats.org/officeDocument/2006/relationships/hyperlink" Target="https://artechnologie13.sharepoint.com/sites/Bureaud%27tudeAR-TECHNOLOGIE/DOSSIER%20POI/Forms/AllItems.aspx?id=%2Fsites%2FBureaud%27tudeAR%2DTECHNOLOGIE%2FDOSSIER%20POI%2FQPR%20%2D%20CRO%2FLOR600173&amp;sortField=Modified&amp;isAscending=false&amp;viewid=ba243776%2Df837%2D4ace%2D8ee9%2D939a5753cc77&amp;csf=1&amp;CID=c5b168e7%2D67df%2D41af%2Db0d7%2D508a6306f4cd&amp;FolderCTID=0x0120001BD1B7A29D5EA04EB7553F36EEAEE8D2" TargetMode="External"/><Relationship Id="rId244" Type="http://schemas.openxmlformats.org/officeDocument/2006/relationships/hyperlink" Target="https://artechnologie13.sharepoint.com/sites/Bureaud%27tudeAR-TECHNOLOGIE/DOSSIER%20POI/Forms/AllItems.aspx?id=%2Fsites%2FBureaud%27tudeAR%2DTECHNOLOGIE%2FDOSSIER%20POI%2FQPR%20%2D%20CRO%2FVAN502687&amp;sortField=Modified&amp;isAscending=false&amp;viewid=ba243776%2Df837%2D4ace%2D8ee9%2D939a5753cc77&amp;csf=1&amp;CID=c5b168e7%2D67df%2D41af%2Db0d7%2D508a6306f4cd&amp;FolderCTID=0x0120001BD1B7A29D5EA04EB7553F36EEAEE8D2" TargetMode="External"/><Relationship Id="rId18" Type="http://schemas.openxmlformats.org/officeDocument/2006/relationships/hyperlink" Target="https://artechnologie13.sharepoint.com/sites/Bureaud'tudeAR-TECHNOLOGIE/DOSSIER%20POI/Forms/AllItems.aspx?id=%2Fsites%2FBureaud%27tudeAR%2DTECHNOLOGIE%2FDOSSIER%20POI%2FQPR%20%2D%20CRO%2FRRE500820&amp;sortField=Modified&amp;isAscending=false&amp;viewid=ba243776%2Df837%2D4ace%2D8ee9%2D939a5753cc77&amp;view=7&amp;csf=1&amp;web=1&amp;e=owQXVh&amp;CID=c5b168e7%2D67df%2D41af%2Db0d7%2D508a6306f4cd&amp;FolderCTID=0x0120001BD1B7A29D5EA04EB7553F36EEAEE8D2" TargetMode="External"/><Relationship Id="rId39" Type="http://schemas.openxmlformats.org/officeDocument/2006/relationships/hyperlink" Target="https://artechnologie13.sharepoint.com/sites/Bureaud'tudeAR-TECHNOLOGIE/DOSSIER%20POI/Forms/AllItems.aspx?id=%2Fsites%2FBureaud%27tudeAR%2DTECHNOLOGIE%2FDOSSIER%20POI%2FQPR%20%2D%20CRO%2FRRE500282&amp;sortField=Modified&amp;isAscending=false&amp;viewid=ba243776%2Df837%2D4ace%2D8ee9%2D939a5753cc77&amp;csf=1&amp;web=1&amp;e=owQXVh&amp;CID=c5b168e7%2D67df%2D41af%2Db0d7%2D508a6306f4cd&amp;FolderCTID=0x0120001BD1B7A29D5EA04EB7553F36EEAEE8D2" TargetMode="External"/><Relationship Id="rId265" Type="http://schemas.openxmlformats.org/officeDocument/2006/relationships/hyperlink" Target="https://artechnologie13.sharepoint.com/sites/Bureaud%27tudeAR-TECHNOLOGIE/DOSSIER%20POI/Forms/AllItems.aspx?id=%2Fsites%2FBureaud%27tudeAR%2DTECHNOLOGIE%2FDOSSIER%20POI%2FQPR%20%2D%20CRO%2FVAN600393&amp;sortField=Modified&amp;isAscending=false&amp;viewid=ba243776%2Df837%2D4ace%2D8ee9%2D939a5753cc77&amp;csf=1&amp;CID=c5b168e7%2D67df%2D41af%2Db0d7%2D508a6306f4cd&amp;FolderCTID=0x0120001BD1B7A29D5EA04EB7553F36EEAEE8D2" TargetMode="External"/><Relationship Id="rId50" Type="http://schemas.openxmlformats.org/officeDocument/2006/relationships/hyperlink" Target="https://artechnologie13.sharepoint.com/sites/Bureaud%27tudeAR-TECHNOLOGIE/DOSSIER%20POI/Forms/AllItems.aspx?id=%2Fsites%2FBureaud%27tudeAR%2DTECHNOLOGIE%2FDOSSIER%20POI%2FQPR%20%2D%20CRO%2FRRE302595&amp;sortField=Modified&amp;isAscending=false&amp;viewid=ba243776%2Df837%2D4ace%2D8ee9%2D939a5753cc77&amp;csf=1&amp;web=1&amp;e=6bmZ5C&amp;CID=658eb343%2Df747%2D4fc5%2Daf25%2D1b5bada361aa&amp;FolderCTID=0x0120001BD1B7A29D5EA04EB7553F36EEAEE8D2&amp;view=7" TargetMode="External"/><Relationship Id="rId104" Type="http://schemas.openxmlformats.org/officeDocument/2006/relationships/hyperlink" Target="https://artechnologie13.sharepoint.com/sites/Bureaud'tudeAR-TECHNOLOGIE/DOSSIER%20POI/Forms/AllItems.aspx?id=%2Fsites%2FBureaud%27tudeAR%2DTECHNOLOGIE%2FDOSSIER%20POI%2FQPR%20%2D%20CRO%2FCRO500249&amp;sortField=Modified&amp;isAscending=false&amp;viewid=ba243776%2Df837%2D4ace%2D8ee9%2D939a5753cc77" TargetMode="External"/><Relationship Id="rId125" Type="http://schemas.openxmlformats.org/officeDocument/2006/relationships/hyperlink" Target="https://artechnologie13.sharepoint.com/sites/Bureaud'tudeAR-TECHNOLOGIE/DOSSIER%20POI/Forms/AllItems.aspx?id=%2Fsites%2FBureaud%27tudeAR%2DTECHNOLOGIE%2FDOSSIER%20POI%2FQPR%20%2D%20CRO%2FLOR501433&amp;sortField=Modified&amp;isAscending=false&amp;viewid=ba243776%2Df837%2D4ace%2D8ee9%2D939a5753cc77&amp;FolderCTID=0x0120001BD1B7A29D5EA04EB7553F36EEAEE8D2" TargetMode="External"/><Relationship Id="rId146" Type="http://schemas.openxmlformats.org/officeDocument/2006/relationships/hyperlink" Target="https://artechnologie13.sharepoint.com/sites/Bureaud'tudeAR-TECHNOLOGIE/DOSSIER%20POI/Forms/AllItems.aspx?id=%2Fsites%2FBureaud%27tudeAR%2DTECHNOLOGIE%2FDOSSIER%20POI%2FQPR%20%2D%20CRO%2FQPR501023&amp;sortField=Modified&amp;isAscending=false&amp;viewid=ba243776%2Df837%2D4ace%2D8ee9%2D939a5753cc77&amp;csf=1&amp;web=1&amp;e=owQXVh&amp;CID=c5b168e7%2D67df%2D41af%2Db0d7%2D508a6306f4cd&amp;FolderCTID=0x0120001BD1B7A29D5EA04EB7553F36EEAEE8D2" TargetMode="External"/><Relationship Id="rId167" Type="http://schemas.openxmlformats.org/officeDocument/2006/relationships/hyperlink" Target="https://artechnologie13.sharepoint.com/sites/Bureaud%27tudeAR-TECHNOLOGIE/DOSSIER%20POI/Forms/AllItems.aspx?id=%2Fsites%2FBureaud%27tudeAR%2DTECHNOLOGIE%2FDOSSIER%20POI%2FQPR%20%2D%20CRO%2FQPR500631&amp;sortField=Modified&amp;isAscending=false&amp;viewid=ba243776%2Df837%2D4ace%2D8ee9%2D939a5753cc77&amp;csf=1&amp;web=1&amp;e=6bmZ5C&amp;CID=658eb343%2Df747%2D4fc5%2Daf25%2D1b5bada361aa&amp;FolderCTID=0x0120001BD1B7A29D5EA04EB7553F36EEAEE8D2&amp;view=7" TargetMode="External"/><Relationship Id="rId188" Type="http://schemas.openxmlformats.org/officeDocument/2006/relationships/hyperlink" Target="https://artechnologie13.sharepoint.com/sites/Bureaud'tudeAR-TECHNOLOGIE/DOSSIER%20POI/Forms/AllItems.aspx?id=%2Fsites%2FBureaud%27tudeAR%2DTECHNOLOGIE%2FDOSSIER%20POI%2FQPR%20%2D%20CRO%2FLOR600119&amp;sortField=Modified&amp;isAscending=false&amp;viewid=ba243776%2Df837%2D4ace%2D8ee9%2D939a5753cc77&amp;FolderCTID=0x0120001BD1B7A29D5EA04EB7553F36EEAEE8D2" TargetMode="External"/><Relationship Id="rId71" Type="http://schemas.openxmlformats.org/officeDocument/2006/relationships/hyperlink" Target="https://artechnologie13.sharepoint.com/sites/Bureaud'tudeAR-TECHNOLOGIE/DOSSIER%20POI/Forms/AllItems.aspx?id=%2Fsites%2FBureaud%27tudeAR%2DTECHNOLOGIE%2FDOSSIER%20POI%2FQPR%20%2D%20CRO%2FLOR400936&amp;sortField=Modified&amp;isAscending=false&amp;viewid=ba243776%2Df837%2D4ace%2D8ee9%2D939a5753cc77&amp;csf=1&amp;web=1&amp;e=owQXVh&amp;CID=c5b168e7%2D67df%2D41af%2Db0d7%2D508a6306f4cd&amp;FolderCTID=0x0120001BD1B7A29D5EA04EB7553F36EEAEE8D2" TargetMode="External"/><Relationship Id="rId92" Type="http://schemas.openxmlformats.org/officeDocument/2006/relationships/hyperlink" Target="https://artechnologie13.sharepoint.com/:f:/r/sites/Bureaud%27tudeAR-TECHNOLOGIE/DOSSIER%20POI/QPR%20-%20CRO/QPR501572?csf=1&amp;web=1&amp;e=RmkQnh" TargetMode="External"/><Relationship Id="rId213" Type="http://schemas.openxmlformats.org/officeDocument/2006/relationships/hyperlink" Target="https://artechnologie13.sharepoint.com/sites/Bureaud'tudeAR-TECHNOLOGIE/DOSSIER%20POI/Forms/AllItems.aspx?id=%2Fsites%2FBureaud%27tudeAR%2DTECHNOLOGIE%2FDOSSIER%20POI%2FQPR%20%2D%20CRO%2FVAN600306&amp;sortField=Modified&amp;isAscending=false&amp;viewid=ba243776%2Df837%2D4ace%2D8ee9%2D939a5753cc77&amp;csf=1&amp;CID=c5b168e7%2D67df%2D41af%2Db0d7%2D508a6306f4cd&amp;FolderCTID=0x0120001BD1B7A29D5EA04EB7553F36EEAEE8D2" TargetMode="External"/><Relationship Id="rId234" Type="http://schemas.openxmlformats.org/officeDocument/2006/relationships/hyperlink" Target="https://artechnologie13.sharepoint.com/sites/Bureaud%27tudeAR-TECHNOLOGIE/DOSSIER%20POI/Forms/AllItems.aspx?id=%2Fsites%2FBureaud%27tudeAR%2DTECHNOLOGIE%2FDOSSIER%20POI%2FQPR%20%2D%20CRO%2FQPR600271&amp;sortField=Modified&amp;isAscending=false&amp;viewid=ba243776%2Df837%2D4ace%2D8ee9%2D939a5753cc77&amp;csf=1&amp;CID=c5b168e7%2D67df%2D41af%2Db0d7%2D508a6306f4cd&amp;FolderCTID=0x0120001BD1B7A29D5EA04EB7553F36EEAEE8D2" TargetMode="External"/><Relationship Id="rId2" Type="http://schemas.openxmlformats.org/officeDocument/2006/relationships/hyperlink" Target="https://artechnologie13.sharepoint.com/sites/Bureaud'tudeAR-TECHNOLOGIE/DOSSIER%20POI/Forms/AllItems.aspx?id=%2Fsites%2FBureaud%27tudeAR%2DTECHNOLOGIE%2FDOSSIER%20POI%2FQPR%20%2D%20CRO%2FQPR401299&amp;sortField=Modified&amp;isAscending=false&amp;viewid=ba243776%2Df837%2D4ace%2D8ee9%2D939a5753cc77&amp;csf=1&amp;web=1&amp;e=rpmcna&amp;CID=89330d6f%2D3a99%2D424b%2D8f70%2Dcdd687054232&amp;FolderCTID=0x0120001BD1B7A29D5EA04EB7553F36EEAEE8D2" TargetMode="External"/><Relationship Id="rId29" Type="http://schemas.openxmlformats.org/officeDocument/2006/relationships/hyperlink" Target="https://artechnologie13.sharepoint.com/sites/Bureaud'tudeAR-TECHNOLOGIE/DOSSIER%20POI/Forms/AllItems.aspx?id=%2Fsites%2FBureaud%27tudeAR%2DTECHNOLOGIE%2FDOSSIER%20POI%2FQPR%20%2D%20CRO%2FLOR201914&amp;sortField=Modified&amp;isAscending=false&amp;viewid=ba243776%2Df837%2D4ace%2D8ee9%2D939a5753cc77&amp;csf=1&amp;web=1&amp;e=owQXVh&amp;CID=c5b168e7%2D67df%2D41af%2Db0d7%2D508a6306f4cd&amp;FolderCTID=0x0120001BD1B7A29D5EA04EB7553F36EEAEE8D2" TargetMode="External"/><Relationship Id="rId255" Type="http://schemas.openxmlformats.org/officeDocument/2006/relationships/hyperlink" Target="https://artechnologie13.sharepoint.com/sites/Bureaud%27tudeAR-TECHNOLOGIE/DOSSIER%20POI/Forms/AllItems.aspx?id=%2Fsites%2FBureaud%27tudeAR%2DTECHNOLOGIE%2FDOSSIER%20POI%2FQPR%20%2D%20CRO%2FQPR600276&amp;sortField=Modified&amp;isAscending=false&amp;viewid=ba243776%2Df837%2D4ace%2D8ee9%2D939a5753cc77&amp;csf=1&amp;CID=c5b168e7%2D67df%2D41af%2Db0d7%2D508a6306f4cd&amp;FolderCTID=0x0120001BD1B7A29D5EA04EB7553F36EEAEE8D2" TargetMode="External"/><Relationship Id="rId276" Type="http://schemas.microsoft.com/office/2017/10/relationships/threadedComment" Target="../threadedComments/threadedComment2.xml"/><Relationship Id="rId40" Type="http://schemas.openxmlformats.org/officeDocument/2006/relationships/hyperlink" Target="https://artechnologie13.sharepoint.com/sites/Bureaud%27tudeAR-TECHNOLOGIE/DOSSIER%20POI/Forms/AllItems.aspx?id=%2Fsites%2FBureaud%27tudeAR%2DTECHNOLOGIE%2FDOSSIER%20POI%2FQPR%20%2D%20CRO%2FRRE400997&amp;sortField=Modified&amp;isAscending=false&amp;viewid=ba243776%2Df837%2D4ace%2D8ee9%2D939a5753cc77&amp;csf=1&amp;web=1&amp;e=6bmZ5C&amp;CID=658eb343%2Df747%2D4fc5%2Daf25%2D1b5bada361aa&amp;FolderCTID=0x0120001BD1B7A29D5EA04EB7553F36EEAEE8D2&amp;view=7" TargetMode="External"/><Relationship Id="rId115" Type="http://schemas.openxmlformats.org/officeDocument/2006/relationships/hyperlink" Target="https://artechnologie13.sharepoint.com/sites/Bureaud'tudeAR-TECHNOLOGIE/DOSSIER%20POI/Forms/AllItems.aspx?id=%2Fsites%2FBureaud%27tudeAR%2DTECHNOLOGIE%2FDOSSIER%20POI%2FQPR%20%2D%20CRO%2FCRO500259&amp;sortField=Modified&amp;isAscending=false&amp;viewid=ba243776%2Df837%2D4ace%2D8ee9%2D939a5753cc77&amp;FolderCTID=0x0120001BD1B7A29D5EA04EB7553F36EEAEE8D2" TargetMode="External"/><Relationship Id="rId136" Type="http://schemas.openxmlformats.org/officeDocument/2006/relationships/hyperlink" Target="https://artechnologie13.sharepoint.com/sites/Bureaud'tudeAR-TECHNOLOGIE/DOSSIER%20POI/Forms/AllItems.aspx?id=%2Fsites%2FBureaud%27tudeAR%2DTECHNOLOGIE%2FDOSSIER%20POI%2FQPR%20%2D%20CRO%2FLOR501482&amp;sortField=Modified&amp;isAscending=false&amp;viewid=ba243776%2Df837%2D4ace%2D8ee9%2D939a5753cc77" TargetMode="External"/><Relationship Id="rId157" Type="http://schemas.openxmlformats.org/officeDocument/2006/relationships/hyperlink" Target="https://artechnologie13.sharepoint.com/sites/Bureaud%27tudeAR-TECHNOLOGIE/DOSSIER%20POI/Forms/AllItems.aspx?id=%2Fsites%2FBureaud%27tudeAR%2DTECHNOLOGIE%2FDOSSIER%20POI%2FQPR%20%2D%20CRO%2FQPR502125&amp;sortField=Modified&amp;isAscending=false&amp;viewid=ba243776%2Df837%2D4ace%2D8ee9%2D939a5753cc77&amp;FolderCTID=0x0120001BD1B7A29D5EA04EB7553F36EEAEE8D2" TargetMode="External"/><Relationship Id="rId178" Type="http://schemas.openxmlformats.org/officeDocument/2006/relationships/hyperlink" Target="https://artechnologie13.sharepoint.com/sites/Bureaud%27tudeAR-TECHNOLOGIE/DOSSIER%20POI/Forms/AllItems.aspx?id=%2Fsites%2FBureaud%27tudeAR%2DTECHNOLOGIE%2FDOSSIER%20POI%2FQPR%20%2D%20CRO%2FQPR600095&amp;sortField=Modified&amp;isAscending=false&amp;viewid=ba243776%2Df837%2D4ace%2D8ee9%2D939a5753cc77&amp;FolderCTID=0x0120001BD1B7A29D5EA04EB7553F36EEAEE8D2" TargetMode="External"/><Relationship Id="rId61" Type="http://schemas.openxmlformats.org/officeDocument/2006/relationships/hyperlink" Target="https://artechnologie13.sharepoint.com/sites/Bureaud'tudeAR-TECHNOLOGIE/DOSSIER%20POI/Forms/AllItems.aspx?id=%2Fsites%2FBureaud%27tudeAR%2DTECHNOLOGIE%2FDOSSIER%20POI%2FQPR%20%2D%20CRO%2FRRE500708&amp;sortField=Modified&amp;isAscending=false&amp;viewid=ba243776%2Df837%2D4ace%2D8ee9%2D939a5753cc77&amp;csf=1&amp;web=1&amp;e=mNdpe5&amp;CID=7455e509%2D1753%2D4e80%2D85aa%2Db3d5ef9489ac&amp;FolderCTID=0x0120001BD1B7A29D5EA04EB7553F36EEAEE8D2" TargetMode="External"/><Relationship Id="rId82" Type="http://schemas.openxmlformats.org/officeDocument/2006/relationships/hyperlink" Target="https://artechnologie13.sharepoint.com/:f:/r/sites/Bureaud%27tudeAR-TECHNOLOGIE/DOSSIER%20POI/QPR%20-%20CRO/LOR201931?csf=1&amp;web=1&amp;e=byaswK" TargetMode="External"/><Relationship Id="rId199" Type="http://schemas.openxmlformats.org/officeDocument/2006/relationships/hyperlink" Target="https://artechnologie13.sharepoint.com/sites/Bureaud'tudeAR-TECHNOLOGIE/DOSSIER%20POI/Forms/AllItems.aspx?id=%2Fsites%2FBureaud%27tudeAR%2DTECHNOLOGIE%2FDOSSIER%20POI%2FQPR%20%2D%20CRO%2FVAN600238&amp;sortField=Modified&amp;isAscending=false&amp;viewid=ba243776%2Df837%2D4ace%2D8ee9%2D939a5753cc77&amp;FolderCTID=0x0120001BD1B7A29D5EA04EB7553F36EEAEE8D2" TargetMode="External"/><Relationship Id="rId203" Type="http://schemas.openxmlformats.org/officeDocument/2006/relationships/hyperlink" Target="https://artechnologie13.sharepoint.com/sites/Bureaud%27tudeAR-TECHNOLOGIE/DOSSIER%20POI/Forms/AllItems.aspx?id=%2Fsites%2FBureaud%27tudeAR%2DTECHNOLOGIE%2FDOSSIER%20POI%2FQPR%20%2D%20CRO%2FQPR600187&amp;sortField=Modified&amp;isAscending=false&amp;viewid=ba243776%2Df837%2D4ace%2D8ee9%2D939a5753cc77&amp;FolderCTID=0x0120001BD1B7A29D5EA04EB7553F36EEAEE8D2" TargetMode="External"/><Relationship Id="rId19" Type="http://schemas.openxmlformats.org/officeDocument/2006/relationships/hyperlink" Target="https://artechnologie13.sharepoint.com/sites/Bureaud'tudeAR-TECHNOLOGIE/DOSSIER%20POI/Forms/AllItems.aspx?id=%2Fsites%2FBureaud%27tudeAR%2DTECHNOLOGIE%2FDOSSIER%20POI%2FQPR%20%2D%20CRO%2FVAN004277&amp;sortField=Modified&amp;isAscending=false&amp;viewid=ba243776%2Df837%2D4ace%2D8ee9%2D939a5753cc77&amp;csf=1&amp;web=1&amp;e=owQXVh&amp;CID=c5b168e7%2D67df%2D41af%2Db0d7%2D508a6306f4cd&amp;FolderCTID=0x0120001BD1B7A29D5EA04EB7553F36EEAEE8D2" TargetMode="External"/><Relationship Id="rId224" Type="http://schemas.openxmlformats.org/officeDocument/2006/relationships/hyperlink" Target="https://artechnologie13.sharepoint.com/sites/Bureaud%27tudeAR-TECHNOLOGIE/DOSSIER%20POI/Forms/AllItems.aspx?id=%2Fsites%2FBureaud%27tudeAR%2DTECHNOLOGIE%2FDOSSIER%20POI%2FQPR%20%2D%20CRO%2FLOR600174&amp;sortField=Modified&amp;isAscending=false&amp;viewid=ba243776%2Df837%2D4ace%2D8ee9%2D939a5753cc77&amp;csf=1&amp;CID=c5b168e7%2D67df%2D41af%2Db0d7%2D508a6306f4cd&amp;FolderCTID=0x0120001BD1B7A29D5EA04EB7553F36EEAEE8D2" TargetMode="External"/><Relationship Id="rId245" Type="http://schemas.openxmlformats.org/officeDocument/2006/relationships/hyperlink" Target="https://artechnologie13.sharepoint.com/sites/Bureaud%27tudeAR-TECHNOLOGIE/DOSSIER%20POI/Forms/AllItems.aspx?id=%2Fsites%2FBureaud%27tudeAR%2DTECHNOLOGIE%2FDOSSIER%20POI%2FQPR%20%2D%20CRO%2FVAN502650&amp;sortField=Modified&amp;isAscending=false&amp;viewid=ba243776%2Df837%2D4ace%2D8ee9%2D939a5753cc77&amp;csf=1&amp;CID=c5b168e7%2D67df%2D41af%2Db0d7%2D508a6306f4cd&amp;FolderCTID=0x0120001BD1B7A29D5EA04EB7553F36EEAEE8D2" TargetMode="External"/><Relationship Id="rId266" Type="http://schemas.openxmlformats.org/officeDocument/2006/relationships/hyperlink" Target="https://artechnologie13.sharepoint.com/sites/Bureaud%27tudeAR-TECHNOLOGIE/DOSSIER%20POI/Forms/AllItems.aspx?id=%2Fsites%2FBureaud%27tudeAR%2DTECHNOLOGIE%2FDOSSIER%20POI%2FQPR%20%2D%20CRO%2FVAN600443&amp;sortField=Modified&amp;isAscending=false&amp;viewid=ba243776%2Df837%2D4ace%2D8ee9%2D939a5753cc77&amp;csf=1&amp;CID=c5b168e7%2D67df%2D41af%2Db0d7%2D508a6306f4cd&amp;FolderCTID=0x0120001BD1B7A29D5EA04EB7553F36EEAEE8D2" TargetMode="External"/><Relationship Id="rId30" Type="http://schemas.openxmlformats.org/officeDocument/2006/relationships/hyperlink" Target="https://artechnologie13.sharepoint.com/sites/Bureaud'tudeAR-TECHNOLOGIE/DOSSIER%20POI/Forms/AllItems.aspx?id=%2Fsites%2FBureaud%27tudeAR%2DTECHNOLOGIE%2FDOSSIER%20POI%2FQPR%20%2D%20CRO%2FLOR500657&amp;sortField=Modified&amp;isAscending=false&amp;viewid=ba243776%2Df837%2D4ace%2D8ee9%2D939a5753cc77&amp;csf=1&amp;web=1&amp;e=owQXVh&amp;CID=c5b168e7%2D67df%2D41af%2Db0d7%2D508a6306f4cd&amp;FolderCTID=0x0120001BD1B7A29D5EA04EB7553F36EEAEE8D2" TargetMode="External"/><Relationship Id="rId105" Type="http://schemas.openxmlformats.org/officeDocument/2006/relationships/hyperlink" Target="https://artechnologie13.sharepoint.com/sites/Bureaud'tudeAR-TECHNOLOGIE/DOSSIER%20POI/Forms/AllItems.aspx?id=%2Fsites%2FBureaud%27tudeAR%2DTECHNOLOGIE%2FDOSSIER%20POI%2FQPR%20%2D%20CRO%2FLOR501346&amp;sortField=Modified&amp;isAscending=false&amp;viewid=ba243776%2Df837%2D4ace%2D8ee9%2D939a5753cc77" TargetMode="External"/><Relationship Id="rId126" Type="http://schemas.openxmlformats.org/officeDocument/2006/relationships/hyperlink" Target="https://artechnologie13.sharepoint.com/sites/Bureaud'tudeAR-TECHNOLOGIE/DOSSIER%20POI/Forms/AllItems.aspx?id=%2Fsites%2FBureaud%27tudeAR%2DTECHNOLOGIE%2FDOSSIER%20POI%2FQPR%20%2D%20CRO%2FQPR501960&amp;sortField=Modified&amp;isAscending=false&amp;viewid=ba243776%2Df837%2D4ace%2D8ee9%2D939a5753cc77&amp;FolderCTID=0x0120001BD1B7A29D5EA04EB7553F36EEAEE8D2" TargetMode="External"/><Relationship Id="rId147" Type="http://schemas.openxmlformats.org/officeDocument/2006/relationships/hyperlink" Target="https://artechnologie13.sharepoint.com/sites/Bureaud'tudeAR-TECHNOLOGIE/DOSSIER%20POI/Forms/AllItems.aspx?id=%2Fsites%2FBureaud%27tudeAR%2DTECHNOLOGIE%2FDOSSIER%20POI%2FQPR%20%2D%20CRO%2FLOR501534&amp;sortField=Modified&amp;isAscending=false&amp;viewid=ba243776%2Df837%2D4ace%2D8ee9%2D939a5753cc77&amp;csf=1&amp;web=1&amp;e=owQXVh&amp;CID=c5b168e7%2D67df%2D41af%2Db0d7%2D508a6306f4cd&amp;FolderCTID=0x0120001BD1B7A29D5EA04EB7553F36EEAEE8D2&amp;view=7" TargetMode="External"/><Relationship Id="rId168" Type="http://schemas.openxmlformats.org/officeDocument/2006/relationships/hyperlink" Target="https://artechnologie13.sharepoint.com/sites/Bureaud'tudeAR-TECHNOLOGIE/DOSSIER%20POI/Forms/AllItems.aspx?id=%2Fsites%2FBureaud%27tudeAR%2DTECHNOLOGIE%2FDOSSIER%20POI%2FQPR%20%2D%20CRO%2FQPR600035&amp;sortField=Modified&amp;isAscending=false&amp;viewid=ba243776%2Df837%2D4ace%2D8ee9%2D939a5753cc77&amp;FolderCTID=0x0120001BD1B7A29D5EA04EB7553F36EEAEE8D2" TargetMode="External"/><Relationship Id="rId51" Type="http://schemas.openxmlformats.org/officeDocument/2006/relationships/hyperlink" Target="https://artechnologie13.sharepoint.com/sites/Bureaud'tudeAR-TECHNOLOGIE/DOSSIER%20POI/Forms/AllItems.aspx?id=%2Fsites%2FBureaud%27tudeAR%2DTECHNOLOGIE%2FDOSSIER%20POI%2FQPR%20%2D%20CRO%2FLOR500508&amp;sortField=Modified&amp;isAscending=false&amp;viewid=ba243776%2Df837%2D4ace%2D8ee9%2D939a5753cc77&amp;csf=1&amp;web=1&amp;e=rpmcna&amp;CID=89330d6f%2D3a99%2D424b%2D8f70%2Dcdd687054232&amp;FolderCTID=0x0120001BD1B7A29D5EA04EB7553F36EEAEE8D2" TargetMode="External"/><Relationship Id="rId72" Type="http://schemas.openxmlformats.org/officeDocument/2006/relationships/hyperlink" Target="https://artechnologie13.sharepoint.com/sites/Bureaud'tudeAR-TECHNOLOGIE/DOSSIER%20POI/Forms/AllItems.aspx?id=%2Fsites%2FBureaud%27tudeAR%2DTECHNOLOGIE%2FDOSSIER%20POI%2FQPR%20%2D%20CRO%2FQPR501326&amp;sortField=Modified&amp;isAscending=false&amp;viewid=ba243776%2Df837%2D4ace%2D8ee9%2D939a5753cc77&amp;csf=1&amp;web=1&amp;e=owQXVh&amp;CID=c5b168e7%2D67df%2D41af%2Db0d7%2D508a6306f4cd&amp;FolderCTID=0x0120001BD1B7A29D5EA04EB7553F36EEAEE8D2" TargetMode="External"/><Relationship Id="rId93" Type="http://schemas.openxmlformats.org/officeDocument/2006/relationships/hyperlink" Target="https://artechnologie13.sharepoint.com/:f:/r/sites/Bureaud%27tudeAR-TECHNOLOGIE/DOSSIER%20POI/QPR%20-%20CRO/LOR400947?csf=1&amp;web=1&amp;e=nbT2Vs" TargetMode="External"/><Relationship Id="rId189" Type="http://schemas.openxmlformats.org/officeDocument/2006/relationships/hyperlink" Target="https://artechnologie13.sharepoint.com/sites/Bureaud'tudeAR-TECHNOLOGIE/DOSSIER%20POI/Forms/AllItems.aspx?id=%2Fsites%2FBureaud%27tudeAR%2DTECHNOLOGIE%2FDOSSIER%20POI%2FQPR%20%2D%20CRO%2FVAN600226&amp;sortField=Modified&amp;isAscending=false&amp;viewid=ba243776%2Df837%2D4ace%2D8ee9%2D939a5753cc77&amp;FolderCTID=0x0120001BD1B7A29D5EA04EB7553F36EEAEE8D2" TargetMode="External"/><Relationship Id="rId3" Type="http://schemas.openxmlformats.org/officeDocument/2006/relationships/hyperlink" Target="https://artechnologie13.sharepoint.com/sites/Bureaud'tudeAR-TECHNOLOGIE/DOSSIER%20POI/Forms/AllItems.aspx?id=%2Fsites%2FBureaud%27tudeAR%2DTECHNOLOGIE%2FDOSSIER%20POI%2FQPR%20%2D%20CRO%2FQPR401355&amp;sortField=Modified&amp;isAscending=false&amp;viewid=ba243776%2Df837%2D4ace%2D8ee9%2D939a5753cc77&amp;csf=1&amp;web=1&amp;e=rpmcna&amp;CID=89330d6f%2D3a99%2D424b%2D8f70%2Dcdd687054232&amp;FolderCTID=0x0120001BD1B7A29D5EA04EB7553F36EEAEE8D2" TargetMode="External"/><Relationship Id="rId214" Type="http://schemas.openxmlformats.org/officeDocument/2006/relationships/hyperlink" Target="https://artechnologie13.sharepoint.com/sites/Bureaud'tudeAR-TECHNOLOGIE/DOSSIER%20POI/Forms/AllItems.aspx?id=%2Fsites%2FBureaud%27tudeAR%2DTECHNOLOGIE%2FDOSSIER%20POI%2FQPR%20%2D%20CRO%2FRRE600327&amp;sortField=Modified&amp;isAscending=false&amp;viewid=ba243776%2Df837%2D4ace%2D8ee9%2D939a5753cc77&amp;csf=1&amp;CID=c5b168e7%2D67df%2D41af%2Db0d7%2D508a6306f4cd&amp;FolderCTID=0x0120001BD1B7A29D5EA04EB7553F36EEAEE8D2" TargetMode="External"/><Relationship Id="rId235" Type="http://schemas.openxmlformats.org/officeDocument/2006/relationships/hyperlink" Target="https://artechnologie13.sharepoint.com/sites/Bureaud%27tudeAR-TECHNOLOGIE/DOSSIER%20POI/Forms/AllItems.aspx?id=%2Fsites%2FBureaud%27tudeAR%2DTECHNOLOGIE%2FDOSSIER%20POI%2FQPR%20%2D%20CRO%2FRRE600409&amp;sortField=Modified&amp;isAscending=false&amp;viewid=ba243776%2Df837%2D4ace%2D8ee9%2D939a5753cc77&amp;csf=1&amp;CID=c5b168e7%2D67df%2D41af%2Db0d7%2D508a6306f4cd&amp;FolderCTID=0x0120001BD1B7A29D5EA04EB7553F36EEAEE8D2" TargetMode="External"/><Relationship Id="rId256" Type="http://schemas.openxmlformats.org/officeDocument/2006/relationships/hyperlink" Target="https://artechnologie13.sharepoint.com/sites/Bureaud%27tudeAR-TECHNOLOGIE/DOSSIER%20POI/Forms/AllItems.aspx?id=%2Fsites%2FBureaud%27tudeAR%2DTECHNOLOGIE%2FDOSSIER%20POI%2FQPR%20%2D%20CRO%2FQPR600277&amp;sortField=Modified&amp;isAscending=false&amp;viewid=ba243776%2Df837%2D4ace%2D8ee9%2D939a5753cc77&amp;csf=1&amp;CID=c5b168e7%2D67df%2D41af%2Db0d7%2D508a6306f4cd&amp;FolderCTID=0x0120001BD1B7A29D5EA04EB7553F36EEAEE8D2" TargetMode="External"/><Relationship Id="rId277" Type="http://schemas.microsoft.com/office/2019/04/relationships/namedSheetView" Target="../namedSheetViews/namedSheetView2.xml"/><Relationship Id="rId116" Type="http://schemas.openxmlformats.org/officeDocument/2006/relationships/hyperlink" Target="https://artechnologie13.sharepoint.com/sites/Bureaud'tudeAR-TECHNOLOGIE/DOSSIER%20POI/Forms/AllItems.aspx?id=%2Fsites%2FBureaud%27tudeAR%2DTECHNOLOGIE%2FDOSSIER%20POI%2FQPR%20%2D%20CRO%2FLOR501442&amp;sortField=Modified&amp;isAscending=false&amp;viewid=ba243776%2Df837%2D4ace%2D8ee9%2D939a5753cc77&amp;FolderCTID=0x0120001BD1B7A29D5EA04EB7553F36EEAEE8D2" TargetMode="External"/><Relationship Id="rId137" Type="http://schemas.openxmlformats.org/officeDocument/2006/relationships/hyperlink" Target="https://artechnologie13.sharepoint.com/sites/Bureaud'tudeAR-TECHNOLOGIE/DOSSIER%20POI/Forms/AllItems.aspx?id=%2Fsites%2FBureaud%27tudeAR%2DTECHNOLOGIE%2FDOSSIER%20POI%2FQPR%20%2D%20CRO%2FQPR502001&amp;sortField=Modified&amp;isAscending=false&amp;viewid=ba243776%2Df837%2D4ace%2D8ee9%2D939a5753cc77" TargetMode="External"/><Relationship Id="rId158" Type="http://schemas.openxmlformats.org/officeDocument/2006/relationships/hyperlink" Target="https://artechnologie13.sharepoint.com/sites/Bureaud%27tudeAR-TECHNOLOGIE/DOSSIER%20POI/Forms/AllItems.aspx?id=%2Fsites%2FBureaud%27tudeAR%2DTECHNOLOGIE%2FDOSSIER%20POI%2FQPR%20%2D%20CRO%2FLOR501566&amp;sortField=Modified&amp;isAscending=false&amp;viewid=ba243776%2Df837%2D4ace%2D8ee9%2D939a5753cc77&amp;FolderCTID=0x0120001BD1B7A29D5EA04EB7553F36EEAEE8D2" TargetMode="External"/><Relationship Id="rId20" Type="http://schemas.openxmlformats.org/officeDocument/2006/relationships/hyperlink" Target="https://artechnologie13.sharepoint.com/sites/Bureaud'tudeAR-TECHNOLOGIE/DOSSIER%20POI/Forms/AllItems.aspx?id=%2Fsites%2FBureaud%27tudeAR%2DTECHNOLOGIE%2FDOSSIER%20POI%2FQPR%20%2D%20CRO%2FVAN500960&amp;sortField=Modified&amp;isAscending=false&amp;viewid=ba243776%2Df837%2D4ace%2D8ee9%2D939a5753cc77&amp;csf=1&amp;web=1&amp;e=owQXVh&amp;CID=c5b168e7%2D67df%2D41af%2Db0d7%2D508a6306f4cd&amp;FolderCTID=0x0120001BD1B7A29D5EA04EB7553F36EEAEE8D2" TargetMode="External"/><Relationship Id="rId41" Type="http://schemas.openxmlformats.org/officeDocument/2006/relationships/hyperlink" Target="https://artechnologie13.sharepoint.com/sites/Bureaud%27tudeAR-TECHNOLOGIE/DOSSIER%20POI/Forms/AllItems.aspx?id=%2Fsites%2FBureaud%27tudeAR%2DTECHNOLOGIE%2FDOSSIER%20POI%2FQPR%20%2D%20CRO%2FRRE302595&amp;sortField=Modified&amp;isAscending=false&amp;viewid=ba243776%2Df837%2D4ace%2D8ee9%2D939a5753cc77&amp;csf=1&amp;web=1&amp;e=6bmZ5C&amp;CID=658eb343%2Df747%2D4fc5%2Daf25%2D1b5bada361aa&amp;FolderCTID=0x0120001BD1B7A29D5EA04EB7553F36EEAEE8D2&amp;view=7" TargetMode="External"/><Relationship Id="rId62" Type="http://schemas.openxmlformats.org/officeDocument/2006/relationships/hyperlink" Target="https://artechnologie13.sharepoint.com/sites/Bureaud'tudeAR-TECHNOLOGIE/DOSSIER%20POI/Forms/AllItems.aspx?id=%2Fsites%2FBureaud%27tudeAR%2DTECHNOLOGIE%2FDOSSIER%20POI%2FQPR%20%2D%20CRO%2FBRS402663&amp;sortField=Modified&amp;isAscending=false&amp;viewid=ba243776%2Df837%2D4ace%2D8ee9%2D939a5753cc77&amp;csf=1&amp;web=1&amp;e=owQXVh&amp;CID=c5b168e7%2D67df%2D41af%2Db0d7%2D508a6306f4cd&amp;FolderCTID=0x0120001BD1B7A29D5EA04EB7553F36EEAEE8D2&amp;view=7" TargetMode="External"/><Relationship Id="rId83" Type="http://schemas.openxmlformats.org/officeDocument/2006/relationships/hyperlink" Target="https://artechnologie13.sharepoint.com/sites/Bureaud'tudeAR-TECHNOLOGIE/DOSSIER%20POI/Forms/AllItems.aspx?id=%2Fsites%2FBureaud%27tudeAR%2DTECHNOLOGIE%2FDOSSIER%20POI%2FQPR%20%2D%20CRO%2FQPR501355&amp;sortField=Modified&amp;isAscending=false&amp;viewid=ba243776%2Df837%2D4ace%2D8ee9%2D939a5753cc77&amp;csf=1&amp;web=1&amp;e=byaswK&amp;CID=9ea747ca%2Da4e7%2D4e9a%2D95a8%2D701580d43187&amp;FolderCTID=0x0120001BD1B7A29D5EA04EB7553F36EEAEE8D2" TargetMode="External"/><Relationship Id="rId179" Type="http://schemas.openxmlformats.org/officeDocument/2006/relationships/hyperlink" Target="https://artechnologie13.sharepoint.com/sites/Bureaud%27tudeAR-TECHNOLOGIE/DOSSIER%20POI/Forms/AllItems.aspx?id=%2Fsites%2FBureaud%27tudeAR%2DTECHNOLOGIE%2FDOSSIER%20POI%2FQPR%20%2D%20CRO%2FQPR600101&amp;sortField=Modified&amp;isAscending=false&amp;viewid=ba243776%2Df837%2D4ace%2D8ee9%2D939a5753cc77&amp;FolderCTID=0x0120001BD1B7A29D5EA04EB7553F36EEAEE8D2" TargetMode="External"/><Relationship Id="rId190" Type="http://schemas.openxmlformats.org/officeDocument/2006/relationships/hyperlink" Target="https://artechnologie13.sharepoint.com/sites/Bureaud'tudeAR-TECHNOLOGIE/DOSSIER%20POI/Forms/AllItems.aspx?id=%2Fsites%2FBureaud%27tudeAR%2DTECHNOLOGIE%2FDOSSIER%20POI%2FQPR%20%2D%20CRO%2FVAN600231&amp;sortField=Modified&amp;isAscending=false&amp;viewid=ba243776%2Df837%2D4ace%2D8ee9%2D939a5753cc77&amp;FolderCTID=0x0120001BD1B7A29D5EA04EB7553F36EEAEE8D2" TargetMode="External"/><Relationship Id="rId204" Type="http://schemas.openxmlformats.org/officeDocument/2006/relationships/hyperlink" Target="https://artechnologie13.sharepoint.com/sites/Bureaud%27tudeAR-TECHNOLOGIE/DOSSIER%20POI/Forms/AllItems.aspx?id=%2Fsites%2FBureaud%27tudeAR%2DTECHNOLOGIE%2FDOSSIER%20POI%2FQPR%20%2D%20CRO%2FQPR600199&amp;sortField=Modified&amp;isAscending=false&amp;viewid=ba243776%2Df837%2D4ace%2D8ee9%2D939a5753cc77&amp;FolderCTID=0x0120001BD1B7A29D5EA04EB7553F36EEAEE8D2" TargetMode="External"/><Relationship Id="rId225" Type="http://schemas.openxmlformats.org/officeDocument/2006/relationships/hyperlink" Target="https://artechnologie13.sharepoint.com/sites/Bureaud%27tudeAR-TECHNOLOGIE/DOSSIER%20POI/Forms/AllItems.aspx?id=%2Fsites%2FBureaud%27tudeAR%2DTECHNOLOGIE%2FDOSSIER%20POI%2FQPR%20%2D%20CRO%2FLOR600176&amp;sortField=Modified&amp;isAscending=false&amp;viewid=ba243776%2Df837%2D4ace%2D8ee9%2D939a5753cc77&amp;csf=1&amp;CID=c5b168e7%2D67df%2D41af%2Db0d7%2D508a6306f4cd&amp;FolderCTID=0x0120001BD1B7A29D5EA04EB7553F36EEAEE8D2" TargetMode="External"/><Relationship Id="rId246" Type="http://schemas.openxmlformats.org/officeDocument/2006/relationships/hyperlink" Target="https://artechnologie13.sharepoint.com/sites/Bureaud%27tudeAR-TECHNOLOGIE/DOSSIER%20POI/Forms/AllItems.aspx?id=%2Fsites%2FBureaud%27tudeAR%2DTECHNOLOGIE%2FDOSSIER%20POI%2FQPR%20%2D%20CRO%2FVAN502442&amp;sortField=Modified&amp;isAscending=false&amp;viewid=ba243776%2Df837%2D4ace%2D8ee9%2D939a5753cc77&amp;csf=1&amp;CID=c5b168e7%2D67df%2D41af%2Db0d7%2D508a6306f4cd&amp;FolderCTID=0x0120001BD1B7A29D5EA04EB7553F36EEAEE8D2" TargetMode="External"/><Relationship Id="rId267" Type="http://schemas.openxmlformats.org/officeDocument/2006/relationships/hyperlink" Target="https://artechnologie13.sharepoint.com/sites/Bureaud%27tudeAR-TECHNOLOGIE/DOSSIER%20POI/Forms/AllItems.aspx?id=%2Fsites%2FBureaud%27tudeAR%2DTECHNOLOGIE%2FDOSSIER%20POI%2FQPR%20%2D%20CRO%2FLOR600211&amp;sortField=Modified&amp;isAscending=false&amp;viewid=ba243776%2Df837%2D4ace%2D8ee9%2D939a5753cc77&amp;csf=1&amp;CID=c5b168e7%2D67df%2D41af%2Db0d7%2D508a6306f4cd&amp;FolderCTID=0x0120001BD1B7A29D5EA04EB7553F36EEAEE8D2" TargetMode="External"/><Relationship Id="rId106" Type="http://schemas.openxmlformats.org/officeDocument/2006/relationships/hyperlink" Target="https://artechnologie13.sharepoint.com/sites/Bureaud'tudeAR-TECHNOLOGIE/DOSSIER%20POI/Forms/AllItems.aspx?id=%2Fsites%2FBureaud%27tudeAR%2DTECHNOLOGIE%2FDOSSIER%20POI%2FQPR%20%2D%20CRO%2FLOR501352&amp;sortField=Modified&amp;isAscending=false&amp;viewid=ba243776%2Df837%2D4ace%2D8ee9%2D939a5753cc77" TargetMode="External"/><Relationship Id="rId127" Type="http://schemas.openxmlformats.org/officeDocument/2006/relationships/hyperlink" Target="https://artechnologie13.sharepoint.com/sites/Bureaud'tudeAR-TECHNOLOGIE/DOSSIER%20POI/Forms/AllItems.aspx?id=%2Fsites%2FBureaud%27tudeAR%2DTECHNOLOGIE%2FDOSSIER%20POI%2FQPR%20%2D%20CRO%2FQPR501964&amp;sortField=Modified&amp;isAscending=false&amp;viewid=ba243776%2Df837%2D4ace%2D8ee9%2D939a5753cc77&amp;FolderCTID=0x0120001BD1B7A29D5EA04EB7553F36EEAEE8D2" TargetMode="External"/><Relationship Id="rId10" Type="http://schemas.openxmlformats.org/officeDocument/2006/relationships/hyperlink" Target="https://artechnologie13.sharepoint.com/sites/Bureaud'tudeAR-TECHNOLOGIE/DOSSIER%20POI/Forms/AllItems.aspx?id=%2Fsites%2FBureaud%27tudeAR%2DTECHNOLOGIE%2FDOSSIER%20POI%2FQPR%20%2D%20CRO%2FQPR500752&amp;sortField=Modified&amp;isAscending=false&amp;viewid=ba243776%2Df837%2D4ace%2D8ee9%2D939a5753cc77&amp;csf=1&amp;web=1&amp;e=rpmcna&amp;CID=89330d6f%2D3a99%2D424b%2D8f70%2Dcdd687054232&amp;FolderCTID=0x0120001BD1B7A29D5EA04EB7553F36EEAEE8D2" TargetMode="External"/><Relationship Id="rId31" Type="http://schemas.openxmlformats.org/officeDocument/2006/relationships/hyperlink" Target="https://artechnologie13.sharepoint.com/sites/Bureaud'tudeAR-TECHNOLOGIE/DOSSIER%20POI/Forms/AllItems.aspx?id=%2Fsites%2FBureaud%27tudeAR%2DTECHNOLOGIE%2FDOSSIER%20POI%2FQPR%20%2D%20CRO%2FQPR501038&amp;sortField=Modified&amp;isAscending=false&amp;viewid=ba243776%2Df837%2D4ace%2D8ee9%2D939a5753cc77&amp;csf=1&amp;web=1&amp;e=owQXVh&amp;CID=c5b168e7%2D67df%2D41af%2Db0d7%2D508a6306f4cd&amp;FolderCTID=0x0120001BD1B7A29D5EA04EB7553F36EEAEE8D2" TargetMode="External"/><Relationship Id="rId52" Type="http://schemas.openxmlformats.org/officeDocument/2006/relationships/hyperlink" Target="https://artechnologie13.sharepoint.com/:f:/r/sites/Bureaud%27tudeAR-TECHNOLOGIE/DOSSIER%20POI/QPR%20-%20CRO/RRE501172?csf=1&amp;web=1&amp;e=6IlhH1" TargetMode="External"/><Relationship Id="rId73" Type="http://schemas.openxmlformats.org/officeDocument/2006/relationships/hyperlink" Target="https://artechnologie13.sharepoint.com/sites/Bureaud'tudeAR-TECHNOLOGIE/DOSSIER%20POI/Forms/AllItems.aspx?id=%2Fsites%2FBureaud%27tudeAR%2DTECHNOLOGIE%2FDOSSIER%20POI%2FQPR%20%2D%20CRO%2FLOR501040%2FRetour%20VT&amp;sortField=Modified&amp;isAscending=false&amp;viewid=ba243776%2Df837%2D4ace%2D8ee9%2D939a5753cc77&amp;csf=1&amp;web=1&amp;e=owQXVh&amp;CID=c5b168e7%2D67df%2D41af%2Db0d7%2D508a6306f4cd&amp;FolderCTID=0x0120001BD1B7A29D5EA04EB7553F36EEAEE8D2" TargetMode="External"/><Relationship Id="rId94" Type="http://schemas.openxmlformats.org/officeDocument/2006/relationships/hyperlink" Target="https://artechnologie13.sharepoint.com/sites/Bureaud'tudeAR-TECHNOLOGIE/DOSSIER%20POI/Forms/AllItems.aspx?id=%2Fsites%2FBureaud%27tudeAR%2DTECHNOLOGIE%2FDOSSIER%20POI%2FQPR%20%2D%20CRO%2FQPR501423&amp;sortField=Modified&amp;isAscending=false&amp;viewid=ba243776%2Df837%2D4ace%2D8ee9%2D939a5753cc77&amp;csf=1&amp;web=1&amp;e=byaswK&amp;CID=9ea747ca%2Da4e7%2D4e9a%2D95a8%2D701580d43187&amp;FolderCTID=0x0120001BD1B7A29D5EA04EB7553F36EEAEE8D2" TargetMode="External"/><Relationship Id="rId148" Type="http://schemas.openxmlformats.org/officeDocument/2006/relationships/hyperlink" Target="https://artechnologie13.sharepoint.com/sites/Bureaud'tudeAR-TECHNOLOGIE/DOSSIER%20POI/Forms/AllItems.aspx?id=%2Fsites%2FBureaud%27tudeAR%2DTECHNOLOGIE%2FDOSSIER%20POI%2FQPR%20%2D%20CRO%2FRRE400062&amp;sortField=Modified&amp;isAscending=false&amp;viewid=ba243776%2Df837%2D4ace%2D8ee9%2D939a5753cc77&amp;csf=1&amp;web=1&amp;e=owQXVh&amp;CID=c5b168e7%2D67df%2D41af%2Db0d7%2D508a6306f4cd&amp;FolderCTID=0x0120001BD1B7A29D5EA04EB7553F36EEAEE8D2" TargetMode="External"/><Relationship Id="rId169" Type="http://schemas.openxmlformats.org/officeDocument/2006/relationships/hyperlink" Target="https://artechnologie13.sharepoint.com/sites/Bureaud'tudeAR-TECHNOLOGIE/DOSSIER%20POI/Forms/AllItems.aspx?id=%2Fsites%2FBureaud%27tudeAR%2DTECHNOLOGIE%2FDOSSIER%20POI%2FQPR%20%2D%20CRO%2FQPR600046&amp;sortField=Modified&amp;isAscending=false&amp;viewid=ba243776%2Df837%2D4ace%2D8ee9%2D939a5753cc77&amp;FolderCTID=0x0120001BD1B7A29D5EA04EB7553F36EEAEE8D2" TargetMode="External"/><Relationship Id="rId4" Type="http://schemas.openxmlformats.org/officeDocument/2006/relationships/hyperlink" Target="https://artechnologie13.sharepoint.com/sites/Bureaud'tudeAR-TECHNOLOGIE/DOSSIER%20POI/Forms/AllItems.aspx?id=%2Fsites%2FBureaud%27tudeAR%2DTECHNOLOGIE%2FDOSSIER%20POI%2FQPR%20%2D%20CRO%2FQPR402118&amp;sortField=Modified&amp;isAscending=false&amp;viewid=ba243776%2Df837%2D4ace%2D8ee9%2D939a5753cc77&amp;csf=1&amp;web=1&amp;e=rpmcna&amp;CID=89330d6f%2D3a99%2D424b%2D8f70%2Dcdd687054232&amp;FolderCTID=0x0120001BD1B7A29D5EA04EB7553F36EEAEE8D2" TargetMode="External"/><Relationship Id="rId180" Type="http://schemas.openxmlformats.org/officeDocument/2006/relationships/hyperlink" Target="https://artechnologie13.sharepoint.com/sites/Bureaud%27tudeAR-TECHNOLOGIE/DOSSIER%20POI/Forms/AllItems.aspx?id=%2Fsites%2FBureaud%27tudeAR%2DTECHNOLOGIE%2FDOSSIER%20POI%2FQPR%20%2D%20CRO%2FQPR600080&amp;sortField=Modified&amp;isAscending=false&amp;viewid=ba243776%2Df837%2D4ace%2D8ee9%2D939a5753cc77&amp;FolderCTID=0x0120001BD1B7A29D5EA04EB7553F36EEAEE8D2" TargetMode="External"/><Relationship Id="rId215" Type="http://schemas.openxmlformats.org/officeDocument/2006/relationships/hyperlink" Target="https://artechnologie13.sharepoint.com/sites/Bureaud'tudeAR-TECHNOLOGIE/DOSSIER%20POI/Forms/AllItems.aspx?id=%2Fsites%2FBureaud%27tudeAR%2DTECHNOLOGIE%2FDOSSIER%20POI%2FQPR%20%2D%20CRO%2FVAN600311&amp;sortField=Modified&amp;isAscending=false&amp;viewid=ba243776%2Df837%2D4ace%2D8ee9%2D939a5753cc77&amp;csf=1&amp;CID=c5b168e7%2D67df%2D41af%2Db0d7%2D508a6306f4cd&amp;FolderCTID=0x0120001BD1B7A29D5EA04EB7553F36EEAEE8D2" TargetMode="External"/><Relationship Id="rId236" Type="http://schemas.openxmlformats.org/officeDocument/2006/relationships/hyperlink" Target="https://artechnologie13.sharepoint.com/sites/Bureaud%27tudeAR-TECHNOLOGIE/DOSSIER%20POI/Forms/AllItems.aspx?id=%2Fsites%2FBureaud%27tudeAR%2DTECHNOLOGIE%2FDOSSIER%20POI%2FQPR%20%2D%20CRO%2FVAN502671&amp;sortField=Modified&amp;isAscending=false&amp;viewid=ba243776%2Df837%2D4ace%2D8ee9%2D939a5753cc77&amp;csf=1&amp;CID=c5b168e7%2D67df%2D41af%2Db0d7%2D508a6306f4cd&amp;FolderCTID=0x0120001BD1B7A29D5EA04EB7553F36EEAEE8D2" TargetMode="External"/><Relationship Id="rId257" Type="http://schemas.openxmlformats.org/officeDocument/2006/relationships/hyperlink" Target="https://artechnologie13.sharepoint.com/sites/Bureaud%27tudeAR-TECHNOLOGIE/DOSSIER%20POI/Forms/AllItems.aspx?id=%2Fsites%2FBureaud%27tudeAR%2DTECHNOLOGIE%2FDOSSIER%20POI%2FQPR%20%2D%20CRO%2FVAN600380&amp;sortField=Modified&amp;isAscending=false&amp;viewid=ba243776%2Df837%2D4ace%2D8ee9%2D939a5753cc77&amp;csf=1&amp;CID=c5b168e7%2D67df%2D41af%2Db0d7%2D508a6306f4cd&amp;FolderCTID=0x0120001BD1B7A29D5EA04EB7553F36EEAEE8D2" TargetMode="External"/><Relationship Id="rId42" Type="http://schemas.openxmlformats.org/officeDocument/2006/relationships/hyperlink" Target="https://artechnologie13.sharepoint.com/sites/Bureaud%27tudeAR-TECHNOLOGIE/DOSSIER%20POI/Forms/AllItems.aspx?id=%2Fsites%2FBureaud%27tudeAR%2DTECHNOLOGIE%2FDOSSIER%20POI%2FQPR%20%2D%20CRO%2FLOR500133&amp;sortField=Modified&amp;isAscending=false&amp;viewid=ba243776%2Df837%2D4ace%2D8ee9%2D939a5753cc77&amp;csf=1&amp;web=1&amp;e=6bmZ5C&amp;CID=658eb343%2Df747%2D4fc5%2Daf25%2D1b5bada361aa&amp;FolderCTID=0x0120001BD1B7A29D5EA04EB7553F36EEAEE8D2&amp;view=7" TargetMode="External"/><Relationship Id="rId84" Type="http://schemas.openxmlformats.org/officeDocument/2006/relationships/hyperlink" Target="https://artechnologie13.sharepoint.com/sites/Bureaud'tudeAR-TECHNOLOGIE/DOSSIER%20POI/Forms/AllItems.aspx?id=%2Fsites%2FBureaud%27tudeAR%2DTECHNOLOGIE%2FDOSSIER%20POI%2FQPR%20%2D%20CRO%2FLOR500385&amp;sortField=Modified&amp;isAscending=false&amp;viewid=ba243776%2Df837%2D4ace%2D8ee9%2D939a5753cc77&amp;csf=1&amp;web=1&amp;e=owQXVh&amp;CID=c5b168e7%2D67df%2D41af%2Db0d7%2D508a6306f4cd&amp;FolderCTID=0x0120001BD1B7A29D5EA04EB7553F36EEAEE8D2" TargetMode="External"/><Relationship Id="rId138" Type="http://schemas.openxmlformats.org/officeDocument/2006/relationships/hyperlink" Target="https://artechnologie13.sharepoint.com/sites/Bureaud'tudeAR-TECHNOLOGIE/DOSSIER%20POI/Forms/AllItems.aspx?id=%2Fsites%2FBureaud%27tudeAR%2DTECHNOLOGIE%2FDOSSIER%20POI%2FQPR%20%2D%20CRO%2FQPR502002&amp;sortField=Modified&amp;isAscending=false&amp;viewid=ba243776%2Df837%2D4ace%2D8ee9%2D939a5753cc77" TargetMode="External"/><Relationship Id="rId191" Type="http://schemas.openxmlformats.org/officeDocument/2006/relationships/hyperlink" Target="https://artechnologie13.sharepoint.com/sites/Bureaud'tudeAR-TECHNOLOGIE/DOSSIER%20POI/Forms/AllItems.aspx?id=%2Fsites%2FBureaud%27tudeAR%2DTECHNOLOGIE%2FDOSSIER%20POI%2FQPR%20%2D%20CRO%2FVAN600235&amp;sortField=Modified&amp;isAscending=false&amp;viewid=ba243776%2Df837%2D4ace%2D8ee9%2D939a5753cc77&amp;FolderCTID=0x0120001BD1B7A29D5EA04EB7553F36EEAEE8D2" TargetMode="External"/><Relationship Id="rId205" Type="http://schemas.openxmlformats.org/officeDocument/2006/relationships/hyperlink" Target="https://artechnologie13.sharepoint.com/sites/Bureaud%27tudeAR-TECHNOLOGIE/DOSSIER%20POI/Forms/AllItems.aspx?id=%2Fsites%2FBureaud%27tudeAR%2DTECHNOLOGIE%2FDOSSIER%20POI%2FQPR%20%2D%20CRO%2FQPR600168&amp;sortField=Modified&amp;isAscending=false&amp;viewid=ba243776%2Df837%2D4ace%2D8ee9%2D939a5753cc77&amp;FolderCTID=0x0120001BD1B7A29D5EA04EB7553F36EEAEE8D2" TargetMode="External"/><Relationship Id="rId247" Type="http://schemas.openxmlformats.org/officeDocument/2006/relationships/hyperlink" Target="https://artechnologie13.sharepoint.com/sites/Bureaud%27tudeAR-TECHNOLOGIE/DOSSIER%20POI/Forms/AllItems.aspx?id=%2Fsites%2FBureaud%27tudeAR%2DTECHNOLOGIE%2FDOSSIER%20POI%2FQPR%20%2D%20CRO%2FVAN502293&amp;sortField=Modified&amp;isAscending=false&amp;viewid=ba243776%2Df837%2D4ace%2D8ee9%2D939a5753cc77&amp;csf=1&amp;CID=c5b168e7%2D67df%2D41af%2Db0d7%2D508a6306f4cd&amp;FolderCTID=0x0120001BD1B7A29D5EA04EB7553F36EEAEE8D2" TargetMode="External"/><Relationship Id="rId107" Type="http://schemas.openxmlformats.org/officeDocument/2006/relationships/hyperlink" Target="https://artechnologie13.sharepoint.com/sites/Bureaud'tudeAR-TECHNOLOGIE/DOSSIER%20POI/Forms/AllItems.aspx?id=%2Fsites%2FBureaud%27tudeAR%2DTECHNOLOGIE%2FDOSSIER%20POI%2FQPR%20%2D%20CRO%2FQPR501867&amp;sortField=Modified&amp;isAscending=false&amp;viewid=ba243776%2Df837%2D4ace%2D8ee9%2D939a5753cc77" TargetMode="External"/><Relationship Id="rId11" Type="http://schemas.openxmlformats.org/officeDocument/2006/relationships/hyperlink" Target="https://artechnologie13.sharepoint.com/sites/Bureaud'tudeAR-TECHNOLOGIE/DOSSIER%20POI/Forms/AllItems.aspx?id=%2Fsites%2FBureaud%27tudeAR%2DTECHNOLOGIE%2FDOSSIER%20POI%2FQPR%20%2D%20CRO%2FQPR500885&amp;sortField=Modified&amp;isAscending=false&amp;viewid=ba243776%2Df837%2D4ace%2D8ee9%2D939a5753cc77&amp;csf=1&amp;web=1&amp;e=rpmcna&amp;CID=89330d6f%2D3a99%2D424b%2D8f70%2Dcdd687054232&amp;FolderCTID=0x0120001BD1B7A29D5EA04EB7553F36EEAEE8D2" TargetMode="External"/><Relationship Id="rId53" Type="http://schemas.openxmlformats.org/officeDocument/2006/relationships/hyperlink" Target="https://artechnologie13.sharepoint.com/:f:/r/sites/Bureaud%27tudeAR-TECHNOLOGIE/DOSSIER%20POI/QPR%20-%20CRO/RRE501420?csf=1&amp;web=1&amp;e=plc7aD" TargetMode="External"/><Relationship Id="rId149" Type="http://schemas.openxmlformats.org/officeDocument/2006/relationships/hyperlink" Target="mailto:contact@mairie-gael.bzh" TargetMode="External"/><Relationship Id="rId95" Type="http://schemas.openxmlformats.org/officeDocument/2006/relationships/hyperlink" Target="https://artechnologie13.sharepoint.com/sites/Bureaud'tudeAR-TECHNOLOGIE/DOSSIER%20POI/Forms/AllItems.aspx?id=%2Fsites%2FBureaud%27tudeAR%2DTECHNOLOGIE%2FDOSSIER%20POI%2FQPR%20%2D%20CRO%2FQPR302097&amp;sortField=Modified&amp;isAscending=false&amp;viewid=ba243776%2Df837%2D4ace%2D8ee9%2D939a5753cc77&amp;csf=1&amp;web=1&amp;e=rpmcna&amp;CID=89330d6f%2D3a99%2D424b%2D8f70%2Dcdd687054232&amp;FolderCTID=0x0120001BD1B7A29D5EA04EB7553F36EEAEE8D2" TargetMode="External"/><Relationship Id="rId160" Type="http://schemas.openxmlformats.org/officeDocument/2006/relationships/hyperlink" Target="https://artechnologie13.sharepoint.com/sites/Bureaud'tudeAR-TECHNOLOGIE/DOSSIER%20POI/Forms/AllItems.aspx?id=%2Fsites%2FBureaud%27tudeAR%2DTECHNOLOGIE%2FDOSSIER%20POI%2FQPR%20%2D%20CRO%2FLOR501580&amp;sortField=Modified&amp;isAscending=false&amp;viewid=ba243776%2Df837%2D4ace%2D8ee9%2D939a5753cc77&amp;csf=1&amp;web=1&amp;e=owQXVh&amp;CID=c5b168e7%2D67df%2D41af%2Db0d7%2D508a6306f4cd&amp;FolderCTID=0x0120001BD1B7A29D5EA04EB7553F36EEAEE8D2&amp;view=7" TargetMode="External"/><Relationship Id="rId216" Type="http://schemas.openxmlformats.org/officeDocument/2006/relationships/hyperlink" Target="https://artechnologie13.sharepoint.com/sites/Bureaud'tudeAR-TECHNOLOGIE/DOSSIER%20POI/Forms/AllItems.aspx?id=%2Fsites%2FBureaud%27tudeAR%2DTECHNOLOGIE%2FDOSSIER%20POI%2FQPR%20%2D%20CRO%2FQPR600247&amp;sortField=Modified&amp;isAscending=false&amp;viewid=ba243776%2Df837%2D4ace%2D8ee9%2D939a5753cc77&amp;csf=1&amp;CID=c5b168e7%2D67df%2D41af%2Db0d7%2D508a6306f4cd&amp;FolderCTID=0x0120001BD1B7A29D5EA04EB7553F36EEAEE8D2"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rtechnologie13.sharepoint.com/:f:/r/sites/Bureaud%27tudeAR-TECHNOLOGIE/DOSSIER%20POI/PAU/PAU301083?csf=1&amp;web=1&amp;e=gJZYdX" TargetMode="External"/><Relationship Id="rId21" Type="http://schemas.openxmlformats.org/officeDocument/2006/relationships/hyperlink" Target="https://artechnologie13.sharepoint.com/:f:/s/Bureaud'tudeAR-TECHNOLOGIE/IgA_DRmpjH7hSrGRsVMgse1VAcnZQjAuqJMzBEqZZ29Q0pE?e=d179I3" TargetMode="External"/><Relationship Id="rId42" Type="http://schemas.openxmlformats.org/officeDocument/2006/relationships/hyperlink" Target="https://artechnologie13.sharepoint.com/sites/Bureaud'tudeAR-TECHNOLOGIE/DOSSIER%20POI/Forms/AllItems.aspx?id=%2Fsites%2FBureaud%27tudeAR%2DTECHNOLOGIE%2FDOSSIER%20POI%2FMDM%2DDAX%2FMDM500507&amp;sortField=Modified&amp;isAscending=false&amp;viewid=ba243776%2Df837%2D4ace%2D8ee9%2D939a5753cc77&amp;csf=1&amp;web=1&amp;e=h09knF&amp;CID=75ad443c%2Dc989%2D4804%2D94ec%2Dd4062d67258c&amp;FolderCTID=0x0120001BD1B7A29D5EA04EB7553F36EEAEE8D2" TargetMode="External"/><Relationship Id="rId47" Type="http://schemas.openxmlformats.org/officeDocument/2006/relationships/hyperlink" Target="https://artechnologie13.sharepoint.com/:f:/r/sites/Bureaud%27tudeAR-TECHNOLOGIE/DOSSIER%20POI/MDM-DAX/ARC500708?csf=1&amp;web=1&amp;e=XJSdGz" TargetMode="External"/><Relationship Id="rId63" Type="http://schemas.openxmlformats.org/officeDocument/2006/relationships/hyperlink" Target="https://artechnologie13.sharepoint.com/sites/Bureaud'tudeAR-TECHNOLOGIE/DOSSIER%20POI/Forms/AllItems.aspx?id=%2Fsites%2FBureaud%27tudeAR%2DTECHNOLOGIE%2FDOSSIER%20POI%2FMDM%2DDAX%2FARC500847&amp;sortField=Modified&amp;isAscending=false&amp;viewid=ba243776%2Df837%2D4ace%2D8ee9%2D939a5753cc77&amp;view=0" TargetMode="External"/><Relationship Id="rId68" Type="http://schemas.openxmlformats.org/officeDocument/2006/relationships/hyperlink" Target="https://artechnologie13.sharepoint.com/sites/Bureaud'tudeAR-TECHNOLOGIE/DOSSIER%20POI/Forms/AllItems.aspx?id=%2Fsites%2FBureaud%27tudeAR%2DTECHNOLOGIE%2FDOSSIER%20POI%2FMDM%2DDAX%2FARC500883&amp;sortField=Modified&amp;isAscending=false&amp;viewid=ba243776%2Df837%2D4ace%2D8ee9%2D939a5753cc77" TargetMode="External"/><Relationship Id="rId84" Type="http://schemas.openxmlformats.org/officeDocument/2006/relationships/hyperlink" Target="https://artechnologie13.sharepoint.com/sites/Bureaud%27tudeAR-TECHNOLOGIE/DOSSIER%20POI/Forms/AllItems.aspx?id=%2Fsites%2FBureaud%27tudeAR%2DTECHNOLOGIE%2FDOSSIER%20POI%2FMDM%2DDAX%2FARC600031&amp;sortField=Modified&amp;isAscending=false&amp;viewid=ba243776%2Df837%2D4ace%2D8ee9%2D939a5753cc77&amp;csf=1&amp;web=1&amp;e=owQXVh&amp;CID=c5b168e7%2D67df%2D41af%2Db0d7%2D508a6306f4cd&amp;FolderCTID=0x0120001BD1B7A29D5EA04EB7553F36EEAEE8D2" TargetMode="External"/><Relationship Id="rId89" Type="http://schemas.openxmlformats.org/officeDocument/2006/relationships/hyperlink" Target="https://artechnologie13.sharepoint.com/sites/Bureaud%27tudeAR-TECHNOLOGIE/DOSSIER%20POI/Forms/AllItems.aspx?id=%2Fsites%2FBureaud%27tudeAR%2DTECHNOLOGIE%2FDOSSIER%20POI%2FMDM%2DDAX%2FARC600038&amp;sortField=Modified&amp;isAscending=false&amp;viewid=ba243776%2Df837%2D4ace%2D8ee9%2D939a5753cc77&amp;csf=1&amp;CID=c5b168e7%2D67df%2D41af%2Db0d7%2D508a6306f4cd&amp;FolderCTID=0x0120001BD1B7A29D5EA04EB7553F36EEAEE8D2" TargetMode="External"/><Relationship Id="rId16" Type="http://schemas.openxmlformats.org/officeDocument/2006/relationships/hyperlink" Target="https://artechnologie13.sharepoint.com/sites/Bureaud'tudeAR-TECHNOLOGIE/DOSSIER%20POI/Forms/AllItems.aspx?id=%2Fsites%2FBureaud%27tudeAR%2DTECHNOLOGIE%2FDOSSIER%20POI%2FMDM%2FMDM500332&amp;sortField=Modified&amp;isAscending=false&amp;viewid=ba243776%2Df837%2D4ace%2D8ee9%2D939a5753cc77" TargetMode="External"/><Relationship Id="rId11" Type="http://schemas.openxmlformats.org/officeDocument/2006/relationships/hyperlink" Target="https://artechnologie13.sharepoint.com/sites/Bureaud'tudeAR-TECHNOLOGIE/DOSSIER%20POI/Forms/AllItems.aspx?csf=1&amp;web=1&amp;e=rpmcna&amp;CID=89330d6f%2D3a99%2D424b%2D8f70%2Dcdd687054232&amp;FolderCTID=0x0120001BD1B7A29D5EA04EB7553F36EEAEE8D2&amp;id=%2Fsites%2FBureaud%27tudeAR%2DTECHNOLOGIE%2FDOSSIER%20POI%2FMDM%2FMDM300296&amp;viewid=ba243776%2Df837%2D4ace%2D8ee9%2D939a5753cc77" TargetMode="External"/><Relationship Id="rId32" Type="http://schemas.openxmlformats.org/officeDocument/2006/relationships/hyperlink" Target="https://artechnologie13.sharepoint.com/sites/Bureaud'tudeAR-TECHNOLOGIE/DOSSIER%20POI/Forms/AllItems.aspx?id=%2Fsites%2FBureaud%27tudeAR%2DTECHNOLOGIE%2FDOSSIER%20POI%2FBAY%2FBAY400496&amp;viewid=ba243776%2Df837%2D4ace%2D8ee9%2D939a5753cc77" TargetMode="External"/><Relationship Id="rId37" Type="http://schemas.openxmlformats.org/officeDocument/2006/relationships/hyperlink" Target="https://artechnologie13.sharepoint.com/sites/Bureaud'tudeAR-TECHNOLOGIE/DOSSIER%20POI/Forms/AllItems.aspx?csf=1&amp;web=1&amp;e=rpmcna&amp;CID=89330d6f%2D3a99%2D424b%2D8f70%2Dcdd687054232&amp;FolderCTID=0x0120001BD1B7A29D5EA04EB7553F36EEAEE8D2&amp;id=%2Fsites%2FBureaud%27tudeAR%2DTECHNOLOGIE%2FDOSSIER%20POI%2FMDM%2DDAX%2FMDM301222&amp;viewid=ba243776%2Df837%2D4ace%2D8ee9%2D939a5753cc77" TargetMode="External"/><Relationship Id="rId53" Type="http://schemas.openxmlformats.org/officeDocument/2006/relationships/hyperlink" Target="https://artechnologie13.sharepoint.com/:f:/r/sites/Bureaud%27tudeAR-TECHNOLOGIE/DOSSIER%20POI/PAU/PAU301246?csf=1&amp;web=1&amp;e=fBa1ho" TargetMode="External"/><Relationship Id="rId58" Type="http://schemas.openxmlformats.org/officeDocument/2006/relationships/hyperlink" Target="https://artechnologie13.sharepoint.com/sites/Bureaud'tudeAR-TECHNOLOGIE/DOSSIER%20POI/Forms/AllItems.aspx?id=%2Fsites%2FBureaud%27tudeAR%2DTECHNOLOGIE%2FDOSSIER%20POI%2FMDM%2DDAX%2FARC500836&amp;sortField=Modified&amp;isAscending=false&amp;viewid=ba243776%2Df837%2D4ace%2D8ee9%2D939a5753cc77&amp;view=0" TargetMode="External"/><Relationship Id="rId74" Type="http://schemas.openxmlformats.org/officeDocument/2006/relationships/hyperlink" Target="https://artechnologie13.sharepoint.com/sites/Bureaud'tudeAR-TECHNOLOGIE/DOSSIER%20POI/Forms/AllItems.aspx?id=%2Fsites%2FBureaud%27tudeAR%2DTECHNOLOGIE%2FDOSSIER%20POI%2FMDM%2DDAX%2FARC500952&amp;sortField=Modified&amp;isAscending=false&amp;viewid=ba243776%2Df837%2D4ace%2D8ee9%2D939a5753cc77&amp;csf=1&amp;web=1&amp;e=iV2Yoj&amp;CID=4e31e7ae%2Dd866%2D4c9e%2Dbf24%2De0ab88c36e01&amp;FolderCTID=0x0120001BD1B7A29D5EA04EB7553F36EEAEE8D2" TargetMode="External"/><Relationship Id="rId79" Type="http://schemas.openxmlformats.org/officeDocument/2006/relationships/hyperlink" Target="https://artechnologie13.sharepoint.com/sites/Bureaud'tudeAR-TECHNOLOGIE/DOSSIER%20POI/Forms/AllItems.aspx?id=%2Fsites%2FBureaud%27tudeAR%2DTECHNOLOGIE%2FDOSSIER%20POI%2FMDM%2DDAX%2FARC600003&amp;sortField=Modified&amp;isAscending=false&amp;viewid=ba243776%2Df837%2D4ace%2D8ee9%2D939a5753cc77" TargetMode="External"/><Relationship Id="rId102" Type="http://schemas.microsoft.com/office/2017/10/relationships/threadedComment" Target="../threadedComments/threadedComment3.xml"/><Relationship Id="rId5" Type="http://schemas.openxmlformats.org/officeDocument/2006/relationships/hyperlink" Target="https://artechnologie13.sharepoint.com/:f:/r/sites/Bureaud%27tudeAR-TECHNOLOGIE/DOSSIER%20POI/MDM-DAX/MDM103892?csf=1&amp;web=1&amp;e=tQ2tPD" TargetMode="External"/><Relationship Id="rId90" Type="http://schemas.openxmlformats.org/officeDocument/2006/relationships/hyperlink" Target="https://artechnologie13.sharepoint.com/sites/Bureaud%27tudeAR-TECHNOLOGIE/DOSSIER%20POI/Forms/AllItems.aspx?id=%2Fsites%2FBureaud%27tudeAR%2DTECHNOLOGIE%2FDOSSIER%20POI%2FMDM%2DDAX%2FARC600011&amp;sortField=Modified&amp;isAscending=false&amp;viewid=ba243776%2Df837%2D4ace%2D8ee9%2D939a5753cc77&amp;csf=1&amp;web=1&amp;e=owQXVh&amp;CID=c5b168e7%2D67df%2D41af%2Db0d7%2D508a6306f4cd&amp;FolderCTID=0x0120001BD1B7A29D5EA04EB7553F36EEAEE8D2" TargetMode="External"/><Relationship Id="rId95" Type="http://schemas.openxmlformats.org/officeDocument/2006/relationships/hyperlink" Target="https://artechnologie13.sharepoint.com/sites/Bureaud%27tudeAR-TECHNOLOGIE/DOSSIER%20POI/Forms/AllItems.aspx?id=%2Fsites%2FBureaud%27tudeAR%2DTECHNOLOGIE%2FDOSSIER%20POI%2FMDM%2DDAX%2FARC600108&amp;sortField=Modified&amp;isAscending=false&amp;viewid=ba243776%2Df837%2D4ace%2D8ee9%2D939a5753cc77&amp;csf=1&amp;CID=c5b168e7%2D67df%2D41af%2Db0d7%2D508a6306f4cd&amp;FolderCTID=0x0120001BD1B7A29D5EA04EB7553F36EEAEE8D2" TargetMode="External"/><Relationship Id="rId22" Type="http://schemas.openxmlformats.org/officeDocument/2006/relationships/hyperlink" Target="https://artechnologie13.sharepoint.com/sites/Bureaud'tudeAR-TECHNOLOGIE/DOSSIER%20POI/Forms/AllItems.aspx?id=%2Fsites%2FBureaud%27tudeAR%2DTECHNOLOGIE%2FDOSSIER%20POI%2FMDM%2DDAX%2FMDM400978%2FRETOUR%20VT&amp;viewid=ba243776%2Df837%2D4ace%2D8ee9%2D939a5753cc77&amp;csf=1&amp;web=1&amp;e=Xj1OcD&amp;CID=d832e2f0%2Dc264%2D4bc5%2D991a%2Dee4849e54e34&amp;FolderCTID=0x0120001BD1B7A29D5EA04EB7553F36EEAEE8D2" TargetMode="External"/><Relationship Id="rId27" Type="http://schemas.openxmlformats.org/officeDocument/2006/relationships/hyperlink" Target="https://artechnologie13.sharepoint.com/:f:/r/sites/Bureaud%27tudeAR-TECHNOLOGIE/DOSSIER%20POI/PAU/PAU400058?csf=1&amp;web=1&amp;e=P92jcX" TargetMode="External"/><Relationship Id="rId43" Type="http://schemas.openxmlformats.org/officeDocument/2006/relationships/hyperlink" Target="https://artechnologie13.sharepoint.com/sites/Bureaud%27tudeAR-TECHNOLOGIE/DOSSIER%20POI/Forms/AllItems.aspx?id=%2Fsites%2FBureaud%27tudeAR%2DTECHNOLOGIE%2FDOSSIER%20POI%2FMDM%2DDAX%2FMDM500515&amp;sortField=Modified&amp;isAscending=false&amp;viewid=ba243776%2Df837%2D4ace%2D8ee9%2D939a5753cc77&amp;csf=1&amp;web=1&amp;e=h09knF&amp;CID=75ad443c%2Dc989%2D4804%2D94ec%2Dd4062d67258c&amp;FolderCTID=0x0120001BD1B7A29D5EA04EB7553F36EEAEE8D2" TargetMode="External"/><Relationship Id="rId48" Type="http://schemas.openxmlformats.org/officeDocument/2006/relationships/hyperlink" Target="https://artechnologie13.sharepoint.com/:f:/r/sites/Bureaud%27tudeAR-TECHNOLOGIE/DOSSIER%20POI/MDM-DAX/ARC500728?csf=1&amp;web=1&amp;e=98Hg4j" TargetMode="External"/><Relationship Id="rId64" Type="http://schemas.openxmlformats.org/officeDocument/2006/relationships/hyperlink" Target="https://artechnologie13.sharepoint.com/sites/Bureaud%27tudeAR-TECHNOLOGIE/DOSSIER%20POI/Forms/AllItems.aspx?id=%2Fsites%2FBureaud%27tudeAR%2DTECHNOLOGIE%2FDOSSIER%20POI%2FMDM%2DDAX%2FARC500862&amp;sortField=Modified&amp;isAscending=false&amp;viewid=ba243776%2Df837%2D4ace%2D8ee9%2D939a5753cc77&amp;view=0" TargetMode="External"/><Relationship Id="rId69" Type="http://schemas.openxmlformats.org/officeDocument/2006/relationships/hyperlink" Target="https://artechnologie13.sharepoint.com/sites/Bureaud'tudeAR-TECHNOLOGIE/DOSSIER%20POI/Forms/AllItems.aspx?id=%2Fsites%2FBureaud%27tudeAR%2DTECHNOLOGIE%2FDOSSIER%20POI%2FMDM%2DDAX%2FARC50091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80" Type="http://schemas.openxmlformats.org/officeDocument/2006/relationships/hyperlink" Target="https://artechnologie13.sharepoint.com/sites/Bureaud'tudeAR-TECHNOLOGIE/DOSSIER%20POI/Forms/AllItems.aspx?id=%2Fsites%2FBureaud%27tudeAR%2DTECHNOLOGIE%2FDOSSIER%20POI%2FMDM%2DDAX%2FARC500802&amp;sortField=Modified&amp;isAscending=false&amp;viewid=ba243776%2Df837%2D4ace%2D8ee9%2D939a5753cc77&amp;csf=1&amp;web=1&amp;e=fgp1D3&amp;CID=7b9af6b9%2Dd1f9%2D450a%2D9f50%2D87e0b6e99dda&amp;FolderCTID=0x0120001BD1B7A29D5EA04EB7553F36EEAEE8D2" TargetMode="External"/><Relationship Id="rId85" Type="http://schemas.openxmlformats.org/officeDocument/2006/relationships/hyperlink" Target="https://artechnologie13.sharepoint.com/sites/Bureaud%27tudeAR-TECHNOLOGIE/DOSSIER%20POI/Forms/AllItems.aspx?id=%2Fsites%2FBureaud%27tudeAR%2DTECHNOLOGIE%2FDOSSIER%20POI%2FMDM%2DDAX%2FARC600033&amp;sortField=Modified&amp;isAscending=false&amp;viewid=ba243776%2Df837%2D4ace%2D8ee9%2D939a5753cc77&amp;csf=1&amp;web=1&amp;e=owQXVh&amp;CID=c5b168e7%2D67df%2D41af%2Db0d7%2D508a6306f4cd&amp;FolderCTID=0x0120001BD1B7A29D5EA04EB7553F36EEAEE8D2" TargetMode="External"/><Relationship Id="rId12" Type="http://schemas.openxmlformats.org/officeDocument/2006/relationships/hyperlink" Target="https://artechnologie13.sharepoint.com/sites/Bureaud'tudeAR-TECHNOLOGIE/DOSSIER%20POI/Forms/AllItems.aspx?id=%2Fsites%2FBureaud%27tudeAR%2DTECHNOLOGIE%2FDOSSIER%20POI%2FMDM%2DDAX%2FMDM300753&amp;viewid=ba243776%2Df837%2D4ace%2D8ee9%2D939a5753cc77&amp;csf=1&amp;web=1&amp;e=rpmcna&amp;CID=89330d6f%2D3a99%2D424b%2D8f70%2Dcdd687054232&amp;FolderCTID=0x0120001BD1B7A29D5EA04EB7553F36EEAEE8D2&amp;view=7" TargetMode="External"/><Relationship Id="rId17" Type="http://schemas.openxmlformats.org/officeDocument/2006/relationships/hyperlink" Target="https://artechnologie13.sharepoint.com/sites/Bureaud'tudeAR-TECHNOLOGIE/DOSSIER%20POI/Forms/AllItems.aspx?id=%2Fsites%2FBureaud%27tudeAR%2DTECHNOLOGIE%2FDOSSIER%20POI%2FMDM%2DDAX%2FMDM301155&amp;viewid=ba243776%2Df837%2D4ace%2D8ee9%2D939a5753cc77&amp;csf=1&amp;web=1&amp;e=rpmcna&amp;CID=89330d6f%2D3a99%2D424b%2D8f70%2Dcdd687054232&amp;FolderCTID=0x0120001BD1B7A29D5EA04EB7553F36EEAEE8D2" TargetMode="External"/><Relationship Id="rId25" Type="http://schemas.openxmlformats.org/officeDocument/2006/relationships/hyperlink" Target="https://artechnologie13.sharepoint.com/sites/Bureaud'tudeAR-TECHNOLOGIE/DOSSIER%20POI/Forms/AllItems.aspx?id=%2Fsites%2FBureaud%27tudeAR%2DTECHNOLOGIE%2FDOSSIER%20POI%2FPAU%2FPAU301245&amp;sortField=Modified&amp;isAscending=false&amp;viewid=ba243776%2Df837%2D4ace%2D8ee9%2D939a5753cc77&amp;csf=1&amp;web=1&amp;e=FpieW4&amp;CID=b1d85ddd%2D1e60%2D46d3%2D9cc8%2Dd48182278426&amp;FolderCTID=0x0120001BD1B7A29D5EA04EB7553F36EEAEE8D2" TargetMode="External"/><Relationship Id="rId33" Type="http://schemas.openxmlformats.org/officeDocument/2006/relationships/hyperlink" Target="https://artechnologie13.sharepoint.com/sites/Bureaud'tudeAR-TECHNOLOGIE/DOSSIER%20POI/Forms/AllItems.aspx?id=%2Fsites%2FBureaud%27tudeAR%2DTECHNOLOGIE%2FDOSSIER%20POI%2FBAY%2FBAY300372&amp;viewid=ba243776%2Df837%2D4ace%2D8ee9%2D939a5753cc77" TargetMode="External"/><Relationship Id="rId38" Type="http://schemas.openxmlformats.org/officeDocument/2006/relationships/hyperlink" Target="https://artechnologie13.sharepoint.com/:f:/r/sites/Bureaud%27tudeAR-TECHNOLOGIE/DOSSIER%20POI/MDM-DAX/MDM500499?csf=1&amp;web=1&amp;e=412AH2" TargetMode="External"/><Relationship Id="rId46" Type="http://schemas.openxmlformats.org/officeDocument/2006/relationships/hyperlink" Target="https://artechnologie13.sharepoint.com/:f:/r/sites/Bureaud%27tudeAR-TECHNOLOGIE/DOSSIER%20POI/MDM-DAX/MDM500532?csf=1&amp;web=1&amp;e=P6SXh7" TargetMode="External"/><Relationship Id="rId59" Type="http://schemas.openxmlformats.org/officeDocument/2006/relationships/hyperlink" Target="https://artechnologie13.sharepoint.com/sites/Bureaud'tudeAR-TECHNOLOGIE/DOSSIER%20POI/Forms/AllItems.aspx?id=%2Fsites%2FBureaud%27tudeAR%2DTECHNOLOGIE%2FDOSSIER%20POI%2FMDM%2DDAX%2FARC500840&amp;sortField=Modified&amp;isAscending=false&amp;viewid=ba243776%2Df837%2D4ace%2D8ee9%2D939a5753cc77&amp;view=0" TargetMode="External"/><Relationship Id="rId67" Type="http://schemas.openxmlformats.org/officeDocument/2006/relationships/hyperlink" Target="https://artechnologie13.sharepoint.com/sites/Bureaud%27tudeAR-TECHNOLOGIE/DOSSIER%20POI/Forms/AllItems.aspx?id=%2Fsites%2FBureaud%27tudeAR%2DTECHNOLOGIE%2FDOSSIER%20POI%2FMDM%2DDAX%2FARC500878&amp;sortField=Modified&amp;isAscending=false&amp;viewid=ba243776%2Df837%2D4ace%2D8ee9%2D939a5753cc77&amp;csf=1&amp;web=1&amp;e=owQXVh&amp;CID=c5b168e7%2D67df%2D41af%2Db0d7%2D508a6306f4cd&amp;FolderCTID=0x0120001BD1B7A29D5EA04EB7553F36EEAEE8D2" TargetMode="External"/><Relationship Id="rId103" Type="http://schemas.microsoft.com/office/2019/04/relationships/namedSheetView" Target="../namedSheetViews/namedSheetView3.xml"/><Relationship Id="rId20" Type="http://schemas.openxmlformats.org/officeDocument/2006/relationships/hyperlink" Target="https://artechnologie13.sharepoint.com/:b:/r/sites/Bureaud%27tudeAR-TECHNOLOGIE/DOSSIER%20POI/MDM-DAX/MDM500002/Retour%20VT/Plan%20Itin%C3%A9raire.pdf?csf=1&amp;web=1&amp;e=x34GgO" TargetMode="External"/><Relationship Id="rId41" Type="http://schemas.openxmlformats.org/officeDocument/2006/relationships/hyperlink" Target="https://artechnologie13.sharepoint.com/sites/Bureaud'tudeAR-TECHNOLOGIE/DOSSIER%20POI/Forms/AllItems.aspx?id=%2Fsites%2FBureaud%27tudeAR%2DTECHNOLOGIE%2FDOSSIER%20POI%2FMDM%2DDAX%2FMDM500500%2FRETOUR%20VT&amp;viewid=ba243776%2Df837%2D4ace%2D8ee9%2D939a5753cc77" TargetMode="External"/><Relationship Id="rId54" Type="http://schemas.openxmlformats.org/officeDocument/2006/relationships/hyperlink" Target="https://artechnologie13.sharepoint.com/sites/Bureaud%27tudeAR-TECHNOLOGIE/DOSSIER%20POI/Forms/AllItems.aspx?id=%2Fsites%2FBureaud%27tudeAR%2DTECHNOLOGIE%2FDOSSIER%20POI%2FMDM%2DDAX%2FARC500798&amp;sortField=Modified&amp;isAscending=false&amp;viewid=ba243776%2Df837%2D4ace%2D8ee9%2D939a5753cc77&amp;csf=1&amp;web=1&amp;e=owQXVh&amp;CID=c5b168e7%2D67df%2D41af%2Db0d7%2D508a6306f4cd&amp;FolderCTID=0x0120001BD1B7A29D5EA04EB7553F36EEAEE8D2&amp;view=7" TargetMode="External"/><Relationship Id="rId62"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DM%2DDAX%2FMDM300689" TargetMode="External"/><Relationship Id="rId70" Type="http://schemas.openxmlformats.org/officeDocument/2006/relationships/hyperlink" Target="https://artechnologie13.sharepoint.com/sites/Bureaud'tudeAR-TECHNOLOGIE/DOSSIER%20POI/Forms/AllItems.aspx?id=%2Fsites%2FBureaud%27tudeAR%2DTECHNOLOGIE%2FDOSSIER%20POI%2FMDM%2DDAX%2FLAN500514&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75" Type="http://schemas.openxmlformats.org/officeDocument/2006/relationships/hyperlink" Target="https://artechnologie13.sharepoint.com/sites/Bureaud'tudeAR-TECHNOLOGIE/DOSSIER%20POI/Forms/AllItems.aspx?id=%2Fsites%2FBureaud%27tudeAR%2DTECHNOLOGIE%2FDOSSIER%20POI%2FMDM%2DDAX%2FARC500965&amp;sortField=Modified&amp;isAscending=false&amp;viewid=ba243776%2Df837%2D4ace%2D8ee9%2D939a5753cc77&amp;csf=1&amp;web=1&amp;e=iV2Yoj&amp;CID=4e31e7ae%2Dd866%2D4c9e%2Dbf24%2De0ab88c36e01&amp;FolderCTID=0x0120001BD1B7A29D5EA04EB7553F36EEAEE8D2" TargetMode="External"/><Relationship Id="rId83" Type="http://schemas.openxmlformats.org/officeDocument/2006/relationships/hyperlink" Target="https://artechnologie13.sharepoint.com/sites/Bureaud%27tudeAR-TECHNOLOGIE/DOSSIER%20POI/Forms/AllItems.aspx?id=%2Fsites%2FBureaud%27tudeAR%2DTECHNOLOGIE%2FDOSSIER%20POI%2FMDM%2DDAX%2FARC600021&amp;sortField=Modified&amp;isAscending=false&amp;viewid=ba243776%2Df837%2D4ace%2D8ee9%2D939a5753cc77&amp;csf=1&amp;web=1&amp;e=owQXVh&amp;CID=c5b168e7%2D67df%2D41af%2Db0d7%2D508a6306f4cd&amp;FolderCTID=0x0120001BD1B7A29D5EA04EB7553F36EEAEE8D2" TargetMode="External"/><Relationship Id="rId88" Type="http://schemas.openxmlformats.org/officeDocument/2006/relationships/hyperlink" Target="https://artechnologie13.sharepoint.com/sites/Bureaud'tudeAR-TECHNOLOGIE/DOSSIER%20POI/Forms/AllItems.aspx?id=%2Fsites%2FBureaud%27tudeAR%2DTECHNOLOGIE%2FDOSSIER%20POI%2FMDM%2DDAX%2FARC60005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91" Type="http://schemas.openxmlformats.org/officeDocument/2006/relationships/hyperlink" Target="https://artechnologie13.sharepoint.com/sites/Bureaud%27tudeAR-TECHNOLOGIE/DOSSIER%20POI/Forms/AllItems.aspx?id=%2Fsites%2FBureaud%27tudeAR%2DTECHNOLOGIE%2FDOSSIER%20POI%2FMDM%2DDAX%2FARC600054&amp;sortField=Modified&amp;isAscending=false&amp;viewid=ba243776%2Df837%2D4ace%2D8ee9%2D939a5753cc77&amp;csf=1&amp;CID=c5b168e7%2D67df%2D41af%2Db0d7%2D508a6306f4cd&amp;FolderCTID=0x0120001BD1B7A29D5EA04EB7553F36EEAEE8D2" TargetMode="External"/><Relationship Id="rId96" Type="http://schemas.openxmlformats.org/officeDocument/2006/relationships/hyperlink" Target="https://artechnologie13.sharepoint.com/sites/Bureaud%27tudeAR-TECHNOLOGIE/DOSSIER%20POI/Forms/AllItems.aspx?id=%2Fsites%2FBureaud%27tudeAR%2DTECHNOLOGIE%2FDOSSIER%20POI%2FMDM%2DDAX%2FARC600133&amp;sortField=Modified&amp;isAscending=false&amp;viewid=ba243776%2Df837%2D4ace%2D8ee9%2D939a5753cc77&amp;csf=1&amp;CID=c5b168e7%2D67df%2D41af%2Db0d7%2D508a6306f4cd&amp;FolderCTID=0x0120001BD1B7A29D5EA04EB7553F36EEAEE8D2" TargetMode="External"/><Relationship Id="rId1" Type="http://schemas.openxmlformats.org/officeDocument/2006/relationships/hyperlink" Target="https://artechnologie13.sharepoint.com/sites/Bureaud'tudeAR-TECHNOLOGIE/DOSSIER%20POI/Forms/AllItems.aspx?id=%2Fsites%2FBureaud%27tudeAR%2DTECHNOLOGIE%2FDOSSIER%20POI%2FMDM%2DDAX%2FMDM003509&amp;viewid=ba243776%2Df837%2D4ace%2D8ee9%2D939a5753cc77&amp;newTargetListUrl=%2Fsites%2FBureaud%27tudeAR%2DTECHNOLOGIE%2FDOSSIER%20POI&amp;viewpath=%2Fsites%2FBureaud%27tudeAR%2DTECHNOLOGIE%2FDOSSIER%20POI%2FForms%2FAllItems%2Easpx&amp;view=7" TargetMode="External"/><Relationship Id="rId6" Type="http://schemas.openxmlformats.org/officeDocument/2006/relationships/hyperlink" Target="https://artechnologie13.sharepoint.com/:f:/r/sites/Bureaud%27tudeAR-TECHNOLOGIE/DOSSIER%20POI/MDM/MDM300394?csf=1&amp;web=1&amp;e=UsNqe9" TargetMode="External"/><Relationship Id="rId15" Type="http://schemas.openxmlformats.org/officeDocument/2006/relationships/hyperlink" Target="https://artechnologie13.sharepoint.com/sites/Bureaud'tudeAR-TECHNOLOGIE/DOSSIER%20POI/Forms/AllItems.aspx?isAscending=false&amp;id=%2Fsites%2FBureaud%27tudeAR%2DTECHNOLOGIE%2FDOSSIER%20POI%2FMDM%2DDAX%2FMDM500161&amp;sortField=LinkFilename&amp;viewid=ba243776%2Df837%2D4ace%2D8ee9%2D939a5753cc77" TargetMode="External"/><Relationship Id="rId23"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DAX%2FDAX400041&amp;viewid=ba243776%2Df837%2D4ace%2D8ee9%2D939a5753cc77" TargetMode="External"/><Relationship Id="rId28" Type="http://schemas.openxmlformats.org/officeDocument/2006/relationships/hyperlink" Target="https://artechnologie13.sharepoint.com/:f:/r/sites/Bureaud%27tudeAR-TECHNOLOGIE/DOSSIER%20POI/PAU/PAU400369/Retour%20VT?csf=1&amp;web=1&amp;e=FCiWbV" TargetMode="External"/><Relationship Id="rId36" Type="http://schemas.openxmlformats.org/officeDocument/2006/relationships/hyperlink" Target="https://artechnologie13.sharepoint.com/:f:/r/sites/Bureaud%27tudeAR-TECHNOLOGIE/DOSSIER%20POI/PAU/PAU103623?csf=1&amp;web=1&amp;e=zbgldc" TargetMode="External"/><Relationship Id="rId49" Type="http://schemas.openxmlformats.org/officeDocument/2006/relationships/hyperlink" Target="https://artechnologie13.sharepoint.com/:f:/r/sites/Bureaud%27tudeAR-TECHNOLOGIE/DOSSIER%20POI/MDM-DAX/ARC500733?csf=1&amp;web=1&amp;e=ylpt1D" TargetMode="External"/><Relationship Id="rId57" Type="http://schemas.openxmlformats.org/officeDocument/2006/relationships/hyperlink" Target="https://artechnologie13.sharepoint.com/sites/Bureaud'tudeAR-TECHNOLOGIE/DOSSIER%20POI/Forms/AllItems.aspx?id=%2Fsites%2FBureaud%27tudeAR%2DTECHNOLOGIE%2FDOSSIER%20POI%2FMDM%2DDAX%2FARC500831&amp;sortField=Modified&amp;isAscending=false&amp;viewid=ba243776%2Df837%2D4ace%2D8ee9%2D939a5753cc77" TargetMode="External"/><Relationship Id="rId10" Type="http://schemas.openxmlformats.org/officeDocument/2006/relationships/hyperlink" Target="https://artechnologie13.sharepoint.com/:f:/r/sites/Bureaud%27tudeAR-TECHNOLOGIE/DOSSIER%20POI/MDM-DAX/MDM201114?csf=1&amp;web=1&amp;e=HeEQEc" TargetMode="External"/><Relationship Id="rId31" Type="http://schemas.openxmlformats.org/officeDocument/2006/relationships/hyperlink" Target="https://artechnologie13.sharepoint.com/sites/Bureaud'tudeAR-TECHNOLOGIE/DOSSIER%20POI/Forms/AllItems.aspx?id=%2Fsites%2FBureaud%27tudeAR%2DTECHNOLOGIE%2FDOSSIER%20POI%2FBAY%2FBAY400496&amp;viewid=ba243776%2Df837%2D4ace%2D8ee9%2D939a5753cc77" TargetMode="External"/><Relationship Id="rId44" Type="http://schemas.openxmlformats.org/officeDocument/2006/relationships/hyperlink" Target="https://artechnologie13.sharepoint.com/sites/Bureaud'tudeAR-TECHNOLOGIE/DOSSIER%20POI/Forms/AllItems.aspx?id=%2Fsites%2FBureaud%27tudeAR%2DTECHNOLOGIE%2FDOSSIER%20POI%2FPAU%2FPAU301084&amp;sortField=Modified&amp;isAscending=false&amp;viewid=ba243776%2Df837%2D4ace%2D8ee9%2D939a5753cc77&amp;csf=1&amp;web=1&amp;e=FpieW4&amp;CID=b1d85ddd%2D1e60%2D46d3%2D9cc8%2Dd48182278426&amp;FolderCTID=0x0120001BD1B7A29D5EA04EB7553F36EEAEE8D2" TargetMode="External"/><Relationship Id="rId52" Type="http://schemas.openxmlformats.org/officeDocument/2006/relationships/hyperlink" Target="https://artechnologie13.sharepoint.com/:f:/r/sites/Bureaud%27tudeAR-TECHNOLOGIE/DOSSIER%20POI/PAU/PAU300808?csf=1&amp;web=1&amp;e=egxMud" TargetMode="External"/><Relationship Id="rId60" Type="http://schemas.openxmlformats.org/officeDocument/2006/relationships/hyperlink" Target="https://artechnologie13.sharepoint.com/sites/Bureaud'tudeAR-TECHNOLOGIE/DOSSIER%20POI/Forms/AllItems.aspx?id=%2Fsites%2FBureaud%27tudeAR%2DTECHNOLOGIE%2FDOSSIER%20POI%2FMDM%2DDAX%2FARC500843&amp;sortField=Modified&amp;isAscending=false&amp;viewid=ba243776%2Df837%2D4ace%2D8ee9%2D939a5753cc77&amp;view=0" TargetMode="External"/><Relationship Id="rId65" Type="http://schemas.openxmlformats.org/officeDocument/2006/relationships/hyperlink" Target="https://artechnologie13.sharepoint.com/sites/Bureaud%27tudeAR-TECHNOLOGIE/DOSSIER%20POI/Forms/AllItems.aspx?id=%2Fsites%2FBureaud%27tudeAR%2DTECHNOLOGIE%2FDOSSIER%20POI%2FMDM%2DDAX%2FARC500874&amp;sortField=Modified&amp;isAscending=false&amp;viewid=ba243776%2Df837%2D4ace%2D8ee9%2D939a5753cc77&amp;csf=1&amp;web=1&amp;e=owQXVh&amp;CID=c5b168e7%2D67df%2D41af%2Db0d7%2D508a6306f4cd&amp;FolderCTID=0x0120001BD1B7A29D5EA04EB7553F36EEAEE8D2" TargetMode="External"/><Relationship Id="rId73" Type="http://schemas.openxmlformats.org/officeDocument/2006/relationships/hyperlink" Target="https://artechnologie13.sharepoint.com/sites/Bureaud'tudeAR-TECHNOLOGIE/DOSSIER%20POI/Forms/AllItems.aspx?id=%2Fsites%2FBureaud%27tudeAR%2DTECHNOLOGIE%2FDOSSIER%20POI%2FMDM%2DDAX%2FARC500948&amp;sortField=Modified&amp;isAscending=false&amp;viewid=ba243776%2Df837%2D4ace%2D8ee9%2D939a5753cc77" TargetMode="External"/><Relationship Id="rId78" Type="http://schemas.openxmlformats.org/officeDocument/2006/relationships/hyperlink" Target="https://artechnologie13.sharepoint.com/sites/Bureaud'tudeAR-TECHNOLOGIE/DOSSIER%20POI/Forms/AllItems.aspx?id=%2Fsites%2FBureaud%27tudeAR%2DTECHNOLOGIE%2FDOSSIER%20POI%2FMDM%2DDAX%2FARC500969&amp;sortField=Modified&amp;isAscending=false&amp;viewid=ba243776%2Df837%2D4ace%2D8ee9%2D939a5753cc77" TargetMode="External"/><Relationship Id="rId81" Type="http://schemas.openxmlformats.org/officeDocument/2006/relationships/hyperlink" Target="https://artechnologie13.sharepoint.com/sites/Bureaud%27tudeAR-TECHNOLOGIE/DOSSIER%20POI/Forms/AllItems.aspx?id=%2Fsites%2FBureaud%27tudeAR%2DTECHNOLOGIE%2FDOSSIER%20POI%2FMDM%2DDAX%2FARC600025&amp;sortField=Modified&amp;isAscending=false&amp;viewid=ba243776%2Df837%2D4ace%2D8ee9%2D939a5753cc77&amp;csf=1&amp;web=1&amp;e=owQXVh&amp;CID=c5b168e7%2D67df%2D41af%2Db0d7%2D508a6306f4cd&amp;FolderCTID=0x0120001BD1B7A29D5EA04EB7553F36EEAEE8D2" TargetMode="External"/><Relationship Id="rId86" Type="http://schemas.openxmlformats.org/officeDocument/2006/relationships/hyperlink" Target="https://artechnologie13.sharepoint.com/sites/Bureaud'tudeAR-TECHNOLOGIE/DOSSIER%20POI/Forms/AllItems.aspx?id=%2Fsites%2FBureaud%27tudeAR%2DTECHNOLOGIE%2FDOSSIER%20POI%2FMDM%2DDAX%2FARC60004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94" Type="http://schemas.openxmlformats.org/officeDocument/2006/relationships/hyperlink" Target="https://artechnologie13.sharepoint.com/sites/Bureaud%27tudeAR-TECHNOLOGIE/DOSSIER%20POI/Forms/AllItems.aspx?id=%2Fsites%2FBureaud%27tudeAR%2DTECHNOLOGIE%2FDOSSIER%20POI%2FMDM%2DDAX&amp;sortField=Modified&amp;isAscending=false&amp;viewid=ba243776%2Df837%2D4ace%2D8ee9%2D939a5753cc77&amp;csf=1&amp;CID=c5b168e7%2D67df%2D41af%2Db0d7%2D508a6306f4cd&amp;FolderCTID=0x0120001BD1B7A29D5EA04EB7553F36EEAEE8D2&amp;view=7&amp;q=MDM203023" TargetMode="External"/><Relationship Id="rId99" Type="http://schemas.openxmlformats.org/officeDocument/2006/relationships/drawing" Target="../drawings/drawing1.xml"/><Relationship Id="rId101" Type="http://schemas.openxmlformats.org/officeDocument/2006/relationships/comments" Target="../comments3.xml"/><Relationship Id="rId4" Type="http://schemas.openxmlformats.org/officeDocument/2006/relationships/hyperlink" Target="https://artechnologie13.sharepoint.com/:f:/s/Bureaud'tudeAR-TECHNOLOGIE/IgBYDlHqx7TKS6WKvGzYjBMSAXSFSu9A0TTuTHZcBVjQwtA?e=1rad8b" TargetMode="External"/><Relationship Id="rId9" Type="http://schemas.openxmlformats.org/officeDocument/2006/relationships/hyperlink" Target="https://artechnologie13.sharepoint.com/sites/Bureaud'tudeAR-TECHNOLOGIE/DOSSIER%20POI/Forms/AllItems.aspx?csf=1&amp;web=1&amp;e=EOmmI7&amp;CID=9baba9e2%2D6916%2D4517%2D93cc%2D1caf0f15f037&amp;FolderCTID=0x0120001BD1B7A29D5EA04EB7553F36EEAEE8D2&amp;id=%2Fsites%2FBureaud%27tudeAR%2DTECHNOLOGIE%2FDOSSIER%20POI%2FMDM%2FMDM400398&amp;viewid=ba243776%2Df837%2D4ace%2D8ee9%2D939a5753cc77" TargetMode="External"/><Relationship Id="rId13" Type="http://schemas.openxmlformats.org/officeDocument/2006/relationships/hyperlink" Target="https://artechnologie13.sharepoint.com/:f:/s/Bureaud'tudeAR-TECHNOLOGIE/IgAn7Qp50UhSQpQ_3F_L08BaAYNve1KXCqvAm-0xP_Aw4a8?e=EQFYgF" TargetMode="External"/><Relationship Id="rId18"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DAX%2FDAX400043&amp;viewid=ba243776%2Df837%2D4ace%2D8ee9%2D939a5753cc77" TargetMode="External"/><Relationship Id="rId39"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MDM%2DDAX%2FMDM400427&amp;viewid=ba243776%2Df837%2D4ace%2D8ee9%2D939a5753cc77" TargetMode="External"/><Relationship Id="rId34" Type="http://schemas.openxmlformats.org/officeDocument/2006/relationships/hyperlink" Target="https://artechnologie13.sharepoint.com/sites/Bureaud'tudeAR-TECHNOLOGIE/DOSSIER%20POI/Forms/AllItems.aspx?id=%2Fsites%2FBureaud%27tudeAR%2DTECHNOLOGIE%2FDOSSIER%20POI%2FBAY%2FBAY400353&amp;viewid=ba243776%2Df837%2D4ace%2D8ee9%2D939a5753cc77" TargetMode="External"/><Relationship Id="rId50"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DM%2DDAX%2FMDM300446" TargetMode="External"/><Relationship Id="rId55" Type="http://schemas.openxmlformats.org/officeDocument/2006/relationships/hyperlink" Target="https://artechnologie13.sharepoint.com/sites/Bureaud'tudeAR-TECHNOLOGIE/DOSSIER%20POI/Forms/AllItems.aspx?id=%2Fsites%2FBureaud%27tudeAR%2DTECHNOLOGIE%2FDOSSIER%20POI%2FMDM%2DDAX%2FARC500768&amp;viewid=ba243776%2Df837%2D4ace%2D8ee9%2D939a5753cc77&amp;q=ARC500768&amp;csf=1&amp;web=1&amp;e=fgp1D3&amp;CID=7b9af6b9%2Dd1f9%2D450a%2D9f50%2D87e0b6e99dda&amp;FolderCTID=0x0120001BD1B7A29D5EA04EB7553F36EEAEE8D2&amp;view=7" TargetMode="External"/><Relationship Id="rId76" Type="http://schemas.openxmlformats.org/officeDocument/2006/relationships/hyperlink" Target="https://artechnologie13.sharepoint.com/sites/Bureaud'tudeAR-TECHNOLOGIE/DOSSIER%20POI/Forms/AllItems.aspx?id=%2Fsites%2FBureaud%27tudeAR%2DTECHNOLOGIE%2FDOSSIER%20POI%2FMDM%2DDAX%2FARC500960&amp;sortField=Modified&amp;isAscending=false&amp;viewid=ba243776%2Df837%2D4ace%2D8ee9%2D939a5753cc77" TargetMode="External"/><Relationship Id="rId97" Type="http://schemas.openxmlformats.org/officeDocument/2006/relationships/hyperlink" Target="https://artechnologie13.sharepoint.com/sites/Bureaud%27tudeAR-TECHNOLOGIE/DOSSIER%20POI/Forms/AllItems.aspx?id=%2Fsites%2FBureaud%27tudeAR%2DTECHNOLOGIE%2FDOSSIER%20POI%2FMDM%2DDAX%2FARC600141&amp;sortField=Modified&amp;isAscending=false&amp;viewid=ba243776%2Df837%2D4ace%2D8ee9%2D939a5753cc77&amp;csf=1&amp;CID=c5b168e7%2D67df%2D41af%2Db0d7%2D508a6306f4cd&amp;FolderCTID=0x0120001BD1B7A29D5EA04EB7553F36EEAEE8D2" TargetMode="External"/><Relationship Id="rId7"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DM%2DDAX%2FMDM400167" TargetMode="External"/><Relationship Id="rId71" Type="http://schemas.openxmlformats.org/officeDocument/2006/relationships/hyperlink" Target="https://artechnologie13.sharepoint.com/sites/Bureaud'tudeAR-TECHNOLOGIE/DOSSIER%20POI/Forms/AllItems.aspx?id=%2Fsites%2FBureaud%27tudeAR%2DTECHNOLOGIE%2FDOSSIER%20POI%2FMDM%2DDAX%2FARC500931&amp;sortField=Modified&amp;isAscending=false&amp;viewid=ba243776%2Df837%2D4ace%2D8ee9%2D939a5753cc77" TargetMode="External"/><Relationship Id="rId92" Type="http://schemas.openxmlformats.org/officeDocument/2006/relationships/hyperlink" Target="https://artechnologie13.sharepoint.com/sites/Bureaud%27tudeAR-TECHNOLOGIE/DOSSIER%20POI/Forms/AllItems.aspx?id=%2Fsites%2FBureaud%27tudeAR%2DTECHNOLOGIE%2FDOSSIER%20POI%2FMDM%2DDAX%2FARC600065&amp;sortField=Modified&amp;isAscending=false&amp;viewid=ba243776%2Df837%2D4ace%2D8ee9%2D939a5753cc77&amp;csf=1&amp;CID=c5b168e7%2D67df%2D41af%2Db0d7%2D508a6306f4cd&amp;FolderCTID=0x0120001BD1B7A29D5EA04EB7553F36EEAEE8D2" TargetMode="External"/><Relationship Id="rId2" Type="http://schemas.openxmlformats.org/officeDocument/2006/relationships/hyperlink" Target="https://artechnologie13.sharepoint.com/sites/Bureaud'tudeAR-TECHNOLOGIE/DOSSIER%20POI/Forms/AllItems.aspx?id=%2Fsites%2FBureaud%27tudeAR%2DTECHNOLOGIE%2FDOSSIER%20POI%2FMDM%2FMDM400881&amp;viewid=ba243776%2Df837%2D4ace%2D8ee9%2D939a5753cc77" TargetMode="External"/><Relationship Id="rId29" Type="http://schemas.openxmlformats.org/officeDocument/2006/relationships/hyperlink" Target="https://artechnologie13.sharepoint.com/:f:/r/sites/Bureaud%27tudeAR-TECHNOLOGIE/DOSSIER%20POI/PAU/PAU101592?csf=1&amp;web=1&amp;e=4jq0Sq" TargetMode="External"/><Relationship Id="rId24" Type="http://schemas.openxmlformats.org/officeDocument/2006/relationships/hyperlink" Target="https://artechnologie13.sharepoint.com/:f:/r/sites/Bureaud%27tudeAR-TECHNOLOGIE/DOSSIER%20POI/MDM-DAX/MDM500477?csf=1&amp;web=1&amp;e=e9uv7P" TargetMode="External"/><Relationship Id="rId40" Type="http://schemas.openxmlformats.org/officeDocument/2006/relationships/hyperlink" Target="https://artechnologie13.sharepoint.com/sites/Bureaud'tudeAR-TECHNOLOGIE/DOSSIER%20POI/Forms/AllItems.aspx?csf=1&amp;web=1&amp;e=w0oUAq&amp;CID=f1cdb755%2Dbf7d%2D4174%2Db8f6%2D90bb1fd233e3&amp;FolderCTID=0x0120001BD1B7A29D5EA04EB7553F36EEAEE8D2&amp;id=%2Fsites%2FBureaud%27tudeAR%2DTECHNOLOGIE%2FDOSSIER%20POI%2FMDM%2DDAX%2FMDM200033&amp;viewid=ba243776%2Df837%2D4ace%2D8ee9%2D939a5753cc77" TargetMode="External"/><Relationship Id="rId45" Type="http://schemas.openxmlformats.org/officeDocument/2006/relationships/hyperlink" Target="https://artechnologie13.sharepoint.com/:f:/r/sites/Bureaud%27tudeAR-TECHNOLOGIE/DOSSIER%20POI/MDM-DAX/MDM500538?csf=1&amp;web=1&amp;e=vQZ9mZ" TargetMode="External"/><Relationship Id="rId66" Type="http://schemas.openxmlformats.org/officeDocument/2006/relationships/hyperlink" Target="https://artechnologie13.sharepoint.com/sites/Bureaud%27tudeAR-TECHNOLOGIE/DOSSIER%20POI/Forms/AllItems.aspx?id=%2Fsites%2FBureaud%27tudeAR%2DTECHNOLOGIE%2FDOSSIER%20POI%2FMDM%2DDAX%2FARC500872&amp;sortField=Modified&amp;isAscending=false&amp;viewid=ba243776%2Df837%2D4ace%2D8ee9%2D939a5753cc77&amp;csf=1&amp;web=1&amp;e=owQXVh&amp;CID=c5b168e7%2D67df%2D41af%2Db0d7%2D508a6306f4cd&amp;FolderCTID=0x0120001BD1B7A29D5EA04EB7553F36EEAEE8D2" TargetMode="External"/><Relationship Id="rId87" Type="http://schemas.openxmlformats.org/officeDocument/2006/relationships/hyperlink" Target="https://artechnologie13.sharepoint.com/sites/Bureaud'tudeAR-TECHNOLOGIE/DOSSIER%20POI/Forms/AllItems.aspx?id=%2Fsites%2FBureaud%27tudeAR%2DTECHNOLOGIE%2FDOSSIER%20POI%2FMDM%2DDAX%2FARC600039&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61" Type="http://schemas.openxmlformats.org/officeDocument/2006/relationships/hyperlink" Target="https://artechnologie13.sharepoint.com/:f:/r/sites/Bureaud%27tudeAR-TECHNOLOGIE/DOSSIER%20POI/MDM-DAX/MDM400873?csf=1&amp;web=1&amp;e=Q2pneJ" TargetMode="External"/><Relationship Id="rId82" Type="http://schemas.openxmlformats.org/officeDocument/2006/relationships/hyperlink" Target="https://artechnologie13.sharepoint.com/sites/Bureaud'tudeAR-TECHNOLOGIE/DOSSIER%20POI/Forms/AllItems.aspx?id=%2Fsites%2FBureaud%27tudeAR%2DTECHNOLOGIE%2FDOSSIER%20POI%2FMDM%2DDAX%2FARC500966&amp;sortField=Modified&amp;isAscending=false&amp;viewid=ba243776%2Df837%2D4ace%2D8ee9%2D939a5753cc77" TargetMode="External"/><Relationship Id="rId19" Type="http://schemas.openxmlformats.org/officeDocument/2006/relationships/hyperlink" Target="https://artechnologie13.sharepoint.com/sites/Bureaud'tudeAR-TECHNOLOGIE/DOSSIER%20POI/Forms/AllItems.aspx?id=%2Fsites%2FBureaud%27tudeAR%2DTECHNOLOGIE%2FDOSSIER%20POI%2FMDM%2DDAX%2FMDM500366&amp;sortField=Modified&amp;isAscending=false&amp;viewid=ba243776%2Df837%2D4ace%2D8ee9%2D939a5753cc77" TargetMode="External"/><Relationship Id="rId14" Type="http://schemas.openxmlformats.org/officeDocument/2006/relationships/hyperlink" Target="https://artechnologie13.sharepoint.com/sites/Bureaud'tudeAR-TECHNOLOGIE/DOSSIER%20POI/Forms/AllItems.aspx?id=%2Fsites%2FBureaud%27tudeAR%2DTECHNOLOGIE%2FDOSSIER%20POI%2FMDM%2FMDM200689&amp;viewid=ba243776%2Df837%2D4ace%2D8ee9%2D939a5753cc77" TargetMode="External"/><Relationship Id="rId30" Type="http://schemas.openxmlformats.org/officeDocument/2006/relationships/hyperlink" Target="https://artechnologie13.sharepoint.com/:f:/r/sites/Bureaud%27tudeAR-TECHNOLOGIE/DOSSIER%20POI/PAU/PAU400195?csf=1&amp;web=1&amp;e=mJbmwF" TargetMode="External"/><Relationship Id="rId35" Type="http://schemas.openxmlformats.org/officeDocument/2006/relationships/hyperlink" Target="https://artechnologie13.sharepoint.com/sites/Bureaud'tudeAR-TECHNOLOGIE/DOSSIER%20POI/Forms/AllItems.aspx?id=%2Fsites%2FBureaud%27tudeAR%2DTECHNOLOGIE%2FDOSSIER%20POI%2FBAY%2FBAY300536&amp;viewid=ba243776%2Df837%2D4ace%2D8ee9%2D939a5753cc77" TargetMode="External"/><Relationship Id="rId56" Type="http://schemas.openxmlformats.org/officeDocument/2006/relationships/hyperlink" Target="https://artechnologie13.sharepoint.com/sites/Bureaud'tudeAR-TECHNOLOGIE/DOSSIER%20POI/Forms/AllItems.aspx?id=%2Fsites%2FBureaud%27tudeAR%2DTECHNOLOGIE%2FDOSSIER%20POI%2FMDM%2DDAX%2FARC500827&amp;sortField=Modified&amp;isAscending=false&amp;viewid=ba243776%2Df837%2D4ace%2D8ee9%2D939a5753cc77" TargetMode="External"/><Relationship Id="rId77" Type="http://schemas.openxmlformats.org/officeDocument/2006/relationships/hyperlink" Target="https://artechnologie13.sharepoint.com/sites/Bureaud'tudeAR-TECHNOLOGIE/DOSSIER%20POI/Forms/AllItems.aspx?id=%2Fsites%2FBureaud%27tudeAR%2DTECHNOLOGIE%2FDOSSIER%20POI%2FMDM%2DDAX%2FARC500930&amp;sortField=Modified&amp;isAscending=false&amp;viewid=ba243776%2Df837%2D4ace%2D8ee9%2D939a5753cc77" TargetMode="External"/><Relationship Id="rId100" Type="http://schemas.openxmlformats.org/officeDocument/2006/relationships/vmlDrawing" Target="../drawings/vmlDrawing3.vml"/><Relationship Id="rId8" Type="http://schemas.openxmlformats.org/officeDocument/2006/relationships/hyperlink" Target="https://artechnologie13.sharepoint.com/:f:/r/sites/Bureaud%27tudeAR-TECHNOLOGIE/DOSSIER%20POI/MDM-DAX/MDM400322?csf=1&amp;web=1&amp;e=g6wfgA" TargetMode="External"/><Relationship Id="rId51" Type="http://schemas.openxmlformats.org/officeDocument/2006/relationships/hyperlink" Target="https://artechnologie13.sharepoint.com/:f:/r/sites/Bureaud%27tudeAR-TECHNOLOGIE/DOSSIER%20POI/MDM-DAX/ARC500784?csf=1&amp;web=1&amp;e=LMObeD" TargetMode="External"/><Relationship Id="rId72" Type="http://schemas.openxmlformats.org/officeDocument/2006/relationships/hyperlink" Target="https://artechnologie13.sharepoint.com/sites/Bureaud'tudeAR-TECHNOLOGIE/DOSSIER%20POI/Forms/AllItems.aspx?id=%2Fsites%2FBureaud%27tudeAR%2DTECHNOLOGIE%2FDOSSIER%20POI%2FMDM%2DDAX%2FARC500947&amp;sortField=Modified&amp;isAscending=false&amp;viewid=ba243776%2Df837%2D4ace%2D8ee9%2D939a5753cc77" TargetMode="External"/><Relationship Id="rId93" Type="http://schemas.openxmlformats.org/officeDocument/2006/relationships/hyperlink" Target="https://artechnologie13.sharepoint.com/sites/Bureaud%27tudeAR-TECHNOLOGIE/DOSSIER%20POI/Forms/AllItems.aspx?id=%2Fsites%2FBureaud%27tudeAR%2DTECHNOLOGIE%2FDOSSIER%20POI%2FMDM%2DDAX%2FARC600091&amp;sortField=Modified&amp;isAscending=false&amp;viewid=ba243776%2Df837%2D4ace%2D8ee9%2D939a5753cc77&amp;csf=1&amp;CID=c5b168e7%2D67df%2D41af%2Db0d7%2D508a6306f4cd&amp;FolderCTID=0x0120001BD1B7A29D5EA04EB7553F36EEAEE8D2" TargetMode="External"/><Relationship Id="rId98" Type="http://schemas.openxmlformats.org/officeDocument/2006/relationships/hyperlink" Target="https://artechnologie13.sharepoint.com/sites/Bureaud'tudeAR-TECHNOLOGIE/DOSSIER%20POI/Forms/AllItems.aspx?id=%2Fsites%2FBureaud%27tudeAR%2DTECHNOLOGIE%2FDOSSIER%20POI%2FMDM%2DDAX%2FARC600117&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3" Type="http://schemas.openxmlformats.org/officeDocument/2006/relationships/hyperlink" Target="https://artechnologie13.sharepoint.com/sites/Bureaud'tudeAR-TECHNOLOGIE/DOSSIER%20POI/Forms/AllItems.aspx?id=%2Fsites%2FBureaud%27tudeAR%2DTECHNOLOGIE%2FDOSSIER%20POI%2FMDM%2FMDM400853&amp;viewid=ba243776%2Df837%2D4ace%2D8ee9%2D939a5753cc7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6" Type="http://schemas.openxmlformats.org/officeDocument/2006/relationships/hyperlink" Target="https://artechnologie13.sharepoint.com/sites/Bureaud%27tudeAR-TECHNOLOGIE/DOSSIER%20POI/Forms/AllItems.aspx?id=%2Fsites%2FBureaud%27tudeAR%2DTECHNOLOGIE%2FDOSSIER%20POI%2FMDM%2DDAX%2FIMI%2DVA%2D40125%2D00GJ%2D1&amp;viewid=ba243776%2Df837%2D4ace%2D8ee9%2D939a5753cc77&amp;startedResponseCatch=true" TargetMode="External"/><Relationship Id="rId21" Type="http://schemas.openxmlformats.org/officeDocument/2006/relationships/hyperlink" Target="https://artechnologie13.sharepoint.com/:f:/r/sites/Bureaud%27tudeAR-TECHNOLOGIE/DOSSIER%20POI/MDM-DAX/IMI-VA-40062-0053-1?csf=1&amp;web=1&amp;e=BrHyGL" TargetMode="External"/><Relationship Id="rId34" Type="http://schemas.openxmlformats.org/officeDocument/2006/relationships/hyperlink" Target="https://artechnologie13.sharepoint.com/sites/Bureaud'tudeAR-TECHNOLOGIE/DOSSIER%20POI/Forms/AllItems.aspx?id=%2Fsites%2FBureaud%27tudeAR%2DTECHNOLOGIE%2FDOSSIER%20POI%2FMDM%2DDAX%2FIMI%2DVA%2D64260%2D019I%2D1&amp;sortField=Modified&amp;isAscending=false&amp;viewid=ba243776%2Df837%2D4ace%2D8ee9%2D939a5753cc77&amp;csf=1&amp;web=1&amp;e=ylpt1D&amp;CID=946ebe38%2D36b8%2D4bb4%2Db9fa%2D72285277a0f4&amp;FolderCTID=0x0120001BD1B7A29D5EA04EB7553F36EEAEE8D2" TargetMode="External"/><Relationship Id="rId42" Type="http://schemas.openxmlformats.org/officeDocument/2006/relationships/hyperlink" Target="https://artechnologie13.sharepoint.com/:f:/s/Bureaud'tudeAR-TECHNOLOGIE/IgCN21SKUzyhQLGqMP8uMoClAYlcFWMBc6B7Gv8M4511wuw?e=rEuTi4" TargetMode="External"/><Relationship Id="rId47" Type="http://schemas.openxmlformats.org/officeDocument/2006/relationships/hyperlink" Target="https://artechnologie13.sharepoint.com/sites/Bureaud%27tudeAR-TECHNOLOGIE/DOSSIER%20POI/Forms/AllItems.aspx?id=%2Fsites%2FBureaud%27tudeAR%2DTECHNOLOGIE%2FDOSSIER%20POI%2FMDM%2DDAX%2FIMI%2DVA%2D40274%2D00KE%2D1&amp;viewid=ba243776%2Df837%2D4ace%2D8ee9%2D939a5753cc77&amp;p=true&amp;ga=1" TargetMode="External"/><Relationship Id="rId50" Type="http://schemas.openxmlformats.org/officeDocument/2006/relationships/hyperlink" Target="https://artechnologie13.sharepoint.com/sites/Bureaud'tudeAR-TECHNOLOGIE/DOSSIER%20POI/Forms/AllItems.aspx?id=%2Fsites%2FBureaud%27tudeAR%2DTECHNOLOGIE%2FDOSSIER%20POI%2FMDM%2DDAX%2FIMI%2DVA%2D40061%2D005T%2D2%2FRETOUR%20VT&amp;viewid=ba243776%2Df837%2D4ace%2D8ee9%2D939a5753cc77&amp;FolderCTID=0x0120001BD1B7A29D5EA04EB7553F36EEAEE8D2" TargetMode="External"/><Relationship Id="rId55" Type="http://schemas.openxmlformats.org/officeDocument/2006/relationships/hyperlink" Target="https://artechnologie13.sharepoint.com/sites/Bureaud%27tudeAR-TECHNOLOGIE/DOSSIER%20POI/Forms/AllItems.aspx?id=%2Fsites%2FBureaud%27tudeAR%2DTECHNOLOGIE%2FDOSSIER%20POI%2FMDM%2DDAX%2FIMI%2DVA%2D40234%2D00E9%2D1%2FRETOUR%20VT&amp;sortField=Modified&amp;isAscending=false&amp;viewid=ba243776%2Df837%2D4ace%2D8ee9%2D939a5753cc77&amp;p=true" TargetMode="External"/><Relationship Id="rId63" Type="http://schemas.openxmlformats.org/officeDocument/2006/relationships/hyperlink" Target="https://artechnologie13.sharepoint.com/:f:/s/Bureaud'tudeAR-TECHNOLOGIE/IgCXiasqkcyfQIVsy38jzzEtAWlja4slm2UD1QMzfFJISy8?e=Y2tCas" TargetMode="External"/><Relationship Id="rId7" Type="http://schemas.openxmlformats.org/officeDocument/2006/relationships/hyperlink" Target="https://artechnologie13.sharepoint.com/sites/Bureaud'tudeAR-TECHNOLOGIE/DOSSIER%20POI/Forms/AllItems.aspx?id=%2Fsites%2FBureaud%27tudeAR%2DTECHNOLOGIE%2FDOSSIER%20POI%2FMDM%2FIMI%2DVA%2D40114017S%2D1&amp;viewid=ba243776%2Df837%2D4ace%2D8ee9%2D939a5753cc77" TargetMode="External"/><Relationship Id="rId2" Type="http://schemas.openxmlformats.org/officeDocument/2006/relationships/hyperlink" Target="https://artechnologie13.sharepoint.com/sites/Bureaud'tudeAR-TECHNOLOGIE/DOSSIER%20POI/Forms/AllItems.aspx?id=%2Fsites%2FBureaud%27tudeAR%2DTECHNOLOGIE%2FDOSSIER%20POI%2FSPI%2040%2D64%2FIMI%2DVA%2D40192%20053X%2D2&amp;sortField=Modified&amp;isAscending=false&amp;viewid=ba243776%2Df837%2D4ace%2D8ee9%2D939a5753cc77" TargetMode="External"/><Relationship Id="rId16"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DAX%2FIMI%2DVA%2D40279%5F15MF%2D1&amp;viewid=ba243776%2Df837%2D4ace%2D8ee9%2D939a5753cc77" TargetMode="External"/><Relationship Id="rId29" Type="http://schemas.openxmlformats.org/officeDocument/2006/relationships/hyperlink" Target="https://artechnologie13.sharepoint.com/sites/Bureaud'tudeAR-TECHNOLOGIE/DOSSIER%20POI/Forms/AllItems.aspx?id=%2Fsites%2FBureaud%27tudeAR%2DTECHNOLOGIE%2FDOSSIER%20POI%2FBAY%2FIMI%2DVA%2D64483%2D02AV%2D1&amp;sortField=Modified&amp;isAscending=false&amp;viewid=ba243776%2Df837%2D4ace%2D8ee9%2D939a5753cc77&amp;csf=1&amp;web=1&amp;e=1pL25U&amp;CID=7fa624e0%2D4ca6%2D4998%2Dbd86%2D3b50407ce83c&amp;FolderCTID=0x0120001BD1B7A29D5EA04EB7553F36EEAEE8D2&amp;view=7" TargetMode="External"/><Relationship Id="rId11" Type="http://schemas.openxmlformats.org/officeDocument/2006/relationships/hyperlink" Target="https://artechnologie13.sharepoint.com/sites/Bureaud'tudeAR-TECHNOLOGIE/DOSSIER%20POI/Forms/AllItems.aspx?FolderCTID=0x0120001BD1B7A29D5EA04EB7553F36EEAEE8D2&amp;id=%2Fsites%2FBureaud%27tudeAR%2DTECHNOLOGIE%2FDOSSIER%20POI%2FBAY%2FIMI%2DVA%2D64125%2002AH%2D1" TargetMode="External"/><Relationship Id="rId24" Type="http://schemas.openxmlformats.org/officeDocument/2006/relationships/hyperlink" Target="https://artechnologie13.sharepoint.com/sites/Bureaud'tudeAR-TECHNOLOGIE/DOSSIER%20POI/Forms/AllItems.aspx?id=%2Fsites%2FBureaud%27tudeAR%2DTECHNOLOGIE%2FDOSSIER%20POI%2FSPI%2040%2D64%2FIMI%2DVA%2D40234%2D009R%2D1%2FRETOUR%20VT&amp;viewid=ba243776%2Df837%2D4ace%2D8ee9%2D939a5753cc77" TargetMode="External"/><Relationship Id="rId32" Type="http://schemas.openxmlformats.org/officeDocument/2006/relationships/hyperlink" Target="https://artechnologie13.sharepoint.com/sites/Bureaud'tudeAR-TECHNOLOGIE/DOSSIER%20POI/Forms/AllItems.aspx?id=%2Fsites%2FBureaud%27tudeAR%2DTECHNOLOGIE%2FDOSSIER%20POI%2FMDM%2DDAX%2FIMI%2DVA%2D40123%2D01PN%2D1&amp;view=0" TargetMode="External"/><Relationship Id="rId37" Type="http://schemas.openxmlformats.org/officeDocument/2006/relationships/hyperlink" Target="https://artechnologie13.sharepoint.com/sites/Bureaud'tudeAR-TECHNOLOGIE/DOSSIER%20POI/Forms/AllItems.aspx?id=%2Fsites%2FBureaud%27tudeAR%2DTECHNOLOGIE%2FDOSSIER%20POI%2FMDM%2DDAX%2FIMI%2DVA%2D40062%2D0051%2D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0" Type="http://schemas.openxmlformats.org/officeDocument/2006/relationships/hyperlink" Target="https://artechnologie13.sharepoint.com/sites/Bureaud'tudeAR-TECHNOLOGIE/DOSSIER%20POI/Forms/AllItems.aspx?id=%2Fsites%2FBureaud%27tudeAR%2DTECHNOLOGIE%2FDOSSIER%20POI%2FMDM%2DDAX%2FIMI%2DVA%2D64125%2D00O1%2D1&amp;sortField=Modified&amp;isAscending=false&amp;viewid=ba243776%2Df837%2D4ace%2D8ee9%2D939a5753cc77" TargetMode="External"/><Relationship Id="rId45" Type="http://schemas.openxmlformats.org/officeDocument/2006/relationships/hyperlink" Target="https://artechnologie13.sharepoint.com/sites/Bureaud'tudeAR-TECHNOLOGIE/DOSSIER%20POI/Forms/AllItems.aspx?id=%2Fsites%2FBureaud%27tudeAR%2DTECHNOLOGIE%2FDOSSIER%20POI%2FMDM%2DDAX%2FIMI%2DVA%2D64024%2D02RM%2D1&amp;viewid=ba243776%2Df837%2D4ace%2D8ee9%2D939a5753cc77" TargetMode="External"/><Relationship Id="rId53" Type="http://schemas.openxmlformats.org/officeDocument/2006/relationships/hyperlink" Target="https://artechnologie13.sharepoint.com/sites/Bureaud%27tudeAR-TECHNOLOGIE/DOSSIER%20POI/Forms/AllItems.aspx?id=%2Fsites%2FBureaud%27tudeAR%2DTECHNOLOGIE%2FDOSSIER%20POI%2FMDM%2DDAX%2FIMI%2DVA%2D64483%2D00GZ%2D1&amp;sortField=Modified&amp;isAscending=false&amp;viewid=ba243776%2Df837%2D4ace%2D8ee9%2D939a5753cc77&amp;p=true" TargetMode="External"/><Relationship Id="rId58" Type="http://schemas.openxmlformats.org/officeDocument/2006/relationships/hyperlink" Target="https://artechnologie13.sharepoint.com/sites/Bureaud'tudeAR-TECHNOLOGIE/DOSSIER%20POI/Forms/AllItems.aspx?id=%2Fsites%2FBureaud%27tudeAR%2DTECHNOLOGIE%2FDOSSIER%20POI%2FMDM%2DDAX%2FIMI%2DVA%2D64024%2D03RO%2D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5" Type="http://schemas.openxmlformats.org/officeDocument/2006/relationships/hyperlink" Target="https://artechnologie13.sharepoint.com/sites/Bureaud'tudeAR-TECHNOLOGIE/DOSSIER%20POI/Forms/AllItems.aspx?id=%2Fsites%2FBureaud%27tudeAR%2DTECHNOLOGIE%2FDOSSIER%20POI%2FMDM%2FIMI%2DVA%2D40179%5F00LQ%2D3&amp;viewid=ba243776%2Df837%2D4ace%2D8ee9%2D939a5753cc77" TargetMode="External"/><Relationship Id="rId61" Type="http://schemas.openxmlformats.org/officeDocument/2006/relationships/hyperlink" Target="https://artechnologie13.sharepoint.com/sites/Bureaud%27tudeAR-TECHNOLOGIE/DOSSIER%20POI/Forms/AllItems.aspx?id=%2Fsites%2FBureaud%27tudeAR%2DTECHNOLOGIE%2FDOSSIER%20POI%2FMDM%2DDAX%2FIMI%2DVA%2D40088%2D06KT%2D1%2Fretour%20vt&amp;sortField=Modified&amp;isAscending=false&amp;viewid=ba243776%2Df837%2D4ace%2D8ee9%2D939a5753cc77&amp;p=true" TargetMode="External"/><Relationship Id="rId19" Type="http://schemas.openxmlformats.org/officeDocument/2006/relationships/hyperlink" Target="https://artechnologie13.sharepoint.com/sites/Bureaud'tudeAR-TECHNOLOGIE/DOSSIER%20POI/Forms/AllItems.aspx?id=%2Fsites%2FBureaud%27tudeAR%2DTECHNOLOGIE%2FDOSSIER%20POI%2FMDM%2DDAX%2FIMI%2DVA%2D40125%2D01VF%2D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14" Type="http://schemas.openxmlformats.org/officeDocument/2006/relationships/hyperlink" Target="https://artechnologie13.sharepoint.com/sites/Bureaud'tudeAR-TECHNOLOGIE/DOSSIER%20POI/Forms/AllItems.aspx?FolderCTID=0x0120001BD1B7A29D5EA04EB7553F36EEAEE8D2&amp;id=%2Fsites%2FBureaud%27tudeAR%2DTECHNOLOGIE%2FDOSSIER%20POI%2FMDM%2DDAX%2FIMI%2DVA%2D40114%20017V%2D1&amp;viewid=ba243776%2Df837%2D4ace%2D8ee9%2D939a5753cc77" TargetMode="External"/><Relationship Id="rId22" Type="http://schemas.openxmlformats.org/officeDocument/2006/relationships/hyperlink" Target="https://artechnologie13.sharepoint.com/sites/Bureaud'tudeAR-TECHNOLOGIE/DOSSIER%20POI/Forms/AllItems.aspx?id=%2Fsites%2FBureaud%27tudeAR%2DTECHNOLOGIE%2FDOSSIER%20POI%2FSPI%2040%2D64%2FIMI%2DVA%2D64024%2D06OS%2D1&amp;newTargetListUrl=%2Fsites%2FBureaud%27tudeAR%2DTECHNOLOGIE%2FDOSSIER%20POI&amp;viewpath=%2Fsites%2FBureaud%27tudeAR%2DTECHNOLOGIE%2FDOSSIER%20POI%2FForms%2FAllItems%2Easpx" TargetMode="External"/><Relationship Id="rId27" Type="http://schemas.openxmlformats.org/officeDocument/2006/relationships/hyperlink" Target="https://artechnologie13.sharepoint.com/:f:/r/sites/Bureaud%27tudeAR-TECHNOLOGIE/DOSSIER%20POI/BAY/IMI-VA-64102-01VV-1?csf=1&amp;web=1&amp;e=hwqexl" TargetMode="External"/><Relationship Id="rId30" Type="http://schemas.openxmlformats.org/officeDocument/2006/relationships/hyperlink" Target="https://artechnologie13.sharepoint.com/sites/Bureaud'tudeAR-TECHNOLOGIE/DOSSIER%20POI/Forms/AllItems.aspx?id=%2Fsites%2FBureaud%27tudeAR%2DTECHNOLOGIE%2FDOSSIER%20POI%2FMDM%2DDAX%2FIMI%2DVA%2D40202%2D01WO%2D1&amp;viewid=ba243776%2Df837%2D4ace%2D8ee9%2D939a5753cc77&amp;q=01WO&amp;view=7" TargetMode="External"/><Relationship Id="rId35" Type="http://schemas.openxmlformats.org/officeDocument/2006/relationships/hyperlink" Target="https://artechnologie13.sharepoint.com/sites/Bureaud'tudeAR-TECHNOLOGIE/DOSSIER%20POI/Forms/AllItems.aspx?id=%2Fsites%2FBureaud%27tudeAR%2DTECHNOLOGIE%2FDOSSIER%20POI%2FMDM%2DDAX%2FIMI%2DVA%2D64024%2D02Y4%2D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3" Type="http://schemas.openxmlformats.org/officeDocument/2006/relationships/hyperlink" Target="https://artechnologie13.sharepoint.com/:f:/s/Bureaud'tudeAR-TECHNOLOGIE/IgBclpuct90tTZSW5E5wxD7eAWS2mnfEZRC-vovWbQtWmx8?e=WiMoTt" TargetMode="External"/><Relationship Id="rId48" Type="http://schemas.openxmlformats.org/officeDocument/2006/relationships/hyperlink" Target="https://artechnologie13.sharepoint.com/:f:/s/Bureaud'tudeAR-TECHNOLOGIE/IgAwDa_bRnzvSqnOPHNezrIVAUtAFlexTn-iZ7xeu4aZPsQ?e=JWKV6t" TargetMode="External"/><Relationship Id="rId56" Type="http://schemas.openxmlformats.org/officeDocument/2006/relationships/hyperlink" Target="https://artechnologie13.sharepoint.com/sites/Bureaud%27tudeAR-TECHNOLOGIE/DOSSIER%20POI/Forms/AllItems.aspx?id=%2Fsites%2FBureaud%27tudeAR%2DTECHNOLOGIE%2FDOSSIER%20POI%2FMDM%2DDAX%2FIMI%2DVA%2D40279%2D055B%2D1&amp;sortField=Modified&amp;isAscending=false&amp;viewid=ba243776%2Df837%2D4ace%2D8ee9%2D939a5753cc77&amp;p=true" TargetMode="External"/><Relationship Id="rId64" Type="http://schemas.openxmlformats.org/officeDocument/2006/relationships/vmlDrawing" Target="../drawings/vmlDrawing4.vml"/><Relationship Id="rId8" Type="http://schemas.openxmlformats.org/officeDocument/2006/relationships/hyperlink" Target="https://artechnologie13.sharepoint.com/sites/Bureaud'tudeAR-TECHNOLOGIE/DOSSIER%20POI/Forms/AllItems.aspx?id=%2Fsites%2FBureaud%27tudeAR%2DTECHNOLOGIE%2FDOSSIER%20POI%2FBAY%2FIMI%2DVA%2D64122%2D02WK%2D1&amp;viewid=ba243776%2Df837%2D4ace%2D8ee9%2D939a5753cc77" TargetMode="External"/><Relationship Id="rId51" Type="http://schemas.openxmlformats.org/officeDocument/2006/relationships/hyperlink" Target="https://artechnologie13.sharepoint.com/sites/Bureaud%27tudeAR-TECHNOLOGIE/DOSSIER%20POI/Forms/AllItems.aspx?id=%2Fsites%2FBureaud%27tudeAR%2DTECHNOLOGIE%2FDOSSIER%20POI%2FMDM%2DDAX%2FIMI%2DVA%2D40114%2D017F&amp;sortField=Modified&amp;isAscending=false&amp;viewid=ba243776%2Df837%2D4ace%2D8ee9%2D939a5753cc77&amp;p=true" TargetMode="External"/><Relationship Id="rId3" Type="http://schemas.openxmlformats.org/officeDocument/2006/relationships/hyperlink" Target="https://artechnologie13.sharepoint.com/sites/Bureaud'tudeAR-TECHNOLOGIE/DOSSIER%20POI/Forms/AllItems.aspx?id=%2Fsites%2FBureaud%27tudeAR%2DTECHNOLOGIE%2FDOSSIER%20POI%2FSPI%2040%2D64%2FIMI%2DVA%2D64122%20048T%2D1&amp;sortField=Modified&amp;isAscending=false&amp;viewid=ba243776%2Df837%2D4ace%2D8ee9%2D939a5753cc77" TargetMode="External"/><Relationship Id="rId12" Type="http://schemas.openxmlformats.org/officeDocument/2006/relationships/hyperlink" Target="https://artechnologie13.sharepoint.com/sites/Bureaud'tudeAR-TECHNOLOGIE/DOSSIER%20POI/Forms/AllItems.aspx?id=%2Fsites%2FBureaud%27tudeAR%2DTECHNOLOGIE%2FDOSSIER%20POI%2FSPI%2040%2D64%2FIMI%2DVA%2D64024%2D02WH&amp;newTargetListUrl=%2Fsites%2FBureaud%27tudeAR%2DTECHNOLOGIE%2FDOSSIER%20POI&amp;viewpath=%2Fsites%2FBureaud%27tudeAR%2DTECHNOLOGIE%2FDOSSIER%20POI%2FForms%2FAllItems%2Easpx" TargetMode="External"/><Relationship Id="rId17"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id=%2Fsites%2FBureaud%27tudeAR%2DTECHNOLOGIE%2FDOSSIER%20POI%2FDAX%2FIMI%2DVA%2D4027915NT%2D1&amp;viewid=ba243776%2Df837%2D4ace%2D8ee9%2D939a5753cc77" TargetMode="External"/><Relationship Id="rId25" Type="http://schemas.openxmlformats.org/officeDocument/2006/relationships/hyperlink" Target="https://artechnologie13.sharepoint.com/sites/Bureaud'tudeAR-TECHNOLOGIE/DOSSIER%20POI/Forms/AllItems.aspx?id=%2Fsites%2FBureaud%27tudeAR%2DTECHNOLOGIE%2FDOSSIER%20POI%2FSPI%2040%2D64%2FIMI%2DVA%2D40114%2D018K%2D2&amp;viewid=ba243776%2Df837%2D4ace%2D8ee9%2D939a5753cc77" TargetMode="External"/><Relationship Id="rId33" Type="http://schemas.openxmlformats.org/officeDocument/2006/relationships/hyperlink" Target="https://artechnologie13.sharepoint.com/sites/Bureaud'tudeAR-TECHNOLOGIE/DOSSIER%20POI/Forms/AllItems.aspx?id=%2Fsites%2FBureaud%27tudeAR%2DTECHNOLOGIE%2FDOSSIER%20POI%2FMDM%2DDAX%2FIMI%2DVA%2D40123%2D01PE%2D1&amp;viewid=ba243776%2Df837%2D4ace%2D8ee9%2D939a5753cc77&amp;view=0" TargetMode="External"/><Relationship Id="rId38" Type="http://schemas.openxmlformats.org/officeDocument/2006/relationships/hyperlink" Target="https://artechnologie13.sharepoint.com/:f:/s/Bureaud'tudeAR-TECHNOLOGIE/IgBi8a-aLVFMSJUYHZOE2tG5AU7v83LuFROSnwa7HCnM7lk?e=qOvr0h" TargetMode="External"/><Relationship Id="rId46" Type="http://schemas.openxmlformats.org/officeDocument/2006/relationships/hyperlink" Target="https://artechnologie13.sharepoint.com/sites/Bureaud'tudeAR-TECHNOLOGIE/DOSSIER%20POI/Forms/AllItems.aspx?id=%2Fsites%2FBureaud%27tudeAR%2DTECHNOLOGIE%2FDOSSIER%20POI%2FMDM%2DDAX%2FIMI%2DVA%2D40050%2D0017%2D1&amp;sortField=Modified&amp;isAscending=false&amp;viewid=ba243776%2Df837%2D4ace%2D8ee9%2D939a5753cc77" TargetMode="External"/><Relationship Id="rId59" Type="http://schemas.openxmlformats.org/officeDocument/2006/relationships/hyperlink" Target="https://artechnologie13.sharepoint.com/sites/Bureaud'tudeAR-TECHNOLOGIE/DOSSIER%20POI/Forms/AllItems.aspx?id=%2Fsites%2FBureaud%27tudeAR%2DTECHNOLOGIE%2FDOSSIER%20POI%2FMDM%2DDAX%2FIMI%2DVA%2D40280%2D00C8%2D2&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20" Type="http://schemas.openxmlformats.org/officeDocument/2006/relationships/hyperlink" Target="https://artechnologie13.sharepoint.com/sites/Bureaud'tudeAR-TECHNOLOGIE/DOSSIER%20POI/Forms/AllItems.aspx?id=%2Fsites%2FBureaud%27tudeAR%2DTECHNOLOGIE%2FDOSSIER%20POI%2FSPI%2040%2D64%2FIMI%2DVA%2D40234%2D00CO%2D1&amp;newTargetListUrl=%2Fsites%2FBureaud%27tudeAR%2DTECHNOLOGIE%2FDOSSIER%20POI&amp;viewpath=%2Fsites%2FBureaud%27tudeAR%2DTECHNOLOGIE%2FDOSSIER%20POI%2FForms%2FAllItems%2Easpx" TargetMode="External"/><Relationship Id="rId41" Type="http://schemas.openxmlformats.org/officeDocument/2006/relationships/hyperlink" Target="https://artechnologie13.sharepoint.com/:f:/s/Bureaud'tudeAR-TECHNOLOGIE/IgBJI3i6QcOVS6eIF43hwF1gAeXJwOI6kd1R4aCAwPWy3RU?e=tXnqc0" TargetMode="External"/><Relationship Id="rId54" Type="http://schemas.openxmlformats.org/officeDocument/2006/relationships/hyperlink" Target="https://artechnologie13.sharepoint.com/sites/Bureaud%27tudeAR-TECHNOLOGIE/DOSSIER%20POI/Forms/AllItems.aspx?id=%2Fsites%2FBureaud%27tudeAR%2DTECHNOLOGIE%2FDOSSIER%20POI%2FMDM%2DDAX%2FIMI%2DVA%2D40139%2D0072%2D1%2FRETOUR%20VT&amp;sortField=Modified&amp;isAscending=false&amp;viewid=ba243776%2Df837%2D4ace%2D8ee9%2D939a5753cc77&amp;p=true" TargetMode="External"/><Relationship Id="rId62" Type="http://schemas.openxmlformats.org/officeDocument/2006/relationships/hyperlink" Target="https://artechnologie13.sharepoint.com/sites/Bureaud%27tudeAR-TECHNOLOGIE/DOSSIER%20POI/Forms/AllItems.aspx?id=%2Fsites%2FBureaud%27tudeAR%2DTECHNOLOGIE%2FDOSSIER%20POI%2FMDM%2DDAX%2FIMI%2DVA%2D40123%2D01P6%2D1&amp;sortField=Modified&amp;isAscending=false&amp;viewid=ba243776%2Df837%2D4ace%2D8ee9%2D939a5753cc77&amp;p=true" TargetMode="External"/><Relationship Id="rId1" Type="http://schemas.openxmlformats.org/officeDocument/2006/relationships/hyperlink" Target="https://artechnologie13.sharepoint.com/sites/Bureaud'tudeAR-TECHNOLOGIE/DOSSIER%20POI/Forms/AllItems.aspx?id=%2Fsites%2FBureaud%27tudeAR%2DTECHNOLOGIE%2FDOSSIER%20POI%2FSPI%2040%2D64%2FIMI%2DVA%2D40234%200083%2D1&amp;sortField=Modified&amp;isAscending=false&amp;viewid=ba243776%2Df837%2D4ace%2D8ee9%2D939a5753cc77" TargetMode="External"/><Relationship Id="rId6" Type="http://schemas.openxmlformats.org/officeDocument/2006/relationships/hyperlink" Target="https://artechnologie13.sharepoint.com/sites/Bureaud'tudeAR-TECHNOLOGIE/DOSSIER%20POI/Forms/AllItems.aspx?id=%2Fsites%2FBureaud%27tudeAR%2DTECHNOLOGIE%2FDOSSIER%20POI%2FMDM%2DDAX%2FIMI%2DVA%2D40234%20007H%2D1&amp;sortField=Modified&amp;isAscending=false&amp;viewid=ba243776%2Df837%2D4ace%2D8ee9%2D939a5753cc77&amp;csf=1&amp;web=1&amp;e=y4OGff&amp;CID=ab2d9a8e%2Dee52%2D4631%2Dbe44%2Dd17830824ca2&amp;FolderCTID=0x0120001BD1B7A29D5EA04EB7553F36EEAEE8D2" TargetMode="External"/><Relationship Id="rId15" Type="http://schemas.openxmlformats.org/officeDocument/2006/relationships/hyperlink" Target="https://artechnologie13.sharepoint.com/sites/Bureaud%27tudeAR-TECHNOLOGIE/DOSSIER%20POI/Forms/AllItems.aspx?id=%2Fsites%2FBureaud%27tudeAR%2DTECHNOLOGIE%2FDOSSIER%20POI%2FMDM%2DDAX%2FIMI%2DVA%2D40123%2001KZ%2D1&amp;sortField=Modified&amp;isAscending=false&amp;viewid=ba243776%2Df837%2D4ace%2D8ee9%2D939a5753cc77&amp;csf=1&amp;web=1&amp;e=y4OGff&amp;CID=ab2d9a8e%2Dee52%2D4631%2Dbe44%2Dd17830824ca2&amp;FolderCTID=0x0120001BD1B7A29D5EA04EB7553F36EEAEE8D2&amp;noAuthRedirect=1" TargetMode="External"/><Relationship Id="rId23" Type="http://schemas.openxmlformats.org/officeDocument/2006/relationships/hyperlink" Target="https://artechnologie13.sharepoint.com/sites/Bureaud'tudeAR-TECHNOLOGIE/DOSSIER%20POI/Forms/AllItems.aspx?id=%2Fsites%2FBureaud%27tudeAR%2DTECHNOLOGIE%2FDOSSIER%20POI%2FSPI%2040%2D64%2FIMI%2DVA%2D40280%2D00HH%2D1&amp;sortField=Modified&amp;isAscending=false&amp;viewid=ba243776%2Df837%2D4ace%2D8ee9%2D939a5753cc77" TargetMode="External"/><Relationship Id="rId28" Type="http://schemas.openxmlformats.org/officeDocument/2006/relationships/hyperlink" Target="https://artechnologie13.sharepoint.com/:f:/r/sites/Bureaud%27tudeAR-TECHNOLOGIE/DOSSIER%20POI/MDM-DAX/IMI-VA-40114-018I-2?csf=1&amp;web=1&amp;e=iSjf18" TargetMode="External"/><Relationship Id="rId36" Type="http://schemas.openxmlformats.org/officeDocument/2006/relationships/hyperlink" Target="https://artechnologie13.sharepoint.com/sites/Bureaud'tudeAR-TECHNOLOGIE/DOSSIER%20POI/Forms/AllItems.aspx?id=%2Fsites%2FBureaud%27tudeAR%2DTECHNOLOGIE%2FDOSSIER%20POI%2FMDM%2DDAX%2FIMI%2DVA%2D40192%2D0860%2D1&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9" Type="http://schemas.openxmlformats.org/officeDocument/2006/relationships/hyperlink" Target="https://artechnologie13.sharepoint.com/:f:/s/Bureaud'tudeAR-TECHNOLOGIE/IgBbOEMxMwThR4TYcKz2qkTyARzZW9auLzOcobRE_MFokSE?e=B5IllW" TargetMode="External"/><Relationship Id="rId57" Type="http://schemas.openxmlformats.org/officeDocument/2006/relationships/hyperlink" Target="https://artechnologie13.sharepoint.com/:f:/s/Bureaud'tudeAR-TECHNOLOGIE/IgBlAyxou9GVTIHCUnEOJzvOAWVH_paBiR2OtDyNlslZajQ?e=iIiQlI" TargetMode="External"/><Relationship Id="rId10" Type="http://schemas.openxmlformats.org/officeDocument/2006/relationships/hyperlink" Target="https://artechnologie13.sharepoint.com/sites/Bureaud%27tudeAR-TECHNOLOGIE/DOSSIER%20POI/Forms/AllItems.aspx?isAscending=false&amp;id=%2Fsites%2FBureaud%27tudeAR%2DTECHNOLOGIE%2FDOSSIER%20POI%2FBAY%2FIMI%2DVA%2D64122%2000RM%2D1&amp;sortField=Modified&amp;viewid=ba243776%2Df837%2D4ace%2D8ee9%2D939a5753cc77" TargetMode="External"/><Relationship Id="rId31" Type="http://schemas.openxmlformats.org/officeDocument/2006/relationships/hyperlink" Target="https://artechnologie13.sharepoint.com/sites/Bureaud'tudeAR-TECHNOLOGIE/DOSSIER%20POI/Forms/AllItems.aspx?id=%2Fsites%2FBureaud%27tudeAR%2DTECHNOLOGIE%2FDOSSIER%20POI%2FMDM%2DDAX%2FIMI%2DVA%2D64260%2D01SW%2D1&amp;viewid=ba243776%2Df837%2D4ace%2D8ee9%2D939a5753cc77&amp;q=01SW&amp;view=7" TargetMode="External"/><Relationship Id="rId44" Type="http://schemas.openxmlformats.org/officeDocument/2006/relationships/hyperlink" Target="https://artechnologie13.sharepoint.com/sites/Bureaud'tudeAR-TECHNOLOGIE/DOSSIER%20POI/Forms/AllItems.aspx?id=%2Fsites%2FBureaud%27tudeAR%2DTECHNOLOGIE%2FDOSSIER%20POI%2FMDM%2DDAX%2FIMI%2DVA%2D64122%2D03DM%2D1&amp;viewid=ba243776%2Df837%2D4ace%2D8ee9%2D939a5753cc77" TargetMode="External"/><Relationship Id="rId52" Type="http://schemas.openxmlformats.org/officeDocument/2006/relationships/hyperlink" Target="https://artechnologie13.sharepoint.com/sites/Bureaud%27tudeAR-TECHNOLOGIE/DOSSIER%20POI/Forms/AllItems.aspx?id=%2Fsites%2FBureaud%27tudeAR%2DTECHNOLOGIE%2FDOSSIER%20POI%2FMDM%2DDAX%2FIMI%2DVA%2D40320%2D004A%2D1&amp;sortField=Modified&amp;isAscending=false&amp;viewid=ba243776%2Df837%2D4ace%2D8ee9%2D939a5753cc77&amp;p=true" TargetMode="External"/><Relationship Id="rId60" Type="http://schemas.openxmlformats.org/officeDocument/2006/relationships/hyperlink" Target="https://artechnologie13.sharepoint.com/sites/Bureaud%27tudeAR-TECHNOLOGIE/DOSSIER%20POI/Forms/AllItems.aspx?id=%2Fsites%2FBureaud%27tudeAR%2DTECHNOLOGIE%2FDOSSIER%20POI%2FMDM%2DDAX%2FIMI%2DVA%2D40279%2D15PU%2D1%2FRETOUR%20VT&amp;sortField=Modified&amp;isAscending=false&amp;viewid=ba243776%2Df837%2D4ace%2D8ee9%2D939a5753cc77&amp;p=true" TargetMode="External"/><Relationship Id="rId65" Type="http://schemas.openxmlformats.org/officeDocument/2006/relationships/comments" Target="../comments4.xml"/><Relationship Id="rId4" Type="http://schemas.openxmlformats.org/officeDocument/2006/relationships/hyperlink" Target="https://artechnologie13.sharepoint.com/sites/Bureaud'tudeAR-TECHNOLOGIE/DOSSIER%20POI/Forms/AllItems.aspx?id=%2Fsites%2FBureaud%27tudeAR%2DTECHNOLOGIE%2FDOSSIER%20POI%2FMDM%2FIMI%2DVA%2D40123%2D01O5%2D1&amp;viewid=ba243776%2Df837%2D4ace%2D8ee9%2D939a5753cc77" TargetMode="External"/><Relationship Id="rId9" Type="http://schemas.openxmlformats.org/officeDocument/2006/relationships/hyperlink" Target="https://artechnologie13.sharepoint.com/sites/Bureaud'tudeAR-TECHNOLOGIE/DOSSIER%20POI/Forms/AllItems.aspx?id=%2Fsites%2FBureaud%27tudeAR%2DTECHNOLOGIE%2FDOSSIER%20POI%2FBAY%2FIMI%2DVA%2D640240%2D4RO%2D2&amp;viewid=ba243776%2Df837%2D4ace%2D8ee9%2D939a5753cc77" TargetMode="External"/><Relationship Id="rId13" Type="http://schemas.openxmlformats.org/officeDocument/2006/relationships/hyperlink" Target="https://artechnologie13.sharepoint.com/sites/Bureaud'tudeAR-TECHNOLOGIE/DOSSIER%20POI/Forms/AllItems.aspx?id=%2Fsites%2FBureaud%27tudeAR%2DTECHNOLOGIE%2FDOSSIER%20POI%2FMDM%2DDAX%2FIMI%2DVA%2D40283%2011Q1%2D1&amp;view=0" TargetMode="External"/><Relationship Id="rId18" Type="http://schemas.openxmlformats.org/officeDocument/2006/relationships/hyperlink" Target="https://artechnologie13.sharepoint.com/sites/Bureaud'tudeAR-TECHNOLOGIE/DOSSIER%20POI/Forms/AllItems.aspx?id=%2Fsites%2FBureaud%27tudeAR%2DTECHNOLOGIE%2FDOSSIER%20POI%2FMDM%2DDAX%2FIMI%2DVA%2D40139%20006Y%2D1&amp;sortField=Modified&amp;isAscending=false&amp;viewid=ba243776%2Df837%2D4ace%2D8ee9%2D939a5753cc77&amp;csf=1&amp;web=1&amp;e=y4OGff&amp;CID=ab2d9a8e%2Dee52%2D4631%2Dbe44%2Dd17830824ca2&amp;FolderCTID=0x0120001BD1B7A29D5EA04EB7553F36EEAEE8D2" TargetMode="External"/><Relationship Id="rId39" Type="http://schemas.openxmlformats.org/officeDocument/2006/relationships/hyperlink" Target="https://artechnologie13.sharepoint.com/:f:/s/Bureaud'tudeAR-TECHNOLOGIE/IgBQIpmvwaYGT6wQXWwGYxnnAfeCm02HsbDmmlx2jjVyOw0?e=DvpUp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artechnologie13.sharepoint.com/sites/Bureaud'tudeAR-TECHNOLOGIE/DOSSIER%20POI/Forms/AllItems.aspx?id=%2Fsites%2FBureaud%27tudeAR%2DTECHNOLOGIE%2FDOSSIER%20POI%2FMEN%2FALE500147&amp;sortField=Modified&amp;isAscending=false&amp;viewid=ba243776%2Df837%2D4ace%2D8ee9%2D939a5753cc77" TargetMode="External"/><Relationship Id="rId2" Type="http://schemas.openxmlformats.org/officeDocument/2006/relationships/hyperlink" Target="https://artechnologie13.sharepoint.com/sites/Bureaud'tudeAR-TECHNOLOGIE/DOSSIER%20POI/Forms/AllItems.aspx?id=%2Fsites%2FBureaud%27tudeAR%2DTECHNOLOGIE%2FDOSSIER%20POI%2FMEN%2FALE500147&amp;sortField=Modified&amp;isAscending=false&amp;viewid=ba243776%2Df837%2D4ace%2D8ee9%2D939a5753cc77" TargetMode="External"/><Relationship Id="rId1" Type="http://schemas.openxmlformats.org/officeDocument/2006/relationships/hyperlink" Target="https://artechnologie13.sharepoint.com/:f:/r/sites/Bureaud%27tudeAR-TECHNOLOGIE/DOSSIER%20POI/ROD/ROD500059?csf=1&amp;web=1&amp;e=RCgaYq" TargetMode="External"/><Relationship Id="rId5" Type="http://schemas.openxmlformats.org/officeDocument/2006/relationships/hyperlink" Target="https://artechnologie13.sharepoint.com/sites/Bureaud%27tudeAR-TECHNOLOGIE/DOSSIER%20POI/Forms/AllItems.aspx?id=%2Fsites%2FBureaud%27tudeAR%2DTECHNOLOGIE%2FDOSSIER%20POI%2FQPR%20%2D%20CRO%2FQPR600185&amp;sortField=Modified&amp;isAscending=false&amp;viewid=ba243776%2Df837%2D4ace%2D8ee9%2D939a5753cc77&amp;FolderCTID=0x0120001BD1B7A29D5EA04EB7553F36EEAEE8D2" TargetMode="External"/><Relationship Id="rId4" Type="http://schemas.openxmlformats.org/officeDocument/2006/relationships/hyperlink" Target="https://artechnologie13.sharepoint.com/sites/Bureaud'tudeAR-TECHNOLOGIE/DOSSIER%20POI/Forms/AllItems.aspx?id=%2Fsites%2FBureaud%27tudeAR%2DTECHNOLOGIE%2FDOSSIER%20POI%2FMEN%2FMPL401457&amp;sortField=Modified&amp;isAscending=false&amp;viewid=ba243776%2Df837%2D4ace%2D8ee9%2D939a5753cc77" TargetMode="Externa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6" Type="http://schemas.openxmlformats.org/officeDocument/2006/relationships/hyperlink" Target="https://artechnologie13.sharepoint.com/sites/Bureaud'tudeAR-TECHNOLOGIE/DOSSIER%20POI/Forms/AllItems.aspx?view=7&amp;q=IMI%2DVS%2D35238%2FJT0H%2D1" TargetMode="External"/><Relationship Id="rId117" Type="http://schemas.openxmlformats.org/officeDocument/2006/relationships/hyperlink" Target="Forms/AllItems.aspx?id=%2Fsites%2FBureaud%27tudeAR%2DTECHNOLOGIE%2FDOSSIER%20POI%2FSPI%20Bretagne%2FIMI%2DVS%2D35238JW4I%2D1&amp;newTargetListUrl=%2Fsites%2FBureaud%27tudeAR%2DTECHNOLOGIE%2FDOSSIER%20POI&amp;viewpath=%2Fsites%2FBureaud%27tudeAR%2DTECHNOLOGIE%2FDOSSIER%20POI%2FForms%2FAllItems%2Easpx" TargetMode="External"/><Relationship Id="rId21"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view=7&amp;q=IMI%2DVS%2D35238%2FJTF5%2D1" TargetMode="External"/><Relationship Id="rId42" Type="http://schemas.openxmlformats.org/officeDocument/2006/relationships/hyperlink" Target="https://artechnologie13.sharepoint.com/sites/Bureaud'tudeAR-TECHNOLOGIE/DOSSIER%20POI/Forms/AllItems.aspx?id=%2Fsites%2FBureaud%27tudeAR%2DTECHNOLOGIE%2FDOSSIER%20POI%2FSPI%20Bretagne%2FIMI%2DVS%2D5618100G2%2D1&amp;viewid=ba243776%2Df837%2D4ace%2D8ee9%2D939a5753cc77&amp;view=0" TargetMode="External"/><Relationship Id="rId47" Type="http://schemas.openxmlformats.org/officeDocument/2006/relationships/hyperlink" Target="https://artechnologie13.sharepoint.com/sites/Bureaud'tudeAR-TECHNOLOGIE/DOSSIER%20POI/Forms/AllItems.aspx?id=%2Fsites%2FBureaud%27tudeAR%2DTECHNOLOGIE%2FDOSSIER%20POI%2FSPI%20Bretagne%2FIMI%2DVE%2D56083052O%2D1&amp;viewid=ba243776%2Df837%2D4ace%2D8ee9%2D939a5753cc77" TargetMode="External"/><Relationship Id="rId63" Type="http://schemas.openxmlformats.org/officeDocument/2006/relationships/hyperlink" Target="https://artechnologie13.sharepoint.com/sites/Bureaud'tudeAR-TECHNOLOGIE/DOSSIER%20POI/Forms/AllItems.aspx?id=%2Fsites%2FBureaud%27tudeAR%2DTECHNOLOGIE%2FDOSSIER%20POI%2FSPI%20Bretagne%2FIMI%2DVS%2D5616206YJ%2D1&amp;newTargetListUrl=%2Fsites%2FBureaud%27tudeAR%2DTECHNOLOGIE%2FDOSSIER%20POI&amp;viewpath=%2Fsites%2FBureaud%27tudeAR%2DTECHNOLOGIE%2FDOSSIER%20POI%2FForms%2FAllItems%2Easpx" TargetMode="External"/><Relationship Id="rId68" Type="http://schemas.openxmlformats.org/officeDocument/2006/relationships/hyperlink" Target="https://artechnologie13.sharepoint.com/sites/Bureaud'tudeAR-TECHNOLOGIE/DOSSIER%20POI/Forms/AllItems.aspx?id=%2Fsites%2FBureaud%27tudeAR%2DTECHNOLOGIE%2FDOSSIER%20POI%2FSPI%20Bretagne%2FIMI%2DVE%2D29232057G%2D3&amp;newTargetListUrl=%2Fsites%2FBureaud%27tudeAR%2DTECHNOLOGIE%2FDOSSIER%20POI&amp;viewpath=%2Fsites%2FBureaud%27tudeAR%2DTECHNOLOGIE%2FDOSSIER%20POI%2FForms%2FAllItems%2Easpx" TargetMode="External"/><Relationship Id="rId84" Type="http://schemas.openxmlformats.org/officeDocument/2006/relationships/hyperlink" Target="https://artechnologie13.sharepoint.com/sites/Bureaud'tudeAR-TECHNOLOGIE/DOSSIER%20POI/Forms/AllItems.aspx?id=%2Fsites%2FBureaud%27tudeAR%2DTECHNOLOGIE%2FDOSSIER%20POI%2FSPI%20Bretagne%2FIMI%2DVE%2D3536002G3%2D2&amp;newTargetListUrl=%2Fsites%2FBureaud%27tudeAR%2DTECHNOLOGIE%2FDOSSIER%20POI&amp;viewpath=%2Fsites%2FBureaud%27tudeAR%2DTECHNOLOGIE%2FDOSSIER%20POI%2FForms%2FAllItems%2Easpx" TargetMode="External"/><Relationship Id="rId89" Type="http://schemas.openxmlformats.org/officeDocument/2006/relationships/hyperlink" Target="https://artechnologie13.sharepoint.com/sites/Bureaud'tudeAR-TECHNOLOGIE/DOSSIER%20POI/Forms/AllItems.aspx?id=%2Fsites%2FBureaud%27tudeAR%2DTECHNOLOGIE%2FDOSSIER%20POI%2FSPI%20Bretagne%2FIMI%2DVS%2D3502402AB%2D1&amp;newTargetListUrl=%2Fsites%2FBureaud%27tudeAR%2DTECHNOLOGIE%2FDOSSIER%20POI&amp;viewpath=%2Fsites%2FBureaud%27tudeAR%2DTECHNOLOGIE%2FDOSSIER%20POI%2FForms%2FAllItems%2Easpx" TargetMode="External"/><Relationship Id="rId112" Type="http://schemas.openxmlformats.org/officeDocument/2006/relationships/hyperlink" Target="../../Bureaud%27tudeAR-TECHNOLOGIE/DOSSIER%20POI/Forms/AllItems.aspx?id=%2Fsites%2FBureaud%27tudeAR%2DTECHNOLOGIE%2FDOSSIER%20POI%2FSPI%20Bretagne%2FIMI%2DVS%2D35238JGJH%2D1%2FIMI%2DVS%2D35238JWUD%2D1&amp;viewid=ba243776%2Df837%2D4ace%2D8ee9%2D939a5753cc77" TargetMode="External"/><Relationship Id="rId16" Type="http://schemas.openxmlformats.org/officeDocument/2006/relationships/hyperlink" Target="https://artechnologie13.sharepoint.com/sites/Bureaud'tudeAR-TECHNOLOGIE/DOSSIER%20POI/Forms/AllItems.aspx?id=%2Fsites%2FBureaud%27tudeAR%2DTECHNOLOGIE%2FDOSSIER%20POI%2FSPI%20Bretagne%2FIMI%2DVS%2D35238JF36%2D1&amp;viewid=ba243776%2Df837%2D4ace%2D8ee9%2D939a5753cc77" TargetMode="External"/><Relationship Id="rId107" Type="http://schemas.openxmlformats.org/officeDocument/2006/relationships/hyperlink" Target="Forms/AllItems.aspx?id=%2Fsites%2FBureaud%27tudeAR%2DTECHNOLOGIE%2FDOSSIER%20POI%2FSPI%20Bretagne%2FIMI%2DVS%2D35238JQUC%2D3&amp;viewid=ba243776%2Df837%2D4ace%2D8ee9%2D939a5753cc77" TargetMode="External"/><Relationship Id="rId11" Type="http://schemas.openxmlformats.org/officeDocument/2006/relationships/hyperlink" Target="https://artechnologie13.sharepoint.com/sites/Bureaud'tudeAR-TECHNOLOGIE/DOSSIER%20POI/Forms/AllItems.aspx?id=%2Fsites%2FBureaud%27tudeAR%2DTECHNOLOGIE%2FDOSSIER%20POI%2FSPI%20Bretagne%2FIMI%2DVS%2D35238000O%2D1&amp;newTargetListUrl=%2Fsites%2FBureaud%27tudeAR%2DTECHNOLOGIE%2FDOSSIER%20POI&amp;viewpath=%2Fsites%2FBureaud%27tudeAR%2DTECHNOLOGIE%2FDOSSIER%20POI%2FForms%2FAllItems%2Easpx" TargetMode="External"/><Relationship Id="rId32" Type="http://schemas.openxmlformats.org/officeDocument/2006/relationships/hyperlink" Target="https://artechnologie13.sharepoint.com/sites/Bureaud'tudeAR-TECHNOLOGIE/DOSSIER%20POI/Forms/AllItems.aspx?id=%2Fsites%2FBureaud%27tudeAR%2DTECHNOLOGIE%2FDOSSIER%20POI%2FSPI%20Bretagne%2FIMI%2DVS%2D35238JX98%2D1&amp;newTargetListUrl=%2Fsites%2FBureaud%27tudeAR%2DTECHNOLOGIE%2FDOSSIER%20POI&amp;viewpath=%2Fsites%2FBureaud%27tudeAR%2DTECHNOLOGIE%2FDOSSIER%20POI%2FForms%2FAllItems%2Easpx" TargetMode="External"/><Relationship Id="rId37" Type="http://schemas.openxmlformats.org/officeDocument/2006/relationships/hyperlink" Target="https://artechnologie13.sharepoint.com/sites/Bureaud'tudeAR-TECHNOLOGIE/DOSSIER%20POI/Forms/AllItems.aspx?id=%2Fsites%2FBureaud%27tudeAR%2DTECHNOLOGIE%2FDOSSIER%20POI%2FSPI%20Bretagne%2FIMI%2DVS%2D292320995%2D2&amp;viewid=ba243776%2Df837%2D4ace%2D8ee9%2D939a5753cc77&amp;view=0" TargetMode="External"/><Relationship Id="rId53" Type="http://schemas.openxmlformats.org/officeDocument/2006/relationships/hyperlink" Target="https://artechnologie13.sharepoint.com/sites/Bureaud'tudeAR-TECHNOLOGIE/DOSSIER%20POI/Forms/AllItems.aspx?id=%2Fsites%2FBureaud%27tudeAR%2DTECHNOLOGIE%2FDOSSIER%20POI%2FSPI%20Bretagne%2FIMI%2DVS%2D5612103HH%2D1&amp;newTargetListUrl=%2Fsites%2FBureaud%27tudeAR%2DTECHNOLOGIE%2FDOSSIER%20POI&amp;viewpath=%2Fsites%2FBureaud%27tudeAR%2DTECHNOLOGIE%2FDOSSIER%20POI%2FForms%2FAllItems%2Easpx" TargetMode="External"/><Relationship Id="rId58" Type="http://schemas.openxmlformats.org/officeDocument/2006/relationships/hyperlink" Target="https://artechnologie13.sharepoint.com/sites/Bureaud'tudeAR-TECHNOLOGIE/DOSSIER%20POI/Forms/AllItems.aspx?id=%2Fsites%2FBureaud%27tudeAR%2DTECHNOLOGIE%2FDOSSIER%20POI%2FSPI%20Bretagne%2FIMI%2DVS%2D56121067E%2D1&amp;newTargetListUrl=%2Fsites%2FBureaud%27tudeAR%2DTECHNOLOGIE%2FDOSSIER%20POI&amp;viewpath=%2Fsites%2FBureaud%27tudeAR%2DTECHNOLOGIE%2FDOSSIER%20POI%2FForms%2FAllItems%2Easpx" TargetMode="External"/><Relationship Id="rId74" Type="http://schemas.openxmlformats.org/officeDocument/2006/relationships/hyperlink" Target="https://artechnologie13.sharepoint.com/sites/Bureaud'tudeAR-TECHNOLOGIE/DOSSIER%20POI/Forms/AllItems.aspx?id=%2Fsites%2FBureaud%27tudeAR%2DTECHNOLOGIE%2FDOSSIER%20POI%2FSPI%20Bretagne%2FIMI%2DVS%2D56260012N%2D1&amp;newTargetListUrl=%2Fsites%2FBureaud%27tudeAR%2DTECHNOLOGIE%2FDOSSIER%20POI&amp;viewpath=%2Fsites%2FBureaud%27tudeAR%2DTECHNOLOGIE%2FDOSSIER%20POI%2FForms%2FAllItems%2Easpx" TargetMode="External"/><Relationship Id="rId79" Type="http://schemas.openxmlformats.org/officeDocument/2006/relationships/hyperlink" Target="https://artechnologie13.sharepoint.com/sites/Bureaud'tudeAR-TECHNOLOGIE/DOSSIER%20POI/Forms/AllItems.aspx?id=%2Fsites%2FBureaud%27tudeAR%2DTECHNOLOGIE%2FDOSSIER%20POI%2FSPI%20Bretagne%2FIMI%2DVS%2D35238JR45%2D2&amp;newTargetListUrl=%2Fsites%2FBureaud%27tudeAR%2DTECHNOLOGIE%2FDOSSIER%20POI&amp;viewpath=%2Fsites%2FBureaud%27tudeAR%2DTECHNOLOGIE%2FDOSSIER%20POI%2FForms%2FAllItems%2Easpx" TargetMode="External"/><Relationship Id="rId102" Type="http://schemas.openxmlformats.org/officeDocument/2006/relationships/hyperlink" Target="Forms/AllItems.aspx?id=%2Fsites%2FBureaud%27tudeAR%2DTECHNOLOGIE%2FDOSSIER%20POI%2FSPI%20Bretagne%2FIMI%2DVS%2D3523800YY%2D1&amp;newTargetListUrl=%2Fsites%2FBureaud%27tudeAR%2DTECHNOLOGIE%2FDOSSIER%20POI&amp;viewpath=%2Fsites%2FBureaud%27tudeAR%2DTECHNOLOGIE%2FDOSSIER%20POI%2FForms%2FAllItems%2Easpx" TargetMode="External"/><Relationship Id="rId5" Type="http://schemas.openxmlformats.org/officeDocument/2006/relationships/hyperlink" Target="https://artechnologie13.sharepoint.com/sites/Bureaud'tudeAR-TECHNOLOGIE/DOSSIER%20POI/Forms/AllItems.aspx?id=%2Fsites%2FBureaud%27tudeAR%2DTECHNOLOGIE%2FDOSSIER%20POI&amp;newTargetListUrl=%2Fsites%2FBureaud%27tudeAR%2DTECHNOLOGIE%2FDOSSIER%20POI&amp;viewpath=%2Fsites%2FBureaud%27tudeAR%2DTECHNOLOGIE%2FDOSSIER%20POI%2FForms%2FAllItems%2Easpx&amp;view=7&amp;q=IMI%2DVS%2D35238%2FT1ZQ%2D1" TargetMode="External"/><Relationship Id="rId90" Type="http://schemas.openxmlformats.org/officeDocument/2006/relationships/hyperlink" Target="https://artechnologie13.sharepoint.com/sites/Bureaud'tudeAR-TECHNOLOGIE/DOSSIER%20POI/Forms/AllItems.aspx?id=%2Fsites%2FBureaud%27tudeAR%2DTECHNOLOGIE%2FDOSSIER%20POI%2FSPI%20Bretagne%2FIMI%2DVS%2D35055019Q%2D1&amp;newTargetListUrl=%2Fsites%2FBureaud%27tudeAR%2DTECHNOLOGIE%2FDOSSIER%20POI&amp;viewpath=%2Fsites%2FBureaud%27tudeAR%2DTECHNOLOGIE%2FDOSSIER%20POI%2FForms%2FAllItems%2Easpx" TargetMode="External"/><Relationship Id="rId95" Type="http://schemas.openxmlformats.org/officeDocument/2006/relationships/hyperlink" Target="Forms/AllItems.aspx?id=%2Fsites%2FBureaud%27tudeAR%2DTECHNOLOGIE%2FDOSSIER%20POI%2FSPI%20Bretagne%2FIMI%2DVS%2D35238JLPK%2D1&amp;viewid=ba243776%2Df837%2D4ace%2D8ee9%2D939a5753cc77" TargetMode="External"/><Relationship Id="rId22"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view=7&amp;q=IMI%2DVS%2D35238%2FJS9Z%2D1" TargetMode="External"/><Relationship Id="rId27" Type="http://schemas.openxmlformats.org/officeDocument/2006/relationships/hyperlink" Target="https://artechnologie13.sharepoint.com/sites/Bureaud'tudeAR-TECHNOLOGIE/DOSSIER%20POI/Forms/AllItems.aspx?id=%2Fsites%2FBureaud%27tudeAR%2DTECHNOLOGIE%2FDOSSIER%20POI%2FSPI%20Bretagne%2FIMI%2DVS%2D35238JS1G%2D1&amp;viewid=ba243776%2Df837%2D4ace%2D8ee9%2D939a5753cc77" TargetMode="External"/><Relationship Id="rId43" Type="http://schemas.openxmlformats.org/officeDocument/2006/relationships/hyperlink" Target="https://artechnologie13.sharepoint.com/sites/Bureaud'tudeAR-TECHNOLOGIE/DOSSIER%20POI/Forms/AllItems.aspx?id=%2Fsites%2FBureaud%27tudeAR%2DTECHNOLOGIE%2FDOSSIER%20POI%2FSPI%20Bretagne%2FIMI%2DVS%2D5615800C8%2D1&amp;viewid=ba243776%2Df837%2D4ace%2D8ee9%2D939a5753cc77&amp;view=0" TargetMode="External"/><Relationship Id="rId48" Type="http://schemas.openxmlformats.org/officeDocument/2006/relationships/hyperlink" Target="https://artechnologie13.sharepoint.com/sites/Bureaud'tudeAR-TECHNOLOGIE/DOSSIER%20POI/Forms/AllItems.aspx?id=%2Fsites%2FBureaud%27tudeAR%2DTECHNOLOGIE%2FDOSSIER%20POI%2FSPI%20Bretagne%2FIMI%2DVS%2D35238JSDA%2D1&amp;viewid=ba243776%2Df837%2D4ace%2D8ee9%2D939a5753cc77" TargetMode="External"/><Relationship Id="rId64" Type="http://schemas.openxmlformats.org/officeDocument/2006/relationships/hyperlink" Target="https://artechnologie13.sharepoint.com/sites/Bureaud'tudeAR-TECHNOLOGIE/DOSSIER%20POI/Forms/AllItems.aspx?id=%2Fsites%2FBureaud%27tudeAR%2DTECHNOLOGIE%2FDOSSIER%20POI%2FSPI%20Bretagne%2FIMI%2DVS%2D29232032P%2D1&amp;newTargetListUrl=%2Fsites%2FBureaud%27tudeAR%2DTECHNOLOGIE%2FDOSSIER%20POI&amp;viewpath=%2Fsites%2FBureaud%27tudeAR%2DTECHNOLOGIE%2FDOSSIER%20POI%2FForms%2FAllItems%2Easpx" TargetMode="External"/><Relationship Id="rId69" Type="http://schemas.openxmlformats.org/officeDocument/2006/relationships/hyperlink" Target="https://artechnologie13.sharepoint.com/sites/Bureaud'tudeAR-TECHNOLOGIE/DOSSIER%20POI/Forms/AllItems.aspx?id=%2Fsites%2FBureaud%27tudeAR%2DTECHNOLOGIE%2FDOSSIER%20POI%2FSPI%20Bretagne%2FIMI%2DVS%2D292320BPC%2D1&amp;newTargetListUrl=%2Fsites%2FBureaud%27tudeAR%2DTECHNOLOGIE%2FDOSSIER%20POI&amp;viewpath=%2Fsites%2FBureaud%27tudeAR%2DTECHNOLOGIE%2FDOSSIER%20POI%2FForms%2FAllItems%2Easpx" TargetMode="External"/><Relationship Id="rId113" Type="http://schemas.openxmlformats.org/officeDocument/2006/relationships/hyperlink" Target="Forms/AllItems.aspx?id=%2Fsites%2FBureaud%27tudeAR%2DTECHNOLOGIE%2FDOSSIER%20POI%2FSPI%20Bretagne%2FIMI%2DVS%2D35238JMR9%2D1&amp;viewid=ba243776%2Df837%2D4ace%2D8ee9%2D939a5753cc77" TargetMode="External"/><Relationship Id="rId118" Type="http://schemas.openxmlformats.org/officeDocument/2006/relationships/hyperlink" Target="https://artechnologie13.sharepoint.com/sites/Bureaud'tudeAR-TECHNOLOGIE/DOSSIER%20POI/Forms/AllItems.aspx?id=%2Fsites%2FBureaud%27tudeAR%2DTECHNOLOGIE%2FDOSSIER%20POI%2FSPI%20Bretagne%2FDEP%2DAN%2D3514400JE%2D1%2FDEP%2DAN%2D3514400JE%2D1%2FRetour%20etude&amp;newTargetListUrl=%2Fsites%2FBureaud%27tudeAR%2DTECHNOLOGIE%2FDOSSIER%20POI&amp;viewpath=%2Fsites%2FBureaud%27tudeAR%2DTECHNOLOGIE%2FDOSSIER%20POI%2FForms%2FAllItems%2Easpx" TargetMode="External"/><Relationship Id="rId80" Type="http://schemas.openxmlformats.org/officeDocument/2006/relationships/hyperlink" Target="https://artechnologie13.sharepoint.com/sites/Bureaud'tudeAR-TECHNOLOGIE/DOSSIER%20POI/Forms/AllItems.aspx?id=%2Fsites%2FBureaud%27tudeAR%2DTECHNOLOGIE%2FDOSSIER%20POI%2FSPI%20Bretagne%2FIMI%2DVS%2D35238JF4Q%2D2&amp;newTargetListUrl=%2Fsites%2FBureaud%27tudeAR%2DTECHNOLOGIE%2FDOSSIER%20POI&amp;viewpath=%2Fsites%2FBureaud%27tudeAR%2DTECHNOLOGIE%2FDOSSIER%20POI%2FForms%2FAllItems%2Easpx" TargetMode="External"/><Relationship Id="rId85" Type="http://schemas.openxmlformats.org/officeDocument/2006/relationships/hyperlink" Target="https://artechnologie13.sharepoint.com/sites/Bureaud'tudeAR-TECHNOLOGIE/DOSSIER%20POI/Forms/AllItems.aspx?id=%2Fsites%2FBureaud%27tudeAR%2DTECHNOLOGIE%2FDOSSIER%20POI%2FSPI%20Bretagne%2FIMI%2DVS%2D3535300Y3%2D2&amp;viewid=ba243776%2Df837%2D4ace%2D8ee9%2D939a5753cc77" TargetMode="External"/><Relationship Id="rId12" Type="http://schemas.openxmlformats.org/officeDocument/2006/relationships/hyperlink" Target="https://artechnologie13.sharepoint.com/sites/Bureaud'tudeAR-TECHNOLOGIE/DOSSIER%20POI/Forms/AllItems.aspx?id=%2Fsites%2FBureaud%27tudeAR%2DTECHNOLOGIE%2FDOSSIER%20POI%2FSPI%20Bretagne%2FIMI%2DVS%2D35238JTBY%2D1&amp;viewid=ba243776%2Df837%2D4ace%2D8ee9%2D939a5753cc77&amp;view=7" TargetMode="External"/><Relationship Id="rId17" Type="http://schemas.openxmlformats.org/officeDocument/2006/relationships/hyperlink" Target="https://artechnologie13.sharepoint.com/sites/Bureaud'tudeAR-TECHNOLOGIE/DOSSIER%20POI/Forms/AllItems.aspx?id=%2Fsites%2FBureaud%27tudeAR%2DTECHNOLOGIE%2FDOSSIER%20POI%2FSPI%20Bretagne&amp;viewid=ba243776%2Df837%2D4ace%2D8ee9%2D939a5753cc77&amp;view=7&amp;q=IMI%2DVS%2D35238%2FJUAU%2D1" TargetMode="External"/><Relationship Id="rId33" Type="http://schemas.openxmlformats.org/officeDocument/2006/relationships/hyperlink" Target="https://artechnologie13.sharepoint.com/sites/Bureaud'tudeAR-TECHNOLOGIE/DOSSIER%20POI/Forms/AllItems.aspx?id=%2Fsites%2FBureaud%27tudeAR%2DTECHNOLOGIE%2FDOSSIER%20POI%2FSPI%20Bretagne%2FIMI%2DVS%2D3523801SP%2D1&amp;viewid=ba243776%2Df837%2D4ace%2D8ee9%2D939a5753cc77" TargetMode="External"/><Relationship Id="rId38" Type="http://schemas.openxmlformats.org/officeDocument/2006/relationships/hyperlink" Target="https://artechnologie13.sharepoint.com/sites/Bureaud'tudeAR-TECHNOLOGIE/DOSSIER%20POI/Forms/AllItems.aspx?id=%2Fsites%2FBureaud%27tudeAR%2DTECHNOLOGIE%2FDOSSIER%20POI%2FSPI%20Bretagne%2FIMI%2DVS%2D2923200EI%2D2&amp;viewid=ba243776%2Df837%2D4ace%2D8ee9%2D939a5753cc77&amp;view=0" TargetMode="External"/><Relationship Id="rId59" Type="http://schemas.openxmlformats.org/officeDocument/2006/relationships/hyperlink" Target="https://artechnologie13.sharepoint.com/sites/Bureaud'tudeAR-TECHNOLOGIE/DOSSIER%20POI/Forms/AllItems.aspx?id=%2Fsites%2FBureaud%27tudeAR%2DTECHNOLOGIE%2FDOSSIER%20POI%2FSPI%20Bretagne%2FIMI%2DVS%2D5612101HY%2D1&amp;view=0" TargetMode="External"/><Relationship Id="rId103" Type="http://schemas.openxmlformats.org/officeDocument/2006/relationships/hyperlink" Target="Forms/AllItems.aspx?id=%2Fsites%2FBureaud%27tudeAR%2DTECHNOLOGIE%2FDOSSIER%20POI%2FSPI%20Bretagne%2FIMI%2DVS%2D35238JKVR%2D1&amp;viewid=ba243776%2Df837%2D4ace%2D8ee9%2D939a5753cc77&amp;view=0" TargetMode="External"/><Relationship Id="rId108" Type="http://schemas.openxmlformats.org/officeDocument/2006/relationships/hyperlink" Target="Forms/AllItems.aspx?id=%2Fsites%2FBureaud%27tudeAR%2DTECHNOLOGIE%2FDOSSIER%20POI%2FSPI%20Bretagne%2FIMI%2DVS%2D35238JR18%2D1&amp;viewid=ba243776%2Df837%2D4ace%2D8ee9%2D939a5753cc77" TargetMode="External"/><Relationship Id="rId54" Type="http://schemas.openxmlformats.org/officeDocument/2006/relationships/hyperlink" Target="https://artechnologie13.sharepoint.com/sites/Bureaud'tudeAR-TECHNOLOGIE/DOSSIER%20POI/Forms/AllItems.aspx?id=%2Fsites%2FBureaud%27tudeAR%2DTECHNOLOGIE%2FDOSSIER%20POI%2FSPI%20Bretagne%2FIMI%2DVS%2D5603600GR%2D1&amp;newTargetListUrl=%2Fsites%2FBureaud%27tudeAR%2DTECHNOLOGIE%2FDOSSIER%20POI&amp;viewpath=%2Fsites%2FBureaud%27tudeAR%2DTECHNOLOGIE%2FDOSSIER%20POI%2FForms%2FAllItems%2Easpx" TargetMode="External"/><Relationship Id="rId70" Type="http://schemas.openxmlformats.org/officeDocument/2006/relationships/hyperlink" Target="https://artechnologie13.sharepoint.com/sites/Bureaud'tudeAR-TECHNOLOGIE/DOSSIER%20POI/Forms/AllItems.aspx?id=%2Fsites%2FBureaud%27tudeAR%2DTECHNOLOGIE%2FDOSSIER%20POI%2FSPI%20Bretagne%2FIMI%2DVS%2D5616203CX%2D1&amp;newTargetListUrl=%2Fsites%2FBureaud%27tudeAR%2DTECHNOLOGIE%2FDOSSIER%20POI&amp;viewpath=%2Fsites%2FBureaud%27tudeAR%2DTECHNOLOGIE%2FDOSSIER%20POI%2FForms%2FAllItems%2Easpx" TargetMode="External"/><Relationship Id="rId75" Type="http://schemas.openxmlformats.org/officeDocument/2006/relationships/hyperlink" Target="https://artechnologie13.sharepoint.com/sites/Bureaud'tudeAR-TECHNOLOGIE/DOSSIER%20POI/Forms/AllItems.aspx?id=%2Fsites%2FBureaud%27tudeAR%2DTECHNOLOGIE%2FDOSSIER%20POI%2FSPI%20Bretagne%2FIMI%2DVS%2D562600468%2D1&amp;newTargetListUrl=%2Fsites%2FBureaud%27tudeAR%2DTECHNOLOGIE%2FDOSSIER%20POI&amp;viewpath=%2Fsites%2FBureaud%27tudeAR%2DTECHNOLOGIE%2FDOSSIER%20POI%2FForms%2FAllItems%2Easpx" TargetMode="External"/><Relationship Id="rId91" Type="http://schemas.openxmlformats.org/officeDocument/2006/relationships/hyperlink" Target="Forms/AllItems.aspx?id=%2Fsites%2FBureaud%27tudeAR%2DTECHNOLOGIE%2FDOSSIER%20POI%2FSPI%20Bretagne%2FIMI%2DVS%2D35238JQPB%2D1&amp;viewid=ba243776%2Df837%2D4ace%2D8ee9%2D939a5753cc77" TargetMode="External"/><Relationship Id="rId96" Type="http://schemas.openxmlformats.org/officeDocument/2006/relationships/hyperlink" Target="Forms/AllItems.aspx?id=%2Fsites%2FBureaud%27tudeAR%2DTECHNOLOGIE%2FDOSSIER%20POI%2FSPI%20Bretagne%2FIMI%2DVS%2D3523800FL%2D1&amp;newTargetListUrl=%2Fsites%2FBureaud%27tudeAR%2DTECHNOLOGIE%2FDOSSIER%20POI&amp;viewpath=%2Fsites%2FBureaud%27tudeAR%2DTECHNOLOGIE%2FDOSSIER%20POI%2FForms%2FAllItems%2Easpx" TargetMode="External"/><Relationship Id="rId1" Type="http://schemas.openxmlformats.org/officeDocument/2006/relationships/hyperlink" Target="https://artechnologie13.sharepoint.com/sites/Bureaud'tudeAR-TECHNOLOGIE/DOSSIER%20POI/Forms/AllItems.aspx?id=%2Fsites%2FBureaud%27tudeAR%2DTECHNOLOGIE%2FDOSSIER%20POI%2FSPI%20Bretagne%2FIMI%2DVS%2D35238JF7A%2D1&amp;newTargetListUrl=%2Fsites%2FBureaud%27tudeAR%2DTECHNOLOGIE%2FDOSSIER%20POI&amp;viewpath=%2Fsites%2FBureaud%27tudeAR%2DTECHNOLOGIE%2FDOSSIER%20POI%2FForms%2FAllItems%2Easpx" TargetMode="External"/><Relationship Id="rId6" Type="http://schemas.openxmlformats.org/officeDocument/2006/relationships/hyperlink" Target="https://artechnologie13.sharepoint.com/sites/Bureaud'tudeAR-TECHNOLOGIE/DOSSIER%20POI/Forms/AllItems.aspx?id=%2Fsites%2FBureaud%27tudeAR%2DTECHNOLOGIE%2FDOSSIER%20POI&amp;newTargetListUrl=%2Fsites%2FBureaud%27tudeAR%2DTECHNOLOGIE%2FDOSSIER%20POI&amp;viewpath=%2Fsites%2FBureaud%27tudeAR%2DTECHNOLOGIE%2FDOSSIER%20POI%2FForms%2FAllItems%2Easpx&amp;view=7&amp;q=IMI%2DVS%2D35238%2FJWZX%2D1&amp;startedResponseCatch=true" TargetMode="External"/><Relationship Id="rId23"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view=7&amp;q=IMI%2DVS%2D35238%2FJEHT%2D1" TargetMode="External"/><Relationship Id="rId28" Type="http://schemas.openxmlformats.org/officeDocument/2006/relationships/hyperlink" Target="https://artechnologie13.sharepoint.com/sites/Bureaud'tudeAR-TECHNOLOGIE/DOSSIER%20POI/Forms/AllItems.aspx?id=%2Fsites%2FBureaud%27tudeAR%2DTECHNOLOGIE%2FDOSSIER%20POI%2FSPI%20Bretagne%2FIMI%2DVS%2D5624302FA%2D1&amp;viewid=ba243776%2Df837%2D4ace%2D8ee9%2D939a5753cc77&amp;view=0" TargetMode="External"/><Relationship Id="rId49" Type="http://schemas.openxmlformats.org/officeDocument/2006/relationships/hyperlink" Target="https://artechnologie13.sharepoint.com/sites/Bureaud'tudeAR-TECHNOLOGIE/DOSSIER%20POI/Forms/AllItems.aspx?id=%2Fsites%2FBureaud%27tudeAR%2DTECHNOLOGIE%2FDOSSIER%20POI%2FSPI%20Bretagne%2FIMI%2DVS%2D35238JGZV%2D1&amp;viewid=ba243776%2Df837%2D4ace%2D8ee9%2D939a5753cc77" TargetMode="External"/><Relationship Id="rId114" Type="http://schemas.openxmlformats.org/officeDocument/2006/relationships/hyperlink" Target="Forms/AllItems.aspx?id=%2Fsites%2FBureaud%27tudeAR%2DTECHNOLOGIE%2FDOSSIER%20POI%2FSPI%20Bretagne%2FIMI%2DVS%2D35238JFE4%2D1&amp;view=0" TargetMode="External"/><Relationship Id="rId119" Type="http://schemas.openxmlformats.org/officeDocument/2006/relationships/hyperlink" Target="Forms/AllItems.aspx?id=%2Fsites%2FBureaud%27tudeAR%2DTECHNOLOGIE%2FDOSSIER%20POI%2FSPI%20Bretagne%2FIMI%2DVS%2D35238JU6I%2D1&amp;viewid=ba243776%2Df837%2D4ace%2D8ee9%2D939a5753cc77" TargetMode="External"/><Relationship Id="rId10" Type="http://schemas.openxmlformats.org/officeDocument/2006/relationships/hyperlink" Target="https://artechnologie13.sharepoint.com/sites/Bureaud'tudeAR-TECHNOLOGIE/DOSSIER%20POI/Forms/AllItems.aspx?id=%2Fsites%2FBureaud%27tudeAR%2DTECHNOLOGIE%2FDOSSIER%20POI%2FSPI%20Bretagne%2FIMI%2DVS%2D35238JW0C%2D2&amp;viewid=ba243776%2Df837%2D4ace%2D8ee9%2D939a5753cc77" TargetMode="External"/><Relationship Id="rId31" Type="http://schemas.openxmlformats.org/officeDocument/2006/relationships/hyperlink" Target="https://artechnologie13.sharepoint.com/sites/Bureaud'tudeAR-TECHNOLOGIE/DOSSIER%20POI/Forms/AllItems.aspx?id=%2Fsites%2FBureaud%27tudeAR%2DTECHNOLOGIE%2FDOSSIER%20POI%2FSPI%20Bretagne%2FIMI%2DVE%2D352380372%2D1&amp;newTargetListUrl=%2Fsites%2FBureaud%27tudeAR%2DTECHNOLOGIE%2FDOSSIER%20POI&amp;viewpath=%2Fsites%2FBureaud%27tudeAR%2DTECHNOLOGIE%2FDOSSIER%20POI%2FForms%2FAllItems%2Easpx" TargetMode="External"/><Relationship Id="rId44" Type="http://schemas.openxmlformats.org/officeDocument/2006/relationships/hyperlink" Target="https://artechnologie13.sharepoint.com/sites/Bureaud'tudeAR-TECHNOLOGIE/DOSSIER%20POI/Forms/AllItems.aspx?id=%2Fsites%2FBureaud%27tudeAR%2DTECHNOLOGIE%2FDOSSIER%20POI%2FSPI%20Bretagne%2FIMI%2DVS%2D5611801J2%2D1&amp;viewid=ba243776%2Df837%2D4ace%2D8ee9%2D939a5753cc77&amp;view=0" TargetMode="External"/><Relationship Id="rId52" Type="http://schemas.openxmlformats.org/officeDocument/2006/relationships/hyperlink" Target="https://artechnologie13.sharepoint.com/sites/Bureaud'tudeAR-TECHNOLOGIE/DOSSIER%20POI/Forms/AllItems.aspx?id=%2Fsites%2FBureaud%27tudeAR%2DTECHNOLOGIE%2FDOSSIER%20POI%2FSPI%20Bretagne%2FIMI%2DVS%2D3536001FK%2D2&amp;viewid=ba243776%2Df837%2D4ace%2D8ee9%2D939a5753cc77" TargetMode="External"/><Relationship Id="rId60" Type="http://schemas.openxmlformats.org/officeDocument/2006/relationships/hyperlink" Target="https://artechnologie13.sharepoint.com/sites/Bureaud'tudeAR-TECHNOLOGIE/DOSSIER%20POI/Forms/AllItems.aspx?id=%2Fsites%2FBureaud%27tudeAR%2DTECHNOLOGIE%2FDOSSIER%20POI%2FSPI%20Bretagne&amp;newTargetListUrl=%2Fsites%2FBureaud%27tudeAR%2DTECHNOLOGIE%2FDOSSIER%20POI&amp;viewpath=%2Fsites%2FBureaud%27tudeAR%2DTECHNOLOGIE%2FDOSSIER%20POI%2FForms%2FAllItems%2Easpx&amp;view=7&amp;q=IMI%2DVS%2D56121%2F032L%2D1" TargetMode="External"/><Relationship Id="rId65" Type="http://schemas.openxmlformats.org/officeDocument/2006/relationships/hyperlink" Target="https://artechnologie13.sharepoint.com/sites/Bureaud'tudeAR-TECHNOLOGIE/DOSSIER%20POI/Forms/AllItems.aspx?id=%2Fsites%2FBureaud%27tudeAR%2DTECHNOLOGIE%2FDOSSIER%20POI%2FSPI%20Bretagne%2FIMI%2DVS%2D292320GER%2D1&amp;newTargetListUrl=%2Fsites%2FBureaud%27tudeAR%2DTECHNOLOGIE%2FDOSSIER%20POI&amp;viewpath=%2Fsites%2FBureaud%27tudeAR%2DTECHNOLOGIE%2FDOSSIER%20POI%2FForms%2FAllItems%2Easpx" TargetMode="External"/><Relationship Id="rId73" Type="http://schemas.openxmlformats.org/officeDocument/2006/relationships/hyperlink" Target="https://artechnologie13.sharepoint.com/sites/Bureaud'tudeAR-TECHNOLOGIE/DOSSIER%20POI/Forms/AllItems.aspx?id=%2Fsites%2FBureaud%27tudeAR%2DTECHNOLOGIE%2FDOSSIER%20POI%2FSPI%20Bretagne%2FIMI%2DVS%2D5626003ZU%2D1&amp;newTargetListUrl=%2Fsites%2FBureaud%27tudeAR%2DTECHNOLOGIE%2FDOSSIER%20POI&amp;viewpath=%2Fsites%2FBureaud%27tudeAR%2DTECHNOLOGIE%2FDOSSIER%20POI%2FForms%2FAllItems%2Easpx" TargetMode="External"/><Relationship Id="rId78" Type="http://schemas.openxmlformats.org/officeDocument/2006/relationships/hyperlink" Target="https://artechnologie13.sharepoint.com/sites/Bureaud'tudeAR-TECHNOLOGIE/DOSSIER%20POI/Forms/AllItems.aspx?id=%2Fsites%2FBureaud%27tudeAR%2DTECHNOLOGIE%2FDOSSIER%20POI%2FSPI%20Bretagne%2FIMI%2DVS%2D35238JRHV%2D4&amp;newTargetListUrl=%2Fsites%2FBureaud%27tudeAR%2DTECHNOLOGIE%2FDOSSIER%20POI&amp;viewpath=%2Fsites%2FBureaud%27tudeAR%2DTECHNOLOGIE%2FDOSSIER%20POI%2FForms%2FAllItems%2Easpx" TargetMode="External"/><Relationship Id="rId81" Type="http://schemas.openxmlformats.org/officeDocument/2006/relationships/hyperlink" Target="https://artechnologie13.sharepoint.com/sites/Bureaud'tudeAR-TECHNOLOGIE/DOSSIER%20POI/Forms/AllItems.aspx?id=%2Fsites%2FBureaud%27tudeAR%2DTECHNOLOGIE%2FDOSSIER%20POI%2FSPI%20Bretagne%2FIMI%2DVS%2D35238JF7A%2D1&amp;newTargetListUrl=%2Fsites%2FBureaud%27tudeAR%2DTECHNOLOGIE%2FDOSSIER%20POI&amp;viewpath=%2Fsites%2FBureaud%27tudeAR%2DTECHNOLOGIE%2FDOSSIER%20POI%2FForms%2FAllItems%2Easpx" TargetMode="External"/><Relationship Id="rId86" Type="http://schemas.openxmlformats.org/officeDocument/2006/relationships/hyperlink" Target="https://artechnologie13.sharepoint.com/sites/Bureaud'tudeAR-TECHNOLOGIE/DOSSIER%20POI/Forms/AllItems.aspx?id=%2Fsites%2FBureaud%27tudeAR%2DTECHNOLOGIE%2FDOSSIER%20POI%2FSPI%20Bretagne%2FIMI%2DVS%2D3528101AB%2D1&amp;newTargetListUrl=%2Fsites%2FBureaud%27tudeAR%2DTECHNOLOGIE%2FDOSSIER%20POI&amp;viewpath=%2Fsites%2FBureaud%27tudeAR%2DTECHNOLOGIE%2FDOSSIER%20POI%2FForms%2FAllItems%2Easpx" TargetMode="External"/><Relationship Id="rId94" Type="http://schemas.openxmlformats.org/officeDocument/2006/relationships/hyperlink" Target="Forms/AllItems.aspx?id=%2Fsites%2FBureaud%27tudeAR%2DTECHNOLOGIE%2FDOSSIER%20POI%2FSPI%20Bretagne%2FIMI%2DVS%2D35238JKCH%2D1&amp;newTargetListUrl=%2Fsites%2FBureaud%27tudeAR%2DTECHNOLOGIE%2FDOSSIER%20POI&amp;viewpath=%2Fsites%2FBureaud%27tudeAR%2DTECHNOLOGIE%2FDOSSIER%20POI%2FForms%2FAllItems%2Easpx" TargetMode="External"/><Relationship Id="rId99" Type="http://schemas.openxmlformats.org/officeDocument/2006/relationships/hyperlink" Target="Forms/AllItems.aspx?id=%2Fsites%2FBureaud%27tudeAR%2DTECHNOLOGIE%2FDOSSIER%20POI%2FSPI%20Bretagne%2FIMI%2DVS%2D35238JXU5%2D1&amp;newTargetListUrl=%2Fsites%2FBureaud%27tudeAR%2DTECHNOLOGIE%2FDOSSIER%20POI&amp;viewpath=%2Fsites%2FBureaud%27tudeAR%2DTECHNOLOGIE%2FDOSSIER%20POI%2FForms%2FAllItems%2Easpx" TargetMode="External"/><Relationship Id="rId101" Type="http://schemas.openxmlformats.org/officeDocument/2006/relationships/hyperlink" Target="Forms/AllItems.aspx?id=%2Fsites%2FBureaud%27tudeAR%2DTECHNOLOGIE%2FDOSSIER%20POI%2FSPI%20Bretagne%2FIMI%2DVS%2D35238JIP8%2D1&amp;newTargetListUrl=%2Fsites%2FBureaud%27tudeAR%2DTECHNOLOGIE%2FDOSSIER%20POI&amp;viewpath=%2Fsites%2FBureaud%27tudeAR%2DTECHNOLOGIE%2FDOSSIER%20POI%2FForms%2FAllItems%2Easpx" TargetMode="External"/><Relationship Id="rId4" Type="http://schemas.openxmlformats.org/officeDocument/2006/relationships/hyperlink" Target="https://artechnologie13.sharepoint.com/sites/Bureaud'tudeAR-TECHNOLOGIE/DOSSIER%20POI/Forms/AllItems.aspx?id=%2Fsites%2FBureaud%27tudeAR%2DTECHNOLOGIE%2FDOSSIER%20POI%2FSPI%20Bretagne%2FIMI%2DVS%2D35238JEWQ%2D1&amp;newTargetListUrl=%2Fsites%2FBureaud%27tudeAR%2DTECHNOLOGIE%2FDOSSIER%20POI&amp;viewpath=%2Fsites%2FBureaud%27tudeAR%2DTECHNOLOGIE%2FDOSSIER%20POI%2FForms%2FAllItems%2Easpx" TargetMode="External"/><Relationship Id="rId9" Type="http://schemas.openxmlformats.org/officeDocument/2006/relationships/hyperlink" Target="https://artechnologie13.sharepoint.com/sites/Bureaud'tudeAR-TECHNOLOGIE/DOSSIER%20POI/Forms/AllItems.aspx?id=%2Fsites%2FBureaud%27tudeAR%2DTECHNOLOGIE%2FDOSSIER%20POI%2FSPI%20Bretagne%2FIMI%2DVS%2D35238JX0J%2D1&amp;viewid=ba243776%2Df837%2D4ace%2D8ee9%2D939a5753cc77" TargetMode="External"/><Relationship Id="rId13" Type="http://schemas.openxmlformats.org/officeDocument/2006/relationships/hyperlink" Target="https://artechnologie13.sharepoint.com/sites/Bureaud'tudeAR-TECHNOLOGIE/DOSSIER%20POI/Forms/AllItems.aspx?id=%2Fsites%2FBureaud%27tudeAR%2DTECHNOLOGIE%2FDOSSIER%20POI%2FSPI%20Bretagne%2FIMI%2DVS%2D35238JUUS%2D1&amp;viewid=ba243776%2Df837%2D4ace%2D8ee9%2D939a5753cc77" TargetMode="External"/><Relationship Id="rId18" Type="http://schemas.openxmlformats.org/officeDocument/2006/relationships/hyperlink" Target="https://artechnologie13.sharepoint.com/sites/Bureaud'tudeAR-TECHNOLOGIE/DOSSIER%20POI/Forms/AllItems.aspx?id=%2Fsites%2FBureaud%27tudeAR%2DTECHNOLOGIE%2FDOSSIER%20POI%2FSPI%20Bretagne&amp;viewid=ba243776%2Df837%2D4ace%2D8ee9%2D939a5753cc77&amp;view=7&amp;q=IMI%2DVS%2D35238%2FJLBN%2D1" TargetMode="External"/><Relationship Id="rId39" Type="http://schemas.openxmlformats.org/officeDocument/2006/relationships/hyperlink" Target="https://artechnologie13.sharepoint.com/sites/Bureaud'tudeAR-TECHNOLOGIE/DOSSIER%20POI/Forms/AllItems.aspx?id=%2Fsites%2FBureaud%27tudeAR%2DTECHNOLOGIE%2FDOSSIER%20POI%2FSPI%20Bretagne%2FIMI%2DVS%2D2923206GH%2D1&amp;viewid=ba243776%2Df837%2D4ace%2D8ee9%2D939a5753cc77&amp;view=0" TargetMode="External"/><Relationship Id="rId109" Type="http://schemas.openxmlformats.org/officeDocument/2006/relationships/hyperlink" Target="Forms/AllItems.aspx?id=%2Fsites%2FBureaud%27tudeAR%2DTECHNOLOGIE%2FDOSSIER%20POI%2FSPI%20Bretagne%2FIMI%2DVS%2D35238JVAW%2D1&amp;viewid=ba243776%2Df837%2D4ace%2D8ee9%2D939a5753cc77" TargetMode="External"/><Relationship Id="rId34" Type="http://schemas.openxmlformats.org/officeDocument/2006/relationships/hyperlink" Target="https://artechnologie13.sharepoint.com/sites/Bureaud'tudeAR-TECHNOLOGIE/DOSSIER%20POI/Forms/AllItems.aspx?id=%2Fsites%2FBureaud%27tudeAR%2DTECHNOLOGIE%2FDOSSIER%20POI%2FSPI%20Bretagne%2FIMI%2DVE%2D5604000BB%2D1&amp;viewid=ba243776%2Df837%2D4ace%2D8ee9%2D939a5753cc77" TargetMode="External"/><Relationship Id="rId50" Type="http://schemas.openxmlformats.org/officeDocument/2006/relationships/hyperlink" Target="https://artechnologie13.sharepoint.com/sites/Bureaud'tudeAR-TECHNOLOGIE/DOSSIER%20POI/Forms/AllItems.aspx?id=%2Fsites%2FBureaud%27tudeAR%2DTECHNOLOGIE%2FDOSSIER%20POI%2FSPI%20Bretagne%2FIMI%2DVS%2D35238JQXL%2D1&amp;viewid=ba243776%2Df837%2D4ace%2D8ee9%2D939a5753cc77" TargetMode="External"/><Relationship Id="rId55" Type="http://schemas.openxmlformats.org/officeDocument/2006/relationships/hyperlink" Target="https://artechnologie13.sharepoint.com/sites/Bureaud'tudeAR-TECHNOLOGIE/DOSSIER%20POI/Forms/AllItems.aspx?id=%2Fsites%2FBureaud%27tudeAR%2DTECHNOLOGIE%2FDOSSIER%20POI%2FSPI%20Bretagne%2FIMI%2DVE%2D56098068M%2D1&amp;newTargetListUrl=%2Fsites%2FBureaud%27tudeAR%2DTECHNOLOGIE%2FDOSSIER%20POI&amp;viewpath=%2Fsites%2FBureaud%27tudeAR%2DTECHNOLOGIE%2FDOSSIER%20POI%2FForms%2FAllItems%2Easpx" TargetMode="External"/><Relationship Id="rId76" Type="http://schemas.openxmlformats.org/officeDocument/2006/relationships/hyperlink" Target="https://artechnologie13.sharepoint.com/sites/Bureaud'tudeAR-TECHNOLOGIE/DOSSIER%20POI/Forms/AllItems.aspx?id=%2Fsites%2FBureaud%27tudeAR%2DTECHNOLOGIE%2FDOSSIER%20POI%2FSPI%20Bretagne%2FIMI%2DVS%2D35238JTBR%2D1&amp;newTargetListUrl=%2Fsites%2FBureaud%27tudeAR%2DTECHNOLOGIE%2FDOSSIER%20POI&amp;viewpath=%2Fsites%2FBureaud%27tudeAR%2DTECHNOLOGIE%2FDOSSIER%20POI%2FForms%2FAllItems%2Easpx" TargetMode="External"/><Relationship Id="rId97" Type="http://schemas.openxmlformats.org/officeDocument/2006/relationships/hyperlink" Target="Forms/AllItems.aspx?id=%2Fsites%2FBureaud%27tudeAR%2DTECHNOLOGIE%2FDOSSIER%20POI%2FSPI%20Bretagne%2FIMI%2DVS%2D35238JGV0%2D1&amp;newTargetListUrl=%2Fsites%2FBureaud%27tudeAR%2DTECHNOLOGIE%2FDOSSIER%20POI&amp;viewpath=%2Fsites%2FBureaud%27tudeAR%2DTECHNOLOGIE%2FDOSSIER%20POI%2FForms%2FAllItems%2Easpx" TargetMode="External"/><Relationship Id="rId104" Type="http://schemas.openxmlformats.org/officeDocument/2006/relationships/hyperlink" Target="Forms/AllItems.aspx?id=%2Fsites%2FBureaud%27tudeAR%2DTECHNOLOGIE%2FDOSSIER%20POI%2FSPI%20Bretagne%2FIMI%2DVS%2D3523800P2%2D1&amp;viewid=ba243776%2Df837%2D4ace%2D8ee9%2D939a5753cc77&amp;view=0" TargetMode="External"/><Relationship Id="rId7" Type="http://schemas.openxmlformats.org/officeDocument/2006/relationships/hyperlink" Target="https://artechnologie13.sharepoint.com/sites/Bureaud'tudeAR-TECHNOLOGIE/DOSSIER%20POI/Forms/AllItems.aspx?id=%2Fsites%2FBureaud%27tudeAR%2DTECHNOLOGIE%2FDOSSIER%20POI%2FSPI%20Bretagne%2FIMI%2DVS%2D35238JUOV%2D1&amp;newTargetListUrl=%2Fsites%2FBureaud%27tudeAR%2DTECHNOLOGIE%2FDOSSIER%20POI&amp;viewpath=%2Fsites%2FBureaud%27tudeAR%2DTECHNOLOGIE%2FDOSSIER%20POI%2FForms%2FAllItems%2Easpx&amp;view=7" TargetMode="External"/><Relationship Id="rId71" Type="http://schemas.openxmlformats.org/officeDocument/2006/relationships/hyperlink" Target="https://artechnologie13.sharepoint.com/sites/Bureaud'tudeAR-TECHNOLOGIE/DOSSIER%20POI/Forms/AllItems.aspx?id=%2Fsites%2FBureaud%27tudeAR%2DTECHNOLOGIE%2FDOSSIER%20POI%2FSPI%20Bretagne%2FIMI%2DVS%2D562600335%2D1&amp;newTargetListUrl=%2Fsites%2FBureaud%27tudeAR%2DTECHNOLOGIE%2FDOSSIER%20POI&amp;viewpath=%2Fsites%2FBureaud%27tudeAR%2DTECHNOLOGIE%2FDOSSIER%20POI%2FForms%2FAllItems%2Easpx" TargetMode="External"/><Relationship Id="rId92" Type="http://schemas.openxmlformats.org/officeDocument/2006/relationships/hyperlink" Target="Forms/AllItems.aspx?id=%2Fsites%2FBureaud%27tudeAR%2DTECHNOLOGIE%2FDOSSIER%20POI%2FSPI%20Bretagne%2FIMI%2DVS%2D35238JEYE%2D1&amp;viewid=ba243776%2Df837%2D4ace%2D8ee9%2D939a5753cc77" TargetMode="External"/><Relationship Id="rId2" Type="http://schemas.openxmlformats.org/officeDocument/2006/relationships/hyperlink" Target="https://artechnologie13.sharepoint.com/sites/Bureaud'tudeAR-TECHNOLOGIE/DOSSIER%20POI/Forms/AllItems.aspx?id=%2Fsites%2FBureaud%27tudeAR%2DTECHNOLOGIE%2FDOSSIER%20POI%2FSPI%20Bretagne%2FIMI%2DVS%2D35238JLPI%2D1&amp;newTargetListUrl=%2Fsites%2FBureaud%27tudeAR%2DTECHNOLOGIE%2FDOSSIER%20POI&amp;viewpath=%2Fsites%2FBureaud%27tudeAR%2DTECHNOLOGIE%2FDOSSIER%20POI%2FForms%2FAllItems%2Easpx" TargetMode="External"/><Relationship Id="rId29" Type="http://schemas.openxmlformats.org/officeDocument/2006/relationships/hyperlink" Target="https://artechnologie13.sharepoint.com/sites/Bureaud'tudeAR-TECHNOLOGIE/DOSSIER%20POI/Forms/AllItems.aspx?id=%2Fsites%2FBureaud%27tudeAR%2DTECHNOLOGIE%2FDOSSIER%20POI%2FSPI%20Bretagne%2FIMI%2DVE%2D35238JF4O%2D1&amp;newTargetListUrl=%2Fsites%2FBureaud%27tudeAR%2DTECHNOLOGIE%2FDOSSIER%20POI&amp;viewpath=%2Fsites%2FBureaud%27tudeAR%2DTECHNOLOGIE%2FDOSSIER%20POI%2FForms%2FAllItems%2Easpx" TargetMode="External"/><Relationship Id="rId24"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view=7&amp;q=IMI%2DVS%2D35238%2F00HF%2D1" TargetMode="External"/><Relationship Id="rId40" Type="http://schemas.openxmlformats.org/officeDocument/2006/relationships/hyperlink" Target="https://artechnologie13.sharepoint.com/sites/Bureaud'tudeAR-TECHNOLOGIE/DOSSIER%20POI/Forms/AllItems.aspx?id=%2Fsites%2FBureaud%27tudeAR%2DTECHNOLOGIE%2FDOSSIER%20POI%2FSPI%20Bretagne%2FIMI%2DVS%2D5625500J2%2D1&amp;viewid=ba243776%2Df837%2D4ace%2D8ee9%2D939a5753cc77&amp;view=0" TargetMode="External"/><Relationship Id="rId45" Type="http://schemas.openxmlformats.org/officeDocument/2006/relationships/hyperlink" Target="https://artechnologie13.sharepoint.com/sites/Bureaud'tudeAR-TECHNOLOGIE/DOSSIER%20POI/Forms/AllItems.aspx?id=%2Fsites%2FBureaud%27tudeAR%2DTECHNOLOGIE%2FDOSSIER%20POI%2FSPI%20Bretagne%2FIMI%2DVS%2D35238JWNP%2D2&amp;viewid=ba243776%2Df837%2D4ace%2D8ee9%2D939a5753cc77&amp;view=0" TargetMode="External"/><Relationship Id="rId66" Type="http://schemas.openxmlformats.org/officeDocument/2006/relationships/hyperlink" Target="https://artechnologie13.sharepoint.com/sites/Bureaud'tudeAR-TECHNOLOGIE/DOSSIER%20POI/Forms/AllItems.aspx?id=%2Fsites%2FBureaud%27tudeAR%2DTECHNOLOGIE%2FDOSSIER%20POI%2FSPI%20Bretagne%2FIMI%2DVS%2D2923204H0%2D1&amp;newTargetListUrl=%2Fsites%2FBureaud%27tudeAR%2DTECHNOLOGIE%2FDOSSIER%20POI&amp;viewpath=%2Fsites%2FBureaud%27tudeAR%2DTECHNOLOGIE%2FDOSSIER%20POI%2FForms%2FAllItems%2Easpx" TargetMode="External"/><Relationship Id="rId87" Type="http://schemas.openxmlformats.org/officeDocument/2006/relationships/hyperlink" Target="https://artechnologie13.sharepoint.com/sites/Bureaud'tudeAR-TECHNOLOGIE/DOSSIER%20POI/Forms/AllItems.aspx?id=%2Fsites%2FBureaud%27tudeAR%2DTECHNOLOGIE%2FDOSSIER%20POI%2FSPI%20Bretagne%2FIMI%2DVS%2D3527802KJ%2D1&amp;newTargetListUrl=%2Fsites%2FBureaud%27tudeAR%2DTECHNOLOGIE%2FDOSSIER%20POI&amp;viewpath=%2Fsites%2FBureaud%27tudeAR%2DTECHNOLOGIE%2FDOSSIER%20POI%2FForms%2FAllItems%2Easpx" TargetMode="External"/><Relationship Id="rId110" Type="http://schemas.openxmlformats.org/officeDocument/2006/relationships/hyperlink" Target="../../Bureaud%27tudeAR-TECHNOLOGIE/DOSSIER%20POI/Forms/AllItems.aspx?id=%2Fsites%2FBureaud%27tudeAR%2DTECHNOLOGIE%2FDOSSIER%20POI%2FSPI%20Bretagne%2FIMI%2DVS%2D35238JGJH%2D1%2FIMI%2DVS%2D35238JGWC%2D1&amp;viewid=ba243776%2Df837%2D4ace%2D8ee9%2D939a5753cc77" TargetMode="External"/><Relationship Id="rId115" Type="http://schemas.openxmlformats.org/officeDocument/2006/relationships/hyperlink" Target="../../Bureaud%27tudeAR-TECHNOLOGIE/DOSSIER%20POI/Forms/AllItems.aspx?id=%2Fsites%2FBureaud%27tudeAR%2DTECHNOLOGIE%2FDOSSIER%20POI%2FSPI%20Bretagne%2FIMI%2DVS%2D35238JGJH%2D1%2FIMI%2DVS%2D35238JUEJ%2D1" TargetMode="External"/><Relationship Id="rId61" Type="http://schemas.openxmlformats.org/officeDocument/2006/relationships/hyperlink" Target="https://artechnologie13.sharepoint.com/sites/Bureaud'tudeAR-TECHNOLOGIE/DOSSIER%20POI/Forms/AllItems.aspx?id=%2Fsites%2FBureaud%27tudeAR%2DTECHNOLOGIE%2FDOSSIER%20POI%2FSPI%20Bretagne%2FIMI%2DVS%2D5624302Q5%2D1&amp;viewid=ba243776%2Df837%2D4ace%2D8ee9%2D939a5753cc77&amp;view=0" TargetMode="External"/><Relationship Id="rId82" Type="http://schemas.openxmlformats.org/officeDocument/2006/relationships/hyperlink" Target="https://artechnologie13.sharepoint.com/sites/Bureaud'tudeAR-TECHNOLOGIE/DOSSIER%20POI/Forms/AllItems.aspx?id=%2Fsites%2FBureaud%27tudeAR%2DTECHNOLOGIE%2FDOSSIER%20POI%2FSPI%20Bretagne%2FIMI%2DVS%2D35238JMXL%2D1&amp;newTargetListUrl=%2Fsites%2FBureaud%27tudeAR%2DTECHNOLOGIE%2FDOSSIER%20POI&amp;viewpath=%2Fsites%2FBureaud%27tudeAR%2DTECHNOLOGIE%2FDOSSIER%20POI%2FForms%2FAllItems%2Easpx" TargetMode="External"/><Relationship Id="rId19" Type="http://schemas.openxmlformats.org/officeDocument/2006/relationships/hyperlink" Target="https://artechnologie13.sharepoint.com/sites/Bureaud'tudeAR-TECHNOLOGIE/DOSSIER%20POI/Forms/AllItems.aspx?id=%2Fsites%2FBureaud%27tudeAR%2DTECHNOLOGIE%2FDOSSIER%20POI%2FSPI%20Bretagne&amp;viewid=ba243776%2Df837%2D4ace%2D8ee9%2D939a5753cc77&amp;view=7&amp;q=IMI%2DVS%2D35238%2FJMV8%2D1" TargetMode="External"/><Relationship Id="rId14" Type="http://schemas.openxmlformats.org/officeDocument/2006/relationships/hyperlink" Target="https://artechnologie13.sharepoint.com/sites/Bureaud'tudeAR-TECHNOLOGIE/DOSSIER%20POI/Forms/AllItems.aspx?id=%2Fsites%2FBureaud%27tudeAR%2DTECHNOLOGIE%2FDOSSIER%20POI%2FSPI%20Bretagne%2FIMI%2DVS%2D35238JMYV%2D1&amp;viewid=ba243776%2Df837%2D4ace%2D8ee9%2D939a5753cc77" TargetMode="External"/><Relationship Id="rId30" Type="http://schemas.openxmlformats.org/officeDocument/2006/relationships/hyperlink" Target="https://artechnologie13.sharepoint.com/sites/Bureaud'tudeAR-TECHNOLOGIE/DOSSIER%20POI/Forms/AllItems.aspx?id=%2Fsites%2FBureaud%27tudeAR%2DTECHNOLOGIE%2FDOSSIER%20POI%2FSPI%20Bretagne%2FIMI%2DVE%2D3521600A8%2D1&amp;viewid=ba243776%2Df837%2D4ace%2D8ee9%2D939a5753cc77" TargetMode="External"/><Relationship Id="rId35" Type="http://schemas.openxmlformats.org/officeDocument/2006/relationships/hyperlink" Target="https://artechnologie13.sharepoint.com/sites/Bureaud'tudeAR-TECHNOLOGIE/DOSSIER%20POI/Forms/AllItems.aspx?id=%2Fsites%2FBureaud%27tudeAR%2DTECHNOLOGIE%2FDOSSIER%20POI%2FSPI%20Bretagne%2FIMI%2DVS%2D35238JV9U%2D1&amp;viewid=ba243776%2Df837%2D4ace%2D8ee9%2D939a5753cc77&amp;view=0" TargetMode="External"/><Relationship Id="rId56" Type="http://schemas.openxmlformats.org/officeDocument/2006/relationships/hyperlink" Target="https://artechnologie13.sharepoint.com/sites/Bureaud'tudeAR-TECHNOLOGIE/DOSSIER%20POI/Forms/AllItems.aspx?id=%2Fsites%2FBureaud%27tudeAR%2DTECHNOLOGIE%2FDOSSIER%20POI%2FSPI%20Bretagne%2FIMI%2DVS%2D5616204AU%2D1&amp;viewid=ba243776%2Df837%2D4ace%2D8ee9%2D939a5753cc77" TargetMode="External"/><Relationship Id="rId77" Type="http://schemas.openxmlformats.org/officeDocument/2006/relationships/hyperlink" Target="https://artechnologie13.sharepoint.com/sites/Bureaud'tudeAR-TECHNOLOGIE/DOSSIER%20POI/Forms/AllItems.aspx?id=%2Fsites%2FBureaud%27tudeAR%2DTECHNOLOGIE%2FDOSSIER%20POI%2FSPI%20Bretagne&amp;viewid=ba243776%2Df837%2D4ace%2D8ee9%2D939a5753cc77&amp;view=7&amp;q=IMI%2DVS%2D35238%2FJR0C%2D1" TargetMode="External"/><Relationship Id="rId100" Type="http://schemas.openxmlformats.org/officeDocument/2006/relationships/hyperlink" Target="Forms/AllItems.aspx?id=%2Fsites%2FBureaud%27tudeAR%2DTECHNOLOGIE%2FDOSSIER%20POI%2FSPI%20Bretagne%2FIMI%2DVS%2D35238JVNP%2D1&amp;newTargetListUrl=%2Fsites%2FBureaud%27tudeAR%2DTECHNOLOGIE%2FDOSSIER%20POI&amp;viewpath=%2Fsites%2FBureaud%27tudeAR%2DTECHNOLOGIE%2FDOSSIER%20POI%2FForms%2FAllItems%2Easpx" TargetMode="External"/><Relationship Id="rId105" Type="http://schemas.openxmlformats.org/officeDocument/2006/relationships/hyperlink" Target="Forms/AllItems.aspx?id=%2Fsites%2FBureaud%27tudeAR%2DTECHNOLOGIE%2FDOSSIER%20POI%2FSPI%20Bretagne%2FIMI%2DVS%2D35238JGPR%2D1&amp;view=0" TargetMode="External"/><Relationship Id="rId8" Type="http://schemas.openxmlformats.org/officeDocument/2006/relationships/hyperlink" Target="https://artechnologie13.sharepoint.com/sites/Bureaud'tudeAR-TECHNOLOGIE/DOSSIER%20POI/Forms/AllItems.aspx?id=%2Fsites%2FBureaud%27tudeAR%2DTECHNOLOGIE%2FDOSSIER%20POI&amp;newTargetListUrl=%2Fsites%2FBureaud%27tudeAR%2DTECHNOLOGIE%2FDOSSIER%20POI&amp;viewpath=%2Fsites%2FBureaud%27tudeAR%2DTECHNOLOGIE%2FDOSSIER%20POI%2FForms%2FAllItems%2Easpx&amp;view=7&amp;q=IMI%2DVS%2D35238%2FJSIV%2D1&amp;startedResponseCatch=true" TargetMode="External"/><Relationship Id="rId51" Type="http://schemas.openxmlformats.org/officeDocument/2006/relationships/hyperlink" Target="https://artechnologie13.sharepoint.com/sites/Bureaud'tudeAR-TECHNOLOGIE/DOSSIER%20POI/Forms/AllItems.aspx?id=%2Fsites%2FBureaud%27tudeAR%2DTECHNOLOGIE%2FDOSSIER%20POI%2FSPI%20Bretagne%2FIMI%2DVS%2D35238JU9S%2D1&amp;viewid=ba243776%2Df837%2D4ace%2D8ee9%2D939a5753cc77" TargetMode="External"/><Relationship Id="rId72" Type="http://schemas.openxmlformats.org/officeDocument/2006/relationships/hyperlink" Target="https://artechnologie13.sharepoint.com/sites/Bureaud'tudeAR-TECHNOLOGIE/DOSSIER%20POI/Forms/AllItems.aspx?id=%2Fsites%2FBureaud%27tudeAR%2DTECHNOLOGIE%2FDOSSIER%20POI%2FSPI%20Bretagne%2FIMI%2DVS%2D562600522%2D1&amp;newTargetListUrl=%2Fsites%2FBureaud%27tudeAR%2DTECHNOLOGIE%2FDOSSIER%20POI&amp;viewpath=%2Fsites%2FBureaud%27tudeAR%2DTECHNOLOGIE%2FDOSSIER%20POI%2FForms%2FAllItems%2Easpx" TargetMode="External"/><Relationship Id="rId93" Type="http://schemas.openxmlformats.org/officeDocument/2006/relationships/hyperlink" Target="Forms/AllItems.aspx?id=%2Fsites%2FBureaud%27tudeAR%2DTECHNOLOGIE%2FDOSSIER%20POI%2FSPI%20Bretagne%2FIMI%2DVE%2D35238009E%2D1&amp;viewid=ba243776%2Df837%2D4ace%2D8ee9%2D939a5753cc77" TargetMode="External"/><Relationship Id="rId98" Type="http://schemas.openxmlformats.org/officeDocument/2006/relationships/hyperlink" Target="Forms/AllItems.aspx?id=%2Fsites%2FBureaud%27tudeAR%2DTECHNOLOGIE%2FDOSSIER%20POI%2FSPI%20Bretagne%2FIMI%2DVS%2D35238JGTS%2D1&amp;newTargetListUrl=%2Fsites%2FBureaud%27tudeAR%2DTECHNOLOGIE%2FDOSSIER%20POI&amp;viewpath=%2Fsites%2FBureaud%27tudeAR%2DTECHNOLOGIE%2FDOSSIER%20POI%2FForms%2FAllItems%2Easpx" TargetMode="External"/><Relationship Id="rId3" Type="http://schemas.openxmlformats.org/officeDocument/2006/relationships/hyperlink" Target="https://artechnologie13.sharepoint.com/sites/Bureaud'tudeAR-TECHNOLOGIE/DOSSIER%20POI/Forms/AllItems.aspx?id=%2Fsites%2FBureaud%27tudeAR%2DTECHNOLOGIE%2FDOSSIER%20POI%2FSPI%20Bretagne%2FIMI%2DVS%2D35238JF3Y%2D1&amp;newTargetListUrl=%2Fsites%2FBureaud%27tudeAR%2DTECHNOLOGIE%2FDOSSIER%20POI&amp;viewpath=%2Fsites%2FBureaud%27tudeAR%2DTECHNOLOGIE%2FDOSSIER%20POI%2FForms%2FAllItems%2Easpx" TargetMode="External"/><Relationship Id="rId25" Type="http://schemas.openxmlformats.org/officeDocument/2006/relationships/hyperlink" Target="https://artechnologie13.sharepoint.com/sites/Bureaud'tudeAR-TECHNOLOGIE/DOSSIER%20POI/Forms/AllItems.aspx?id=%2Fsites%2FBureaud%27tudeAR%2DTECHNOLOGIE%2FDOSSIER%20POI&amp;newTargetListUrl=%2Fsites%2FBureaud%27tudeAR%2DTECHNOLOGIE%2FDOSSIER%20POI&amp;viewpath=%2Fsites%2FBureaud%27tudeAR%2DTECHNOLOGIE%2FDOSSIER%20POI%2FForms%2FAllItems%2Easpx&amp;view=7&amp;q=IMI%2DVS%2D35238%2FJQZF%2D1" TargetMode="External"/><Relationship Id="rId46" Type="http://schemas.openxmlformats.org/officeDocument/2006/relationships/hyperlink" Target="https://artechnologie13.sharepoint.com/sites/Bureaud'tudeAR-TECHNOLOGIE/DOSSIER%20POI/Forms/AllItems.aspx?id=%2Fsites%2FBureaud%27tudeAR%2DTECHNOLOGIE%2FDOSSIER%20POI%2FSPI%20Bretagne%2FIMI%2DVS%2D35238JMW7%2D1&amp;viewid=ba243776%2Df837%2D4ace%2D8ee9%2D939a5753cc77&amp;view=0" TargetMode="External"/><Relationship Id="rId67" Type="http://schemas.openxmlformats.org/officeDocument/2006/relationships/hyperlink" Target="https://artechnologie13.sharepoint.com/sites/Bureaud'tudeAR-TECHNOLOGIE/DOSSIER%20POI/Forms/AllItems.aspx?id=%2Fsites%2FBureaud%27tudeAR%2DTECHNOLOGIE%2FDOSSIER%20POI%2FSPI%20Bretagne%2FIMI%2DVS%2D292320JAC%2D1&amp;newTargetListUrl=%2Fsites%2FBureaud%27tudeAR%2DTECHNOLOGIE%2FDOSSIER%20POI&amp;viewpath=%2Fsites%2FBureaud%27tudeAR%2DTECHNOLOGIE%2FDOSSIER%20POI%2FForms%2FAllItems%2Easpx" TargetMode="External"/><Relationship Id="rId116" Type="http://schemas.openxmlformats.org/officeDocument/2006/relationships/hyperlink" Target="Forms/AllItems.aspx?id=%2Fsites%2FBureaud%27tudeAR%2DTECHNOLOGIE%2FDOSSIER%20POI%2FSPI%20Bretagne%2FIMI%2DVS%2D35238JUKE%2D1&amp;newTargetListUrl=%2Fsites%2FBureaud%27tudeAR%2DTECHNOLOGIE%2FDOSSIER%20POI&amp;viewpath=%2Fsites%2FBureaud%27tudeAR%2DTECHNOLOGIE%2FDOSSIER%20POI%2FForms%2FAllItems%2Easpx" TargetMode="External"/><Relationship Id="rId20" Type="http://schemas.openxmlformats.org/officeDocument/2006/relationships/hyperlink" Target="https://artechnologie13.sharepoint.com/sites/Bureaud'tudeAR-TECHNOLOGIE/DOSSIER%20POI/Forms/AllItems.aspx?newTargetListUrl=%2Fsites%2FBureaud%27tudeAR%2DTECHNOLOGIE%2FDOSSIER%20POI&amp;viewpath=%2Fsites%2FBureaud%27tudeAR%2DTECHNOLOGIE%2FDOSSIER%20POI%2FForms%2FAllItems%2Easpx&amp;view=7&amp;q=IMI%2DVS%2D35238%2FJVYE%2D1" TargetMode="External"/><Relationship Id="rId41" Type="http://schemas.openxmlformats.org/officeDocument/2006/relationships/hyperlink" Target="https://artechnologie13.sharepoint.com/sites/Bureaud'tudeAR-TECHNOLOGIE/DOSSIER%20POI/Forms/AllItems.aspx?id=%2Fsites%2FBureaud%27tudeAR%2DTECHNOLOGIE%2FDOSSIER%20POI%2FSPI%20Bretagne%2FIMI%2DVE%2D5624800JR%2D1&amp;viewid=ba243776%2Df837%2D4ace%2D8ee9%2D939a5753cc77&amp;view=0" TargetMode="External"/><Relationship Id="rId62" Type="http://schemas.openxmlformats.org/officeDocument/2006/relationships/hyperlink" Target="https://artechnologie13.sharepoint.com/sites/Bureaud'tudeAR-TECHNOLOGIE/DOSSIER%20POI/Forms/AllItems.aspx?id=%2Fsites%2FBureaud%27tudeAR%2DTECHNOLOGIE%2FDOSSIER%20POI%2FSPI%20Bretagne%2FIMI%2DVS%2D5612101MW%2D1&amp;viewid=ba243776%2Df837%2D4ace%2D8ee9%2D939a5753cc77&amp;view=0" TargetMode="External"/><Relationship Id="rId83" Type="http://schemas.openxmlformats.org/officeDocument/2006/relationships/hyperlink" Target="https://artechnologie13.sharepoint.com/sites/Bureaud'tudeAR-TECHNOLOGIE/DOSSIER%20POI/Forms/AllItems.aspx?id=%2Fsites%2FBureaud%27tudeAR%2DTECHNOLOGIE%2FDOSSIER%20POI%2FSPI%20Bretagne%2FIMI%2DVS%2D35238JPJA%2D1&amp;newTargetListUrl=%2Fsites%2FBureaud%27tudeAR%2DTECHNOLOGIE%2FDOSSIER%20POI&amp;viewpath=%2Fsites%2FBureaud%27tudeAR%2DTECHNOLOGIE%2FDOSSIER%20POI%2FForms%2FAllItems%2Easpx" TargetMode="External"/><Relationship Id="rId88" Type="http://schemas.openxmlformats.org/officeDocument/2006/relationships/hyperlink" Target="https://artechnologie13.sharepoint.com/sites/Bureaud'tudeAR-TECHNOLOGIE/DOSSIER%20POI/Forms/AllItems.aspx?id=%2Fsites%2FBureaud%27tudeAR%2DTECHNOLOGIE%2FDOSSIER%20POI%2FSPI%20Bretagne%2FIMI%2DVS%2D352100056%2D1&amp;newTargetListUrl=%2Fsites%2FBureaud%27tudeAR%2DTECHNOLOGIE%2FDOSSIER%20POI&amp;viewpath=%2Fsites%2FBureaud%27tudeAR%2DTECHNOLOGIE%2FDOSSIER%20POI%2FForms%2FAllItems%2Easpx" TargetMode="External"/><Relationship Id="rId111" Type="http://schemas.openxmlformats.org/officeDocument/2006/relationships/hyperlink" Target="Forms/AllItems.aspx?id=%2Fsites%2FBureaud%27tudeAR%2DTECHNOLOGIE%2FDOSSIER%20POI%2FSPI%20Bretagne%2FIMI%2DVS%2D35238JTVL%2D1&amp;viewid=ba243776%2Df837%2D4ace%2D8ee9%2D939a5753cc77" TargetMode="External"/><Relationship Id="rId15" Type="http://schemas.openxmlformats.org/officeDocument/2006/relationships/hyperlink" Target="https://artechnologie13.sharepoint.com/sites/Bureaud'tudeAR-TECHNOLOGIE/DOSSIER%20POI/Forms/AllItems.aspx?id=%2Fsites%2FBureaud%27tudeAR%2DTECHNOLOGIE%2FDOSSIER%20POI%2FSPI%20Bretagne%2FIMI%2DVS%2D35238JMGN%2D1&amp;viewid=ba243776%2Df837%2D4ace%2D8ee9%2D939a5753cc77&amp;view=7" TargetMode="External"/><Relationship Id="rId36" Type="http://schemas.openxmlformats.org/officeDocument/2006/relationships/hyperlink" Target="https://artechnologie13.sharepoint.com/sites/Bureaud'tudeAR-TECHNOLOGIE/DOSSIER%20POI/Forms/AllItems.aspx?id=%2Fsites%2FBureaud%27tudeAR%2DTECHNOLOGIE%2FDOSSIER%20POI%2FSPI%20Bretagne%2FIMI%2DVS%2D292320J5R%2D1&amp;viewid=ba243776%2Df837%2D4ace%2D8ee9%2D939a5753cc77&amp;view=0" TargetMode="External"/><Relationship Id="rId57" Type="http://schemas.openxmlformats.org/officeDocument/2006/relationships/hyperlink" Target="https://artechnologie13.sharepoint.com/sites/Bureaud'tudeAR-TECHNOLOGIE/DOSSIER%20POI/Forms/AllItems.aspx?id=%2Fsites%2FBureaud%27tudeAR%2DTECHNOLOGIE%2FDOSSIER%20POI%2FSPI%20Bretagne%2FIMI%2DVE%2D5609804ZE%2D1&amp;newTargetListUrl=%2Fsites%2FBureaud%27tudeAR%2DTECHNOLOGIE%2FDOSSIER%20POI&amp;viewpath=%2Fsites%2FBureaud%27tudeAR%2DTECHNOLOGIE%2FDOSSIER%20POI%2FForms%2FAllItems%2Easpx" TargetMode="External"/><Relationship Id="rId106" Type="http://schemas.openxmlformats.org/officeDocument/2006/relationships/hyperlink" Target="Forms/AllItems.aspx?id=%2Fsites%2FBureaud%27tudeAR%2DTECHNOLOGIE%2FDOSSIER%20POI%2FSPI%20Bretagne%2FIMI%2DVS%2D35238JTFQ%2D1&amp;viewid=ba243776%2Df837%2D4ace%2D8ee9%2D939a5753cc77"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artechnologie13.sharepoint.com/sites/Bureaud'tudeAR-TECHNOLOGIE/DOSSIER%20POI/Forms/AllItems.aspx?id=%2Fsites%2FBureaud%27tudeAR%2DTECHNOLOGIE%2FDOSSIER%20POI%2FBAY%2FBAY300408%2FDT&amp;viewid=ba243776%2Df837%2D4ace%2D8ee9%2D939a5753cc77&amp;csf=1&amp;web=1&amp;e=CJr0Yc&amp;CID=26939e5f%2Dae42%2D430e%2Dafda%2De875ae10930d&amp;FolderCTID=0x0120001BD1B7A29D5EA04EB7553F36EEAEE8D2" TargetMode="External"/><Relationship Id="rId21" Type="http://schemas.openxmlformats.org/officeDocument/2006/relationships/hyperlink" Target="https://artechnologie13.sharepoint.com/sites/Bureaud'tudeAR-TECHNOLOGIE/DT1/Forms/AllItems.aspx?id=%2Fsites%2FBureaud%27tudeAR%2DTECHNOLOGIE%2FDT1%2FDEMANDES%2FROD500889%2FDT&amp;viewid=4a761c62%2Dc0e3%2D4ad1%2D9b90%2Daa69488d2e0e&amp;FolderCTID=0x012000D43E1045C1E5A24BB65CD5B8CBCFE3FF" TargetMode="External"/><Relationship Id="rId63" Type="http://schemas.openxmlformats.org/officeDocument/2006/relationships/hyperlink" Target="https://artechnologie13.sharepoint.com/sites/Bureaud'tudeAR-TECHNOLOGIE/DOSSIER%20POI/Forms/AllItems.aspx?id=%2Fsites%2FBureaud%27tudeAR%2DTECHNOLOGIE%2FDOSSIER%20POI%2FMDM%2DDAX%2FIMI%2DVA%2D40294%20023F%2D1%2FDT&amp;viewid=ba243776%2Df837%2D4ace%2D8ee9%2D939a5753cc77" TargetMode="External"/><Relationship Id="rId159" Type="http://schemas.openxmlformats.org/officeDocument/2006/relationships/hyperlink" Target="https://artechnologie13.sharepoint.com/sites/Bureaud'tudeAR-TECHNOLOGIE/DOSSIER%20POI/Forms/AllItems.aspx?id=%2Fsites%2FBureaud%27tudeAR%2DTECHNOLOGIE%2FDOSSIER%20POI%2FMDM%2DDAX%2FMDM300753%2FDT&amp;viewid=ba243776%2Df837%2D4ace%2D8ee9%2D939a5753cc77&amp;FolderCTID=0x0120001BD1B7A29D5EA04EB7553F36EEAEE8D2" TargetMode="External"/><Relationship Id="rId324" Type="http://schemas.openxmlformats.org/officeDocument/2006/relationships/hyperlink" Target="https://artechnologie13.sharepoint.com/sites/Bureaud'tudeAR-TECHNOLOGIE/DOSSIER%20POI/Forms/AllItems.aspx?id=%2Fsites%2FBureaud%27tudeAR%2DTECHNOLOGIE%2FDOSSIER%20POI%2FMDM%2DDAX%2FARC500715%2FDT&amp;viewid=ba243776%2Df837%2D4ace%2D8ee9%2D939a5753cc77&amp;csf=1&amp;web=1&amp;e=SccV3A&amp;CID=2d813abb%2Da047%2D4253%2Db286%2D6e8af2bf2105&amp;FolderCTID=0x0120001BD1B7A29D5EA04EB7553F36EEAEE8D2" TargetMode="External"/><Relationship Id="rId366" Type="http://schemas.openxmlformats.org/officeDocument/2006/relationships/hyperlink" Target="https://artechnologie13.sharepoint.com/sites/Bureaud'tudeAR-TECHNOLOGIE/DOSSIER%20POI/Forms/AllItems.aspx?id=%2Fsites%2FBureaud%27tudeAR%2DTECHNOLOGIE%2FDOSSIER%20POI%2FMDM%2DDAX%2FARC500732%2FDT&amp;sortField=Modified&amp;isAscending=false&amp;viewid=ba243776%2Df837%2D4ace%2D8ee9%2D939a5753cc77&amp;csf=1&amp;web=1&amp;e=iiFdjk&amp;CID=e0a9ef54%2D6c04%2D4155%2Da8bd%2Dda93190f8897&amp;FolderCTID=0x0120001BD1B7A29D5EA04EB7553F36EEAEE8D2" TargetMode="External"/><Relationship Id="rId170" Type="http://schemas.openxmlformats.org/officeDocument/2006/relationships/hyperlink" Target="https://artechnologie13.sharepoint.com/sites/Bureaud'tudeAR-TECHNOLOGIE/DOSSIER%20POI/Forms/AllItems.aspx?id=%2Fsites%2FBureaud%27tudeAR%2DTECHNOLOGIE%2FDOSSIER%20POI%2FMEN%2FMEN500125%2FDT&amp;viewid=ba243776%2Df837%2D4ace%2D8ee9%2D939a5753cc77&amp;FolderCTID=0x0120001BD1B7A29D5EA04EB7553F36EEAEE8D2" TargetMode="External"/><Relationship Id="rId226" Type="http://schemas.openxmlformats.org/officeDocument/2006/relationships/hyperlink" Target="https://artechnologie13.sharepoint.com/sites/Bureaud'tudeAR-TECHNOLOGIE/DOSSIER%20POI/Forms/AllItems.aspx?id=%2Fsites%2FBureaud%27tudeAR%2DTECHNOLOGIE%2FDOSSIER%20POI%2FQPR%20%2D%20CRO%2FQPR501423%2FDT&amp;sortField=Modified&amp;isAscending=false&amp;viewid=ba243776%2Df837%2D4ace%2D8ee9%2D939a5753cc77&amp;csf=1&amp;web=1&amp;e=byaswK&amp;CID=9ea747ca%2Da4e7%2D4e9a%2D95a8%2D701580d43187&amp;FolderCTID=0x0120001BD1B7A29D5EA04EB7553F36EEAEE8D2" TargetMode="External"/><Relationship Id="rId433" Type="http://schemas.openxmlformats.org/officeDocument/2006/relationships/hyperlink" Target="https://artechnologie13.sharepoint.com/sites/Bureaud'tudeAR-TECHNOLOGIE/DOSSIER%20POI/Forms/AllItems.aspx?id=%2Fsites%2FBureaud%27tudeAR%2DTECHNOLOGIE%2FDOSSIER%20POI%2FMDM%2DDAX%2FIMI%2DVA%2D40088%2D17PG%2D2%2FDT&amp;viewid=ba243776%2Df837%2D4ace%2D8ee9%2D939a5753cc77&amp;FolderCTID=0x0120001BD1B7A29D5EA04EB7553F36EEAEE8D2" TargetMode="External"/><Relationship Id="rId268" Type="http://schemas.openxmlformats.org/officeDocument/2006/relationships/hyperlink" Target="https://artechnologie13.sharepoint.com/sites/Bureaud'tudeAR-TECHNOLOGIE/DOSSIER%20POI/Forms/AllItems.aspx?id=%2Fsites%2FBureaud%27tudeAR%2DTECHNOLOGIE%2FDOSSIER%20POI%2FROD%2FROD501507%2FDT&amp;viewid=ba243776%2Df837%2D4ace%2D8ee9%2D939a5753cc77&amp;FolderCTID=0x0120001BD1B7A29D5EA04EB7553F36EEAEE8D2" TargetMode="External"/><Relationship Id="rId475" Type="http://schemas.openxmlformats.org/officeDocument/2006/relationships/hyperlink" Target="https://artechnologie13.sharepoint.com/sites/Bureaud%27tudeAR-TECHNOLOGIE/DOSSIER%20POI/Forms/AllItems.aspx?id=%2Fsites%2FBureaud%27tudeAR%2DTECHNOLOGIE%2FDOSSIER%20POI%2FQPR%20%2D%20CRO%2FQPR600054%2FDT&amp;sortField=Modified&amp;isAscending=false&amp;viewid=ba243776%2Df837%2D4ace%2D8ee9%2D939a5753cc77&amp;p=true" TargetMode="External"/><Relationship Id="rId32" Type="http://schemas.openxmlformats.org/officeDocument/2006/relationships/hyperlink" Target="https://artechnologie13.sharepoint.com/sites/Bureaud'tudeAR-TECHNOLOGIE/DOSSIER%20POI/Forms/AllItems.aspx?id=%2Fsites%2FBureaud%27tudeAR%2DTECHNOLOGIE%2FDOSSIER%20POI%2FMDM%2DDAX%2FIMI%2DVA%2D4028311YK%2D1%2FDT&amp;viewid=ba243776%2Df837%2D4ace%2D8ee9%2D939a5753cc77&amp;FolderCTID=0x0120001BD1B7A29D5EA04EB7553F36EEAEE8D2" TargetMode="External"/><Relationship Id="rId74" Type="http://schemas.openxmlformats.org/officeDocument/2006/relationships/hyperlink" Target="https://artechnologie13.sharepoint.com/sites/Bureaud'tudeAR-TECHNOLOGIE/DOSSIER%20POI/Forms/AllItems.aspx?id=%2Fsites%2FBureaud%27tudeAR%2DTECHNOLOGIE%2FDOSSIER%20POI%2FROD%2FROD401146%2FDT&amp;viewid=ba243776%2Df837%2D4ace%2D8ee9%2D939a5753cc77&amp;FolderCTID=0x0120001BD1B7A29D5EA04EB7553F36EEAEE8D2" TargetMode="External"/><Relationship Id="rId128" Type="http://schemas.openxmlformats.org/officeDocument/2006/relationships/hyperlink" Target="https://artechnologie13.sharepoint.com/sites/Bureaud'tudeAR-TECHNOLOGIE/DOSSIER%20POI/Forms/AllItems.aspx?id=%2Fsites%2FBureaud%27tudeAR%2DTECHNOLOGIE%2FDOSSIER%20POI%2FQPR%20%2D%20CRO%2FRRE501554%2FDT&amp;viewid=ba243776%2Df837%2D4ace%2D8ee9%2D939a5753cc77&amp;csf=1&amp;web=1&amp;e=tNiApO&amp;CID=31c262fb%2D735b%2D4b35%2Db82d%2D69ae84ee289a&amp;FolderCTID=0x0120001BD1B7A29D5EA04EB7553F36EEAEE8D2" TargetMode="External"/><Relationship Id="rId335" Type="http://schemas.openxmlformats.org/officeDocument/2006/relationships/hyperlink" Target="https://artechnologie13.sharepoint.com/sites/Bureaud'tudeAR-TECHNOLOGIE/DOSSIER%20POI/Forms/AllItems.aspx?id=%2Fsites%2FBureaud%27tudeAR%2DTECHNOLOGIE%2FDOSSIER%20POI%2FMDM%2DDAX%2FIMI%2DVA%2D40062%2D0051%2D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377" Type="http://schemas.openxmlformats.org/officeDocument/2006/relationships/hyperlink" Target="https://artechnologie13.sharepoint.com/sites/Bureaud'tudeAR-TECHNOLOGIE/DOSSIER%20POI/Forms/AllItems.aspx?id=%2Fsites%2FBureaud%27tudeAR%2DTECHNOLOGIE%2FDOSSIER%20POI%2FMEN%2FMEN500656%2FDT&amp;sortField=Modified&amp;isAscending=false&amp;viewid=ba243776%2Df837%2D4ace%2D8ee9%2D939a5753cc77" TargetMode="External"/><Relationship Id="rId500" Type="http://schemas.openxmlformats.org/officeDocument/2006/relationships/hyperlink" Target="https://artechnologie13.sharepoint.com/sites/Bureaud%27tudeAR-TECHNOLOGIE/DOSSIER%20POI/Forms/AllItems.aspx?id=%2Fsites%2FBureaud%27tudeAR%2DTECHNOLOGIE%2FDOSSIER%20POI%2FQPR%20%2D%20CRO%2FVAN600303%2FDT&amp;sortField=Modified&amp;isAscending=false&amp;viewid=ba243776%2Df837%2D4ace%2D8ee9%2D939a5753cc77&amp;FolderCTID=0x0120001BD1B7A29D5EA04EB7553F36EEAEE8D2" TargetMode="External"/><Relationship Id="rId5" Type="http://schemas.openxmlformats.org/officeDocument/2006/relationships/hyperlink" Target="https://artechnologie13.sharepoint.com/sites/Bureaud'tudeAR-TECHNOLOGIE/DOSSIER%20POI/Forms/AllItems.aspx?id=%2Fsites%2FBureaud%27tudeAR%2DTECHNOLOGIE%2FDOSSIER%20POI%2FSPI%2040%2D64%2FIMI%2DVA%2D40283%2D11QI&amp;csf=1&amp;web=1&amp;e=eaA5M4&amp;CID=6a7e8f57%2D7d37%2D411b%2Db55f%2D99387e1353c7&amp;FolderCTID=0x0120001BD1B7A29D5EA04EB7553F36EEAEE8D2" TargetMode="External"/><Relationship Id="rId181" Type="http://schemas.openxmlformats.org/officeDocument/2006/relationships/hyperlink" Target="https://artechnologie13.sharepoint.com/sites/Bureaud'tudeAR-TECHNOLOGIE/DOSSIER%20POI/Forms/AllItems.aspx?id=%2Fsites%2FBureaud%27tudeAR%2DTECHNOLOGIE%2FDOSSIER%20POI%2FROD%2FROD401871%2FDT&amp;viewid=ba243776%2Df837%2D4ace%2D8ee9%2D939a5753cc77" TargetMode="External"/><Relationship Id="rId237" Type="http://schemas.openxmlformats.org/officeDocument/2006/relationships/hyperlink" Target="https://artechnologie13.sharepoint.com/sites/Bureaud'tudeAR-TECHNOLOGIE/DOSSIER%20POI/Forms/AllItems.aspx?id=%2Fsites%2FBureaud%27tudeAR%2DTECHNOLOGIE%2FDOSSIER%20POI%2FMDM%2DDAX%2FMDM003509%2FDT&amp;viewid=ba243776%2Df837%2D4ace%2D8ee9%2D939a5753cc77&amp;FolderCTID=0x0120001BD1B7A29D5EA04EB7553F36EEAEE8D2" TargetMode="External"/><Relationship Id="rId402" Type="http://schemas.openxmlformats.org/officeDocument/2006/relationships/hyperlink" Target="https://artechnologie13.sharepoint.com/sites/Bureaud'tudeAR-TECHNOLOGIE/DOSSIER%20POI/Forms/AllItems.aspx?id=%2Fsites%2FBureaud%27tudeAR%2DTECHNOLOGIE%2FDOSSIER%20POI%2FROD%2FROD502064%2FDT&amp;sortField=Modified&amp;isAscending=false&amp;viewid=ba243776%2Df837%2D4ace%2D8ee9%2D939a5753cc77&amp;csf=1&amp;web=1&amp;e=JhATME&amp;CID=028de158%2Dd4dc%2D48b6%2D89c4%2Ddb1f4163a833&amp;FolderCTID=0x0120001BD1B7A29D5EA04EB7553F36EEAEE8D2" TargetMode="External"/><Relationship Id="rId279" Type="http://schemas.openxmlformats.org/officeDocument/2006/relationships/hyperlink" Target="https://artechnologie13.sharepoint.com/sites/Bureaud'tudeAR-TECHNOLOGIE/DOSSIER%20POI/Forms/AllItems.aspx?id=%2Fsites%2FBureaud%27tudeAR%2DTECHNOLOGIE%2FDOSSIER%20POI%2FROD%2FROD500526%2FDT&amp;viewid=ba243776%2Df837%2D4ace%2D8ee9%2D939a5753cc77&amp;FolderCTID=0x0120001BD1B7A29D5EA04EB7553F36EEAEE8D2" TargetMode="External"/><Relationship Id="rId444" Type="http://schemas.openxmlformats.org/officeDocument/2006/relationships/hyperlink" Target="https://artechnologie13.sharepoint.com/sites/Bureaud%27tudeAR-TECHNOLOGIE/DOSSIER%20POI/Forms/AllItems.aspx?id=%2Fsites%2FBureaud%27tudeAR%2DTECHNOLOGIE%2FDOSSIER%20POI%2FMDM%2DDAX%2FIMI%2DVA%2D40088%2D06KT%2D1%2Fretour%20vt%2FDT&amp;sortField=Modified&amp;isAscending=false&amp;viewid=ba243776%2Df837%2D4ace%2D8ee9%2D939a5753cc77&amp;p=true" TargetMode="External"/><Relationship Id="rId486" Type="http://schemas.openxmlformats.org/officeDocument/2006/relationships/hyperlink" Target="https://artechnologie13.sharepoint.com/sites/Bureaud'tudeAR-TECHNOLOGIE/DOSSIER%20POI/Forms/AllItems.aspx?id=%2Fsites%2FBureaud%27tudeAR%2DTECHNOLOGIE%2FDOSSIER%20POI%2FROD%2FROD502116%2FDT&amp;sortField=Modified&amp;isAscending=false&amp;viewid=ba243776%2Df837%2D4ace%2D8ee9%2D939a5753cc77" TargetMode="External"/><Relationship Id="rId43" Type="http://schemas.openxmlformats.org/officeDocument/2006/relationships/hyperlink" Target="https://artechnologie13.sharepoint.com/sites/Bureaud'tudeAR-TECHNOLOGIE/DOSSIER%20POI/Forms/AllItems.aspx?id=%2Fsites%2FBureaud%27tudeAR%2DTECHNOLOGIE%2FDOSSIER%20POI%2FQPR%20%2D%20CRO%2FQPR500726%2FDT&amp;viewid=ba243776%2Df837%2D4ace%2D8ee9%2D939a5753cc77&amp;FolderCTID=0x0120001BD1B7A29D5EA04EB7553F36EEAEE8D2" TargetMode="External"/><Relationship Id="rId139" Type="http://schemas.openxmlformats.org/officeDocument/2006/relationships/hyperlink" Target="https://artechnologie13.sharepoint.com/sites/Bureaud'tudeAR-TECHNOLOGIE/DOSSIER%20POI/Forms/AllItems.aspx?id=%2Fsites%2FBureaud%27tudeAR%2DTECHNOLOGIE%2FDOSSIER%20POI%2FMDM%2DDAX%2FIMI%2DVA%2D40062%2D0053%2D1%2FDT&amp;viewid=ba243776%2Df837%2D4ace%2D8ee9%2D939a5753cc77&amp;csf=1&amp;web=1&amp;e=BrHyGL&amp;CID=68201af4%2De0ab%2D4881%2Db0f0%2Df6550f2646a4&amp;FolderCTID=0x0120001BD1B7A29D5EA04EB7553F36EEAEE8D2" TargetMode="External"/><Relationship Id="rId290" Type="http://schemas.openxmlformats.org/officeDocument/2006/relationships/hyperlink" Target="https://artechnologie13.sharepoint.com/sites/Bureaud'tudeAR-TECHNOLOGIE/DOSSIER%20POI/Forms/AllItems.aspx?id=%2Fsites%2FBureaud%27tudeAR%2DTECHNOLOGIE%2FDOSSIER%20POI%2FMDM%2DDAX%2FMDM500287%2FDT&amp;viewid=ba243776%2Df837%2D4ace%2D8ee9%2D939a5753cc77&amp;csf=1&amp;web=1&amp;e=llsFmx&amp;CID=0293401b%2D5094%2D4bf1%2D990d%2Dea8883b1f15c&amp;FolderCTID=0x0120001BD1B7A29D5EA04EB7553F36EEAEE8D2" TargetMode="External"/><Relationship Id="rId304" Type="http://schemas.openxmlformats.org/officeDocument/2006/relationships/hyperlink" Target="https://artechnologie13.sharepoint.com/sites/Bureaud'tudeAR-TECHNOLOGIE/DOSSIER%20POI/Forms/AllItems.aspx?id=%2Fsites%2FBureaud%27tudeAR%2DTECHNOLOGIE%2FDOSSIER%20POI%2FMDM%2DDAX%2FIMI%2DVA%2D40279%5F15MF%2D1%2FDT2&amp;viewid=ba243776%2Df837%2D4ace%2D8ee9%2D939a5753cc77&amp;FolderCTID=0x0120001BD1B7A29D5EA04EB7553F36EEAEE8D2" TargetMode="External"/><Relationship Id="rId346" Type="http://schemas.openxmlformats.org/officeDocument/2006/relationships/hyperlink" Target="https://artechnologie13.sharepoint.com/sites/Bureaud'tudeAR-TECHNOLOGIE/DOSSIER%20POI/Forms/AllItems.aspx?id=%2Fsites%2FBureaud%27tudeAR%2DTECHNOLOGIE%2FDOSSIER%20POI%2FMEN%2FMEN500269%2FDT&amp;viewid=ba243776%2Df837%2D4ace%2D8ee9%2D939a5753cc77&amp;newTargetListUrl=%2Fsites%2FBureaud%27tudeAR%2DTECHNOLOGIE%2FDOSSIER%20POI&amp;viewpath=%2Fsites%2FBureaud%27tudeAR%2DTECHNOLOGIE%2FDOSSIER%20POI%2FForms%2FAllItems%2Easpx" TargetMode="External"/><Relationship Id="rId388" Type="http://schemas.openxmlformats.org/officeDocument/2006/relationships/hyperlink" Target="https://artechnologie13.sharepoint.com/sites/Bureaud'tudeAR-TECHNOLOGIE/DOSSIER%20POI/Forms/AllItems.aspx?id=%2Fsites%2FBureaud%27tudeAR%2DTECHNOLOGIE%2FDOSSIER%20POI%2FMDM%2DDAX%2FARC500831%2FDT&amp;sortField=Modified&amp;isAscending=false&amp;viewid=ba243776%2Df837%2D4ace%2D8ee9%2D939a5753cc77" TargetMode="External"/><Relationship Id="rId511" Type="http://schemas.openxmlformats.org/officeDocument/2006/relationships/hyperlink" Target="https://artechnologie13.sharepoint.com/sites/Bureaud'tudeAR-TECHNOLOGIE/DOSSIER%20POI/Forms/AllItems.aspx?id=%2Fsites%2FBureaud%27tudeAR%2DTECHNOLOGIE%2FDOSSIER%20POI%2FMEN%2FMEN500670%2FDT&amp;sortField=Modified&amp;isAscending=false&amp;viewid=ba243776%2Df837%2D4ace%2D8ee9%2D939a5753cc77&amp;csf=1&amp;CID=834583a6%2D0b09%2D4127%2D93b5%2Dc71f4baa33f8&amp;FolderCTID=0x0120001BD1B7A29D5EA04EB7553F36EEAEE8D2" TargetMode="External"/><Relationship Id="rId85" Type="http://schemas.openxmlformats.org/officeDocument/2006/relationships/hyperlink" Target="https://artechnologie13.sharepoint.com/sites/Bureaud'tudeAR-TECHNOLOGIE/DOSSIER%20POI/Forms/AllItems.aspx?id=%2Fsites%2FBureaud%27tudeAR%2DTECHNOLOGIE%2FDOSSIER%20POI%2FQPR%20%2D%20CRO%2FLOR500133%2FDT&amp;viewid=ba243776%2Df837%2D4ace%2D8ee9%2D939a5753cc77&amp;FolderCTID=0x0120001BD1B7A29D5EA04EB7553F36EEAEE8D2" TargetMode="External"/><Relationship Id="rId150" Type="http://schemas.openxmlformats.org/officeDocument/2006/relationships/hyperlink" Target="https://artechnologie13.sharepoint.com/sites/Bureaud'tudeAR-TECHNOLOGIE/DOSSIER%20POI/Forms/AllItems.aspx?id=%2Fsites%2FBureaud%27tudeAR%2DTECHNOLOGIE%2FDOSSIER%20POI%2FQPR%20%2D%20CRO%2FQPR500631%2FDT&amp;viewid=ba243776%2Df837%2D4ace%2D8ee9%2D939a5753cc77&amp;csf=1&amp;web=1&amp;e=yNfWRR&amp;CID=323bd432%2D42b6%2D4143%2D80cd%2Daedb6d1ac5b0&amp;FolderCTID=0x0120001BD1B7A29D5EA04EB7553F36EEAEE8D2" TargetMode="External"/><Relationship Id="rId192" Type="http://schemas.openxmlformats.org/officeDocument/2006/relationships/hyperlink" Target="https://artechnologie13.sharepoint.com/sites/Bureaud'tudeAR-TECHNOLOGIE/DOSSIER%20POI/Forms/AllItems.aspx?id=%2Fsites%2FBureaud%27tudeAR%2DTECHNOLOGIE%2FDOSSIER%20POI%2FROD%2FROD401448%2FDT&amp;viewid=ba243776%2Df837%2D4ace%2D8ee9%2D939a5753cc77&amp;FolderCTID=0x0120001BD1B7A29D5EA04EB7553F36EEAEE8D2" TargetMode="External"/><Relationship Id="rId206" Type="http://schemas.openxmlformats.org/officeDocument/2006/relationships/hyperlink" Target="https://artechnologie13.sharepoint.com/sites/Bureaud'tudeAR-TECHNOLOGIE/DOSSIER%20POI/Forms/AllItems.aspx?id=%2Fsites%2FBureaud%27tudeAR%2DTECHNOLOGIE%2FDOSSIER%20POI%2FQPR%20%2D%20CRO%2FLOR501153%2FDT&amp;viewid=ba243776%2Df837%2D4ace%2D8ee9%2D939a5753cc77&amp;FolderCTID=0x0120001BD1B7A29D5EA04EB7553F36EEAEE8D2" TargetMode="External"/><Relationship Id="rId413" Type="http://schemas.openxmlformats.org/officeDocument/2006/relationships/hyperlink" Target="https://artechnologie13.sharepoint.com/sites/Bureaud'tudeAR-TECHNOLOGIE/DOSSIER%20POI/Forms/AllItems.aspx?id=%2Fsites%2FBureaud%27tudeAR%2DTECHNOLOGIE%2FDOSSIER%20POI%2FMDM%2DDAX%2FARC500965%2FDT&amp;viewid=ba243776%2Df837%2D4ace%2D8ee9%2D939a5753cc77&amp;FolderCTID=0x0120001BD1B7A29D5EA04EB7553F36EEAEE8D2" TargetMode="External"/><Relationship Id="rId248" Type="http://schemas.openxmlformats.org/officeDocument/2006/relationships/hyperlink" Target="https://artechnologie13.sharepoint.com/sites/Bureaud'tudeAR-TECHNOLOGIE/DOSSIER%20POI/Forms/AllItems.aspx?id=%2Fsites%2FBureaud%27tudeAR%2DTECHNOLOGIE%2FDOSSIER%20POI%2FMDM%2DDAX%2FMDM500532%2FDT&amp;viewid=ba243776%2Df837%2D4ace%2D8ee9%2D939a5753cc77&amp;csf=1&amp;web=1&amp;e=P6SXh7&amp;CID=7aa1235e%2Dd75f%2D4cd9%2D97f0%2D8865a8828726&amp;FolderCTID=0x0120001BD1B7A29D5EA04EB7553F36EEAEE8D2" TargetMode="External"/><Relationship Id="rId455" Type="http://schemas.openxmlformats.org/officeDocument/2006/relationships/hyperlink" Target="https://artechnologie13.sharepoint.com/sites/Bureaud'tudeAR-TECHNOLOGIE/DOSSIER%20POI/Forms/AllItems.aspx?id=%2Fsites%2FBureaud%27tudeAR%2DTECHNOLOGIE%2FDOSSIER%20POI%2FROD%2FROD600035%2FDT&amp;sortField=Modified&amp;isAscending=false&amp;viewid=ba243776%2Df837%2D4ace%2D8ee9%2D939a5753cc77" TargetMode="External"/><Relationship Id="rId497" Type="http://schemas.openxmlformats.org/officeDocument/2006/relationships/hyperlink" Target="https://artechnologie13.sharepoint.com/sites/Bureaud'tudeAR-TECHNOLOGIE/DOSSIER%20POI/Forms/AllItems.aspx?id=%2Fsites%2FBureaud%27tudeAR%2DTECHNOLOGIE%2FDOSSIER%20POI%2FROD%2FROD501817%2FRetour%20VT%20ROD501817%2FDT&amp;sortField=Modified&amp;isAscending=false&amp;viewid=ba243776%2Df837%2D4ace%2D8ee9%2D939a5753cc77" TargetMode="External"/><Relationship Id="rId12" Type="http://schemas.openxmlformats.org/officeDocument/2006/relationships/hyperlink" Target="https://artechnologie13.sharepoint.com/sites/Bureaud'tudeAR-TECHNOLOGIE/DOSSIER%20POI/Forms/AllItems.aspx?id=%2Fsites%2FBureaud%27tudeAR%2DTECHNOLOGIE%2FDOSSIER%20POI%2FROD%2FROD500627%2FDT&amp;viewid=ba243776%2Df837%2D4ace%2D8ee9%2D939a5753cc77&amp;FolderCTID=0x0120001BD1B7A29D5EA04EB7553F36EEAEE8D2" TargetMode="External"/><Relationship Id="rId108" Type="http://schemas.openxmlformats.org/officeDocument/2006/relationships/hyperlink" Target="https://artechnologie13.sharepoint.com/sites/Bureaud'tudeAR-TECHNOLOGIE/DOSSIER%20POI/Forms/AllItems.aspx?id=%2Fsites%2FBureaud%27tudeAR%2DTECHNOLOGIE%2FDOSSIER%20POI%2FROD%2FROD501197%2FRetour%20VT%2FDT&amp;viewid=ba243776%2Df837%2D4ace%2D8ee9%2D939a5753cc77&amp;csf=1&amp;web=1&amp;e=mRTmTa&amp;CID=a1ea1527%2D1a68%2D4a16%2D86e9%2D84bb29e0f49e&amp;FolderCTID=0x0120001BD1B7A29D5EA04EB7553F36EEAEE8D2" TargetMode="External"/><Relationship Id="rId315" Type="http://schemas.openxmlformats.org/officeDocument/2006/relationships/hyperlink" Target="https://artechnologie13.sharepoint.com/sites/Bureaud'tudeAR-TECHNOLOGIE/DOSSIER%20POI/Forms/AllItems.aspx?id=%2Fsites%2FBureaud%27tudeAR%2DTECHNOLOGIE%2FDOSSIER%20POI%2FROD%2FROD500345%2FDT&amp;viewid=ba243776%2Df837%2D4ace%2D8ee9%2D939a5753cc77&amp;FolderCTID=0x0120001BD1B7A29D5EA04EB7553F36EEAEE8D2" TargetMode="External"/><Relationship Id="rId357" Type="http://schemas.openxmlformats.org/officeDocument/2006/relationships/hyperlink" Target="https://artechnologie13.sharepoint.com/sites/Bureaud'tudeAR-TECHNOLOGIE/DOSSIER%20POI/Forms/AllItems.aspx?id=%2Fsites%2FBureaud%27tudeAR%2DTECHNOLOGIE%2FDOSSIER%20POI%2FMEN%2FMEN500149%2FDT2&amp;viewid=ba243776%2Df837%2D4ace%2D8ee9%2D939a5753cc77&amp;csf=1&amp;web=1&amp;e=6fbort&amp;CID=de9be6cc%2D6689%2D49dd%2Da066%2D8cabd53a67f4&amp;FolderCTID=0x0120001BD1B7A29D5EA04EB7553F36EEAEE8D2" TargetMode="External"/><Relationship Id="rId54" Type="http://schemas.openxmlformats.org/officeDocument/2006/relationships/hyperlink" Target="https://artechnologie13.sharepoint.com/sites/Bureaud'tudeAR-TECHNOLOGIE/DOSSIER%20POI/Forms/AllItems.aspx?id=%2Fsites%2FBureaud%27tudeAR%2DTECHNOLOGIE%2FDOSSIER%20POI%2FMEN%2FMEN500361%2FDT&amp;viewid=ba243776%2Df837%2D4ace%2D8ee9%2D939a5753cc77&amp;FolderCTID=0x0120001BD1B7A29D5EA04EB7553F36EEAEE8D2" TargetMode="External"/><Relationship Id="rId96" Type="http://schemas.openxmlformats.org/officeDocument/2006/relationships/hyperlink" Target="https://artechnologie13.sharepoint.com/sites/Bureaud'tudeAR-TECHNOLOGIE/DOSSIER%20POI/Forms/AllItems.aspx?id=%2Fsites%2FBureaud%27tudeAR%2DTECHNOLOGIE%2FDOSSIER%20POI%2FBAY%2FBAY400536%2FDT&amp;viewid=ba243776%2Df837%2D4ace%2D8ee9%2D939a5753cc77&amp;FolderCTID=0x0120001BD1B7A29D5EA04EB7553F36EEAEE8D2" TargetMode="External"/><Relationship Id="rId161" Type="http://schemas.openxmlformats.org/officeDocument/2006/relationships/hyperlink" Target="https://artechnologie13.sharepoint.com/sites/Bureaud'tudeAR-TECHNOLOGIE/DOSSIER%20POI/Forms/AllItems.aspx?id=%2Fsites%2FBureaud%27tudeAR%2DTECHNOLOGIE%2FDOSSIER%20POI%2FMEN%2FMEN500422%2FDT&amp;viewid=ba243776%2Df837%2D4ace%2D8ee9%2D939a5753cc77&amp;FolderCTID=0x0120001BD1B7A29D5EA04EB7553F36EEAEE8D2" TargetMode="External"/><Relationship Id="rId217" Type="http://schemas.openxmlformats.org/officeDocument/2006/relationships/hyperlink" Target="https://artechnologie13.sharepoint.com/sites/Bureaud'tudeAR-TECHNOLOGIE/DOSSIER%20POI/Forms/AllItems.aspx?id=%2Fsites%2FBureaud%27tudeAR%2DTECHNOLOGIE%2FDOSSIER%20POI%2FQPR%20%2D%20CRO%2FLOR500925%2FDT&amp;sortField=Modified&amp;isAscending=false&amp;viewid=ba243776%2Df837%2D4ace%2D8ee9%2D939a5753cc77&amp;csf=1&amp;web=1&amp;e=owQXVh&amp;CID=c5b168e7%2D67df%2D41af%2Db0d7%2D508a6306f4cd&amp;FolderCTID=0x0120001BD1B7A29D5EA04EB7553F36EEAEE8D2" TargetMode="External"/><Relationship Id="rId399" Type="http://schemas.openxmlformats.org/officeDocument/2006/relationships/hyperlink" Target="https://artechnologie13.sharepoint.com/sites/Bureaud'tudeAR-TECHNOLOGIE/DOSSIER%20POI/Forms/AllItems.aspx?id=%2Fsites%2FBureaud%27tudeAR%2DTECHNOLOGIE%2FDOSSIER%20POI%2FSPI%2040%2D64%2FIMI%2DVA%2D40234%2D009R%2D1%2FRETOUR%20VT%2FDT&amp;viewid=ba243776%2Df837%2D4ace%2D8ee9%2D939a5753cc77" TargetMode="External"/><Relationship Id="rId259" Type="http://schemas.openxmlformats.org/officeDocument/2006/relationships/hyperlink" Target="https://artechnologie13.sharepoint.com/sites/Bureaud'tudeAR-TECHNOLOGIE/DOSSIER%20POI/Forms/AllItems.aspx?id=%2Fsites%2FBureaud%27tudeAR%2DTECHNOLOGIE%2FDOSSIER%20POI%2FQPR%20%2D%20CRO%2FQPR500040%2FDT&amp;sortField=Modified&amp;isAscending=false&amp;viewid=ba243776%2Df837%2D4ace%2D8ee9%2D939a5753cc77&amp;csf=1&amp;web=1&amp;e=rpmcna&amp;CID=89330d6f%2D3a99%2D424b%2D8f70%2Dcdd687054232&amp;FolderCTID=0x0120001BD1B7A29D5EA04EB7553F36EEAEE8D2" TargetMode="External"/><Relationship Id="rId424" Type="http://schemas.openxmlformats.org/officeDocument/2006/relationships/hyperlink" Target="https://artechnologie13.sharepoint.com/sites/Bureaud'tudeAR-TECHNOLOGIE/DOSSIER%20POI/Forms/AllItems.aspx?id=%2Fsites%2FBureaud%27tudeAR%2DTECHNOLOGIE%2FDOSSIER%20POI%2FMEN%2FMEN500710%2FDT&amp;sortField=Modified&amp;isAscending=false&amp;viewid=ba243776%2Df837%2D4ace%2D8ee9%2D939a5753cc77&amp;csf=1&amp;web=1&amp;e=xJSWPp&amp;CID=834583a6%2D0b09%2D4127%2D93b5%2Dc71f4baa33f8&amp;FolderCTID=0x0120001BD1B7A29D5EA04EB7553F36EEAEE8D2" TargetMode="External"/><Relationship Id="rId466" Type="http://schemas.openxmlformats.org/officeDocument/2006/relationships/hyperlink" Target="https://artechnologie13.sharepoint.com/sites/Bureaud'tudeAR-TECHNOLOGIE/DOSSIER%20POI/Forms/AllItems.aspx?id=%2Fsites%2FBureaud%27tudeAR%2DTECHNOLOGIE%2FDOSSIER%20POI%2FROD%2FROD501804%2FRetour%20VT%2030%2D01%2D2026%2FDT&amp;sortField=Modified&amp;isAscending=false&amp;viewid=ba243776%2Df837%2D4ace%2D8ee9%2D939a5753cc77" TargetMode="External"/><Relationship Id="rId23" Type="http://schemas.openxmlformats.org/officeDocument/2006/relationships/hyperlink" Target="https://artechnologie13.sharepoint.com/sites/Bureaud%27tudeAR-TECHNOLOGIE/DOSSIER%20POI/Forms/AllItems.aspx?id=%2Fsites%2FBureaud%27tudeAR%2DTECHNOLOGIE%2FDOSSIER%20POI%2FMDM%2DDAX%2FMDM500002%2FRetour%20VT%2FDT&amp;viewid=ba243776%2Df837%2D4ace%2D8ee9%2D939a5753cc77" TargetMode="External"/><Relationship Id="rId119" Type="http://schemas.openxmlformats.org/officeDocument/2006/relationships/hyperlink" Target="https://artechnologie13.sharepoint.com/sites/Bureaud'tudeAR-TECHNOLOGIE/DOSSIER%20POI/Forms/AllItems.aspx?id=%2Fsites%2FBureaud%27tudeAR%2DTECHNOLOGIE%2FDOSSIER%20POI%2FMDM%2DDAX%2FMDM400210%2FDT&amp;viewid=ba243776%2Df837%2D4ace%2D8ee9%2D939a5753cc77&amp;FolderCTID=0x0120001BD1B7A29D5EA04EB7553F36EEAEE8D2" TargetMode="External"/><Relationship Id="rId270" Type="http://schemas.openxmlformats.org/officeDocument/2006/relationships/hyperlink" Target="https://artechnologie13.sharepoint.com/sites/Bureaud'tudeAR-TECHNOLOGIE/DOSSIER%20POI/Forms/AllItems.aspx?id=%2Fsites%2FBureaud%27tudeAR%2DTECHNOLOGIE%2FDOSSIER%20POI%2FQPR%20%2D%20CRO%2FQPR501406%2FDT&amp;sortField=Modified&amp;isAscending=false&amp;viewid=ba243776%2Df837%2D4ace%2D8ee9%2D939a5753cc77&amp;csf=1&amp;web=1&amp;e=owQXVh&amp;CID=c5b168e7%2D67df%2D41af%2Db0d7%2D508a6306f4cd&amp;FolderCTID=0x0120001BD1B7A29D5EA04EB7553F36EEAEE8D2" TargetMode="External"/><Relationship Id="rId326" Type="http://schemas.openxmlformats.org/officeDocument/2006/relationships/hyperlink" Target="https://artechnologie13.sharepoint.com/sites/Bureaud'tudeAR-TECHNOLOGIE/DOSSIER%20POI/Forms/AllItems.aspx?id=%2Fsites%2FBureaud%27tudeAR%2DTECHNOLOGIE%2FDOSSIER%20POI%2FQPR%20%2D%20CRO%2FQPR501867%2FDT&amp;viewid=ba243776%2Df837%2D4ace%2D8ee9%2D939a5753cc77&amp;FolderCTID=0x0120001BD1B7A29D5EA04EB7553F36EEAEE8D2" TargetMode="External"/><Relationship Id="rId65" Type="http://schemas.openxmlformats.org/officeDocument/2006/relationships/hyperlink" Target="https://artechnologie13.sharepoint.com/sites/Bureaud'tudeAR-TECHNOLOGIE/DOSSIER%20POI/Forms/AllItems.aspx?id=%2Fsites%2FBureaud%27tudeAR%2DTECHNOLOGIE%2FDOSSIER%20POI%2FMDM%2DDAX%2FIMI%2DVA%2D40123%2001O2%2D1%2FDT&amp;sortField=Modified&amp;isAscending=false&amp;viewid=ba243776%2Df837%2D4ace%2D8ee9%2D939a5753cc77&amp;csf=1&amp;web=1&amp;e=qce3g3&amp;CID=220d3839%2Dae06%2D4b53%2Db92c%2Dfc38ff643955&amp;FolderCTID=0x0120001BD1B7A29D5EA04EB7553F36EEAEE8D2" TargetMode="External"/><Relationship Id="rId130" Type="http://schemas.openxmlformats.org/officeDocument/2006/relationships/hyperlink" Target="https://artechnologie13.sharepoint.com/sites/Bureaud'tudeAR-TECHNOLOGIE/DOSSIER%20POI/Forms/AllItems.aspx?id=%2Fsites%2FBureaud%27tudeAR%2DTECHNOLOGIE%2FDOSSIER%20POI%2FQPR%20%2D%20CRO%2FCRO500116%2FDT&amp;sortField=Modified&amp;isAscending=false&amp;viewid=ba243776%2Df837%2D4ace%2D8ee9%2D939a5753cc77&amp;csf=1&amp;web=1&amp;e=owQXVh&amp;CID=c5b168e7%2D67df%2D41af%2Db0d7%2D508a6306f4cd&amp;FolderCTID=0x0120001BD1B7A29D5EA04EB7553F36EEAEE8D2" TargetMode="External"/><Relationship Id="rId368" Type="http://schemas.openxmlformats.org/officeDocument/2006/relationships/hyperlink" Target="https://artechnologie13.sharepoint.com/sites/Bureaud'tudeAR-TECHNOLOGIE/DOSSIER%20POI/Forms/AllItems.aspx?id=%2Fsites%2FBureaud%27tudeAR%2DTECHNOLOGIE%2FDOSSIER%20POI%2FMDM%2DDAX%2FARC500827%2FDT&amp;sortField=Modified&amp;isAscending=false&amp;viewid=ba243776%2Df837%2D4ace%2D8ee9%2D939a5753cc77" TargetMode="External"/><Relationship Id="rId172" Type="http://schemas.openxmlformats.org/officeDocument/2006/relationships/hyperlink" Target="https://artechnologie13.sharepoint.com/sites/Bureaud'tudeAR-TECHNOLOGIE/DOSSIER%20POI/Forms/AllItems.aspx?id=%2Fsites%2FBureaud%27tudeAR%2DTECHNOLOGIE%2FDOSSIER%20POI%2FMEN%2FMEN500256%2FDT&amp;sortField=Modified&amp;isAscending=false&amp;viewid=ba243776%2Df837%2D4ace%2D8ee9%2D939a5753cc77&amp;csf=1&amp;web=1&amp;e=P4zUxK&amp;CID=6a2d5e78%2Ddbaf%2D4417%2Db6d2%2Dc62ad13b4f40&amp;FolderCTID=0x0120001BD1B7A29D5EA04EB7553F36EEAEE8D2" TargetMode="External"/><Relationship Id="rId228" Type="http://schemas.openxmlformats.org/officeDocument/2006/relationships/hyperlink" Target="https://artechnologie13.sharepoint.com/sites/Bureaud'tudeAR-TECHNOLOGIE/DOSSIER%20POI/Forms/AllItems.aspx?id=%2Fsites%2FBureaud%27tudeAR%2DTECHNOLOGIE%2FDOSSIER%20POI%2FMDM%2DDAX%2FMDM500489%2FDT&amp;viewid=ba243776%2Df837%2D4ace%2D8ee9%2D939a5753cc77&amp;csf=1&amp;web=1&amp;e=vBvMrX&amp;CID=cdfb9ad1%2D8547%2D49a8%2Dbc24%2D54f993fa0bb3&amp;FolderCTID=0x0120001BD1B7A29D5EA04EB7553F36EEAEE8D2" TargetMode="External"/><Relationship Id="rId435" Type="http://schemas.openxmlformats.org/officeDocument/2006/relationships/hyperlink" Target="https://artechnologie13.sharepoint.com/sites/Bureaud'tudeAR-TECHNOLOGIE/DOSSIER%20POI/Forms/AllItems.aspx?id=%2Fsites%2FBureaud%27tudeAR%2DTECHNOLOGIE%2FDOSSIER%20POI%2FROD%2FROD500391%2FDT&amp;viewid=ba243776%2Df837%2D4ace%2D8ee9%2D939a5753cc77&amp;csf=1&amp;web=1&amp;e=rhtSzT&amp;CID=e610003d%2De6c2%2D428a%2Da531%2Da4f997345fb9&amp;FolderCTID=0x0120001BD1B7A29D5EA04EB7553F36EEAEE8D2" TargetMode="External"/><Relationship Id="rId477" Type="http://schemas.openxmlformats.org/officeDocument/2006/relationships/hyperlink" Target="https://artechnologie13.sharepoint.com/sites/Bureaud%27tudeAR-TECHNOLOGIE/DOSSIER%20POI/Forms/AllItems.aspx?id=%2Fsites%2FBureaud%27tudeAR%2DTECHNOLOGIE%2FDOSSIER%20POI%2FMDM%2DDAX%2FIMI%2DVA%2D40279%2D15PU%2D1%2FDT&amp;sortField=Modified&amp;isAscending=false&amp;viewid=ba243776%2Df837%2D4ace%2D8ee9%2D939a5753cc77&amp;p=true" TargetMode="External"/><Relationship Id="rId281" Type="http://schemas.openxmlformats.org/officeDocument/2006/relationships/hyperlink" Target="https://artechnologie13.sharepoint.com/sites/Bureaud'tudeAR-TECHNOLOGIE/DOSSIER%20POI/Forms/AllItems.aspx?id=%2Fsites%2FBureaud%27tudeAR%2DTECHNOLOGIE%2FDOSSIER%20POI%2FMEN%2FROD501566%2FDT&amp;viewid=ba243776%2Df837%2D4ace%2D8ee9%2D939a5753cc77&amp;FolderCTID=0x0120001BD1B7A29D5EA04EB7553F36EEAEE8D2" TargetMode="External"/><Relationship Id="rId337" Type="http://schemas.openxmlformats.org/officeDocument/2006/relationships/hyperlink" Target="https://artechnologie13.sharepoint.com/sites/Bureaud'tudeAR-TECHNOLOGIE/DOSSIER%20POI/Forms/AllItems.aspx?id=%2Fsites%2FBureaud%27tudeAR%2DTECHNOLOGIE%2FDOSSIER%20POI%2FQPR%20%2D%20CRO%2FQPR500841%2FDT&amp;sortField=Modified&amp;isAscending=false&amp;viewid=ba243776%2Df837%2D4ace%2D8ee9%2D939a5753cc77&amp;csf=1&amp;web=1&amp;e=owQXVh&amp;CID=c5b168e7%2D67df%2D41af%2Db0d7%2D508a6306f4cd&amp;FolderCTID=0x0120001BD1B7A29D5EA04EB7553F36EEAEE8D2" TargetMode="External"/><Relationship Id="rId502" Type="http://schemas.openxmlformats.org/officeDocument/2006/relationships/hyperlink" Target="https://artechnologie13.sharepoint.com/sites/Bureaud%27tudeAR-TECHNOLOGIE/DOSSIER%20POI/Forms/AllItems.aspx?id=%2Fsites%2FBureaud%27tudeAR%2DTECHNOLOGIE%2FDOSSIER%20POI%2FQPR%20%2D%20CRO%2FVAN600329%2FDT&amp;sortField=Modified&amp;isAscending=false&amp;viewid=ba243776%2Df837%2D4ace%2D8ee9%2D939a5753cc77&amp;csf=1&amp;CID=c5b168e7%2D67df%2D41af%2Db0d7%2D508a6306f4cd&amp;FolderCTID=0x0120001BD1B7A29D5EA04EB7553F36EEAEE8D2" TargetMode="External"/><Relationship Id="rId34" Type="http://schemas.openxmlformats.org/officeDocument/2006/relationships/hyperlink" Target="https://artechnologie13.sharepoint.com/sites/Bureaud%27tudeAR-TECHNOLOGIE/DOSSIER%20POI/Forms/AllItems.aspx?id=%2Fsites%2FBureaud%27tudeAR%2DTECHNOLOGIE%2FDOSSIER%20POI%2FROD%2FROD500905%2FDT&amp;sortField=Modified&amp;isAscending=false&amp;viewid=ba243776%2Df837%2D4ace%2D8ee9%2D939a5753cc77&amp;csf=1&amp;web=1&amp;e=xUPcuK&amp;CID=e382a5b9%2D168f%2D4447%2D9601%2D78fc7bfb7038&amp;FolderCTID=0x0120001BD1B7A29D5EA04EB7553F36EEAEE8D2" TargetMode="External"/><Relationship Id="rId76" Type="http://schemas.openxmlformats.org/officeDocument/2006/relationships/hyperlink" Target="https://artechnologie13.sharepoint.com/sites/Bureaud'tudeAR-TECHNOLOGIE/DOSSIER%20POI/Forms/AllItems.aspx?id=%2Fsites%2FBureaud%27tudeAR%2DTECHNOLOGIE%2FDOSSIER%20POI%2FMDM%2DDAX%2FMDM400434%2FDT&amp;viewid=ba243776%2Df837%2D4ace%2D8ee9%2D939a5753cc77&amp;csf=1&amp;web=1&amp;e=a8XjnX&amp;CID=e5f023a7%2Dbf97%2D4c0b%2Da5db%2Dcd173cbe3151&amp;FolderCTID=0x0120001BD1B7A29D5EA04EB7553F36EEAEE8D2" TargetMode="External"/><Relationship Id="rId141" Type="http://schemas.openxmlformats.org/officeDocument/2006/relationships/hyperlink" Target="https://artechnologie13.sharepoint.com/sites/Bureaud'tudeAR-TECHNOLOGIE/DOSSIER%20POI/Forms/AllItems.aspx?id=%2Fsites%2FBureaud%27tudeAR%2DTECHNOLOGIE%2FDOSSIER%20POI%2FMDM%2DDAX%2FMDM500490%2FDT&amp;viewid=ba243776%2Df837%2D4ace%2D8ee9%2D939a5753cc77&amp;csf=1&amp;web=1&amp;e=aWuSrR&amp;CID=3995cf42%2D6e61%2D420a%2Da1e9%2D17e968ad8ce0&amp;FolderCTID=0x0120001BD1B7A29D5EA04EB7553F36EEAEE8D2" TargetMode="External"/><Relationship Id="rId379" Type="http://schemas.openxmlformats.org/officeDocument/2006/relationships/hyperlink" Target="https://artechnologie13.sharepoint.com/sites/Bureaud'tudeAR-TECHNOLOGIE/DOSSIER%20POI/Forms/AllItems.aspx?id=%2Fsites%2FBureaud%27tudeAR%2DTECHNOLOGIE%2FDOSSIER%20POI%2FQPR%20%2D%20CRO%2FLOR501468%2FDT&amp;sortField=Modified&amp;isAscending=false&amp;viewid=ba243776%2Df837%2D4ace%2D8ee9%2D939a5753cc77" TargetMode="External"/><Relationship Id="rId7" Type="http://schemas.openxmlformats.org/officeDocument/2006/relationships/hyperlink" Target="https://artechnologie13.sharepoint.com/sites/Bureaud'tudeAR-TECHNOLOGIE/DOSSIER%20POI/Forms/AllItems.aspx?id=%2Fsites%2FBureaud%27tudeAR%2DTECHNOLOGIE%2FDOSSIER%20POI%2FMEN%2FMEN500320%2FDT&amp;viewid=ba243776%2Df837%2D4ace%2D8ee9%2D939a5753cc77&amp;FolderCTID=0x0120001BD1B7A29D5EA04EB7553F36EEAEE8D2" TargetMode="External"/><Relationship Id="rId183" Type="http://schemas.openxmlformats.org/officeDocument/2006/relationships/hyperlink" Target="https://artechnologie13.sharepoint.com/sites/Bureaud'tudeAR-TECHNOLOGIE/DOSSIER%20POI/Forms/AllItems.aspx?id=%2Fsites%2FBureaud%27tudeAR%2DTECHNOLOGIE%2FDOSSIER%20POI%2FROD%2FROD501273%2FDT&amp;viewid=ba243776%2Df837%2D4ace%2D8ee9%2D939a5753cc77&amp;csf=1&amp;web=1&amp;e=1DdcZA&amp;CID=15f073df%2Da28d%2D49f6%2D8d65%2Db78713576735&amp;FolderCTID=0x0120001BD1B7A29D5EA04EB7553F36EEAEE8D2" TargetMode="External"/><Relationship Id="rId239" Type="http://schemas.openxmlformats.org/officeDocument/2006/relationships/hyperlink" Target="https://artechnologie13.sharepoint.com/sites/Bureaud'tudeAR-TECHNOLOGIE/DOSSIER%20POI/Forms/AllItems.aspx?id=%2Fsites%2FBureaud%27tudeAR%2DTECHNOLOGIE%2FDOSSIER%20POI%2FMEN%2FMEN500435%2FDT&amp;viewid=ba243776%2Df837%2D4ace%2D8ee9%2D939a5753cc77&amp;csf=1&amp;web=1&amp;e=HS79GQ&amp;CID=39264dc4%2D10fb%2D48e4%2Dbc25%2D5719c782d398&amp;FolderCTID=0x0120001BD1B7A29D5EA04EB7553F36EEAEE8D2" TargetMode="External"/><Relationship Id="rId390" Type="http://schemas.openxmlformats.org/officeDocument/2006/relationships/hyperlink" Target="https://artechnologie13.sharepoint.com/sites/Bureaud'tudeAR-TECHNOLOGIE/DOSSIER%20POI/Forms/AllItems.aspx?id=%2Fsites%2FBureaud%27tudeAR%2DTECHNOLOGIE%2FDOSSIER%20POI%2FQPR%20%2D%20CRO%2FCRO500276%2FDT&amp;viewid=ba243776%2Df837%2D4ace%2D8ee9%2D939a5753cc77&amp;FolderCTID=0x0120001BD1B7A29D5EA04EB7553F36EEAEE8D2" TargetMode="External"/><Relationship Id="rId404" Type="http://schemas.openxmlformats.org/officeDocument/2006/relationships/hyperlink" Target="https://artechnologie13.sharepoint.com/sites/Bureaud'tudeAR-TECHNOLOGIE/DOSSIER%20POI/Forms/AllItems.aspx?id=%2Fsites%2FBureaud%27tudeAR%2DTECHNOLOGIE%2FDOSSIER%20POI%2FMDM%2DDAX%2FARC500952%2FDT&amp;sortField=Modified&amp;isAscending=false&amp;viewid=ba243776%2Df837%2D4ace%2D8ee9%2D939a5753cc77&amp;csf=1&amp;web=1&amp;e=iV2Yoj&amp;CID=4e31e7ae%2Dd866%2D4c9e%2Dbf24%2De0ab88c36e01&amp;FolderCTID=0x0120001BD1B7A29D5EA04EB7553F36EEAEE8D2" TargetMode="External"/><Relationship Id="rId446" Type="http://schemas.openxmlformats.org/officeDocument/2006/relationships/hyperlink" Target="https://artechnologie13.sharepoint.com/sites/Bureaud'tudeAR-TECHNOLOGIE/DOSSIER%20POI/Forms/AllItems.aspx?id=%2Fsites%2FBureaud%27tudeAR%2DTECHNOLOGIE%2FDOSSIER%20POI%2FMEN%2FMEN600005%2FDT&amp;sortField=Modified&amp;isAscending=false&amp;viewid=ba243776%2Df837%2D4ace%2D8ee9%2D939a5753cc77&amp;csf=1&amp;CID=834583a6%2D0b09%2D4127%2D93b5%2Dc71f4baa33f8&amp;FolderCTID=0x0120001BD1B7A29D5EA04EB7553F36EEAEE8D2" TargetMode="External"/><Relationship Id="rId250" Type="http://schemas.openxmlformats.org/officeDocument/2006/relationships/hyperlink" Target="https://artechnologie13.sharepoint.com/sites/Bureaud'tudeAR-TECHNOLOGIE/DOSSIER%20POI/Forms/AllItems.aspx?id=%2Fsites%2FBureaud%27tudeAR%2DTECHNOLOGIE%2FDOSSIER%20POI%2FMDM%2DDAX%2FMDM400427%2FDT&amp;viewid=ba243776%2Df837%2D4ace%2D8ee9%2D939a5753cc77&amp;newTargetListUrl=%2Fsites%2FBureaud%27tudeAR%2DTECHNOLOGIE%2FDOSSIER%20POI&amp;viewpath=%2Fsites%2FBureaud%27tudeAR%2DTECHNOLOGIE%2FDOSSIER%20POI%2FForms%2FAllItems%2Easpx" TargetMode="External"/><Relationship Id="rId292" Type="http://schemas.openxmlformats.org/officeDocument/2006/relationships/hyperlink" Target="https://artechnologie13.sharepoint.com/sites/Bureaud'tudeAR-TECHNOLOGIE/DOSSIER%20POI/Forms/AllItems.aspx?id=%2Fsites%2FBureaud%27tudeAR%2DTECHNOLOGIE%2FDOSSIER%20POI%2FQPR%20%2D%20CRO%2FRRE501894%2FDT&amp;sortField=Modified&amp;isAscending=false&amp;viewid=ba243776%2Df837%2D4ace%2D8ee9%2D939a5753cc77&amp;csf=1&amp;web=1&amp;e=9WvHyN&amp;CID=36301bcb%2D5b9c%2D44bf%2D88d4%2D647a11855c95&amp;FolderCTID=0x0120001BD1B7A29D5EA04EB7553F36EEAEE8D2" TargetMode="External"/><Relationship Id="rId306" Type="http://schemas.openxmlformats.org/officeDocument/2006/relationships/hyperlink" Target="https://artechnologie13.sharepoint.com/sites/Bureaud'tudeAR-TECHNOLOGIE/DOSSIER%20POI/Forms/AllItems.aspx?id=%2Fsites%2FBureaud%27tudeAR%2DTECHNOLOGIE%2FDOSSIER%20POI%2FMDM%2DDAX%2FIMI%2DVA%2D40125%2D01VF%2D1%2FIMI%2DVA%2D4012501VF%2D1%2FDT2&amp;viewid=ba243776%2Df837%2D4ace%2D8ee9%2D939a5753cc77&amp;view=7" TargetMode="External"/><Relationship Id="rId488" Type="http://schemas.openxmlformats.org/officeDocument/2006/relationships/hyperlink" Target="https://artechnologie13.sharepoint.com/sites/Bureaud'tudeAR-TECHNOLOGIE/DOSSIER%20POI/Forms/AllItems.aspx?id=%2Fsites%2FBureaud%27tudeAR%2DTECHNOLOGIE%2FDOSSIER%20POI%2FMDM%2DDAX%2FIMI%2DVA%2D64483%2D02I9%2D1%2FDT&amp;viewid=ba243776%2Df837%2D4ace%2D8ee9%2D939a5753cc77&amp;FolderCTID=0x0120001BD1B7A29D5EA04EB7553F36EEAEE8D2" TargetMode="External"/><Relationship Id="rId45" Type="http://schemas.openxmlformats.org/officeDocument/2006/relationships/hyperlink" Target="https://artechnologie13.sharepoint.com/sites/Bureaud'tudeAR-TECHNOLOGIE/DOSSIER%20POI/Forms/AllItems.aspx?id=%2Fsites%2FBureaud%27tudeAR%2DTECHNOLOGIE%2FDOSSIER%20POI%2FMDM%2DDAX%2FIMI%2DVA%2D40320%20004X%2D1%2FDT&amp;viewid=ba243776%2Df837%2D4ace%2D8ee9%2D939a5753cc77&amp;FolderCTID=0x0120001BD1B7A29D5EA04EB7553F36EEAEE8D2" TargetMode="External"/><Relationship Id="rId87" Type="http://schemas.openxmlformats.org/officeDocument/2006/relationships/hyperlink" Target="https://artechnologie13.sharepoint.com/sites/Bureaud'tudeAR-TECHNOLOGIE/DOSSIER%20POI/Forms/AllItems.aspx?id=%2Fsites%2FBureaud%27tudeAR%2DTECHNOLOGIE%2FDOSSIER%20POI%2FROD%2FROD501142%2FDT&amp;sortField=LinkFilename&amp;isAscending=false&amp;viewid=ba243776%2Df837%2D4ace%2D8ee9%2D939a5753cc77&amp;csf=1&amp;web=1&amp;e=wXAjoh&amp;CID=033b4116%2D656c%2D4ff3%2Da705%2D325ecfa46a89&amp;FolderCTID=0x0120001BD1B7A29D5EA04EB7553F36EEAEE8D2" TargetMode="External"/><Relationship Id="rId110" Type="http://schemas.openxmlformats.org/officeDocument/2006/relationships/hyperlink" Target="https://artechnologie13.sharepoint.com/sites/Bureaud'tudeAR-TECHNOLOGIE/DOSSIER%20POI/Forms/AllItems.aspx?id=%2Fsites%2FBureaud%27tudeAR%2DTECHNOLOGIE%2FDOSSIER%20POI%2FMDM%2DDAX%2FMDM301155%2FDT&amp;viewid=ba243776%2Df837%2D4ace%2D8ee9%2D939a5753cc77&amp;FolderCTID=0x0120001BD1B7A29D5EA04EB7553F36EEAEE8D2" TargetMode="External"/><Relationship Id="rId348" Type="http://schemas.openxmlformats.org/officeDocument/2006/relationships/hyperlink" Target="https://artechnologie13.sharepoint.com/sites/Bureaud'tudeAR-TECHNOLOGIE/DOSSIER%20POI/Forms/AllItems.aspx?id=%2Fsites%2FBureaud%27tudeAR%2DTECHNOLOGIE%2FDOSSIER%20POI%2FMEN%2FMEN500574%2FDT&amp;sortField=Modified&amp;isAscending=false&amp;viewid=ba243776%2Df837%2D4ace%2D8ee9%2D939a5753cc77&amp;csf=1&amp;web=1&amp;e=xJSWPp&amp;CID=834583a6%2D0b09%2D4127%2D93b5%2Dc71f4baa33f8&amp;FolderCTID=0x0120001BD1B7A29D5EA04EB7553F36EEAEE8D2" TargetMode="External"/><Relationship Id="rId513" Type="http://schemas.openxmlformats.org/officeDocument/2006/relationships/hyperlink" Target="https://artechnologie13.sharepoint.com/sites/Bureaud'tudeAR-TECHNOLOGIE/DOSSIER%20POI/Forms/AllItems.aspx?id=%2Fsites%2FBureaud%27tudeAR%2DTECHNOLOGIE%2FDOSSIER%20POI%2FMEN%2FMEN500619%2FDT&amp;sortField=Modified&amp;isAscending=false&amp;viewid=ba243776%2Df837%2D4ace%2D8ee9%2D939a5753cc77&amp;csf=1&amp;CID=834583a6%2D0b09%2D4127%2D93b5%2Dc71f4baa33f8&amp;FolderCTID=0x0120001BD1B7A29D5EA04EB7553F36EEAEE8D2" TargetMode="External"/><Relationship Id="rId152" Type="http://schemas.openxmlformats.org/officeDocument/2006/relationships/hyperlink" Target="https://artechnologie13.sharepoint.com/sites/Bureaud'tudeAR-TECHNOLOGIE/DOSSIER%20POI/Forms/AllItems.aspx?id=%2Fsites%2FBureaud%27tudeAR%2DTECHNOLOGIE%2FDOSSIER%20POI%2FSPI%2040%2D64%2FIMI%2DVA%2D40234%200083%2D1%2FDT&amp;viewid=ba243776%2Df837%2D4ace%2D8ee9%2D939a5753cc77&amp;FolderCTID=0x0120001BD1B7A29D5EA04EB7553F36EEAEE8D2" TargetMode="External"/><Relationship Id="rId194" Type="http://schemas.openxmlformats.org/officeDocument/2006/relationships/hyperlink" Target="https://artechnologie13.sharepoint.com/sites/Bureaud'tudeAR-TECHNOLOGIE/DOSSIER%20POI/Forms/AllItems.aspx?id=%2Fsites%2FBureaud%27tudeAR%2DTECHNOLOGIE%2FDOSSIER%20POI%2FROD%2FROD500238%2FDT&amp;viewid=ba243776%2Df837%2D4ace%2D8ee9%2D939a5753cc77&amp;FolderCTID=0x0120001BD1B7A29D5EA04EB7553F36EEAEE8D2" TargetMode="External"/><Relationship Id="rId208" Type="http://schemas.openxmlformats.org/officeDocument/2006/relationships/hyperlink" Target="https://artechnologie13.sharepoint.com/sites/Bureaud'tudeAR-TECHNOLOGIE/DOSSIER%20POI/Forms/AllItems.aspx?id=%2Fsites%2FBureaud%27tudeAR%2DTECHNOLOGIE%2FDOSSIER%20POI%2FQPR%20%2D%20CRO%2FQPR500928%2FDT&amp;viewid=ba243776%2Df837%2D4ace%2D8ee9%2D939a5753cc77&amp;csf=1&amp;web=1&amp;e=SfVAWO&amp;CID=b0bc59aa%2Da039%2D4b50%2Dbbae%2D2c0632cbfed0&amp;FolderCTID=0x0120001BD1B7A29D5EA04EB7553F36EEAEE8D2" TargetMode="External"/><Relationship Id="rId415" Type="http://schemas.openxmlformats.org/officeDocument/2006/relationships/hyperlink" Target="https://artechnologie13.sharepoint.com/sites/Bureaud'tudeAR-TECHNOLOGIE/DOSSIER%20POI/Forms/AllItems.aspx?id=%2Fsites%2FBureaud%27tudeAR%2DTECHNOLOGIE%2FDOSSIER%20POI%2FROD%2FROD500124%2FDT&amp;sortField=Modified&amp;isAscending=false&amp;viewid=ba243776%2Df837%2D4ace%2D8ee9%2D939a5753cc77&amp;view=7" TargetMode="External"/><Relationship Id="rId457" Type="http://schemas.openxmlformats.org/officeDocument/2006/relationships/hyperlink" Target="https://artechnologie13.sharepoint.com/sites/Bureaud'tudeAR-TECHNOLOGIE/DOSSIER%20POI/Forms/AllItems.aspx?id=%2Fsites%2FBureaud%27tudeAR%2DTECHNOLOGIE%2FDOSSIER%20POI%2FROD%2FROD502143%2FDT&amp;sortField=Modified&amp;isAscending=false&amp;viewid=ba243776%2Df837%2D4ace%2D8ee9%2D939a5753cc77" TargetMode="External"/><Relationship Id="rId261" Type="http://schemas.openxmlformats.org/officeDocument/2006/relationships/hyperlink" Target="https://artechnologie13.sharepoint.com/sites/Bureaud'tudeAR-TECHNOLOGIE/DOSSIER%20POI/Forms/AllItems.aspx?id=%2Fsites%2FBureaud%27tudeAR%2DTECHNOLOGIE%2FDOSSIER%20POI%2FMDM%2DDAX%2FMDM500499%2FDT&amp;viewid=ba243776%2Df837%2D4ace%2D8ee9%2D939a5753cc77&amp;csf=1&amp;web=1&amp;e=GyUllY&amp;CID=ceab563a%2D7f81%2D4daf%2Dbe52%2D432677197729&amp;FolderCTID=0x0120001BD1B7A29D5EA04EB7553F36EEAEE8D2" TargetMode="External"/><Relationship Id="rId499" Type="http://schemas.openxmlformats.org/officeDocument/2006/relationships/hyperlink" Target="https://artechnologie13.sharepoint.com/sites/Bureaud%27tudeAR-TECHNOLOGIE/DOSSIER%20POI/Forms/AllItems.aspx?id=%2Fsites%2FBureaud%27tudeAR%2DTECHNOLOGIE%2FDOSSIER%20POI%2FQPR%20%2D%20CRO%2FQPR600231%2FDT&amp;sortField=Modified&amp;isAscending=false&amp;viewid=ba243776%2Df837%2D4ace%2D8ee9%2D939a5753cc77&amp;FolderCTID=0x0120001BD1B7A29D5EA04EB7553F36EEAEE8D2&amp;startedResponseCatch=true" TargetMode="External"/><Relationship Id="rId14" Type="http://schemas.openxmlformats.org/officeDocument/2006/relationships/hyperlink" Target="https://artechnologie13.sharepoint.com/sites/Bureaud'tudeAR-TECHNOLOGIE/DOSSIER%20POI/Forms/AllItems.aspx?id=%2Fsites%2FBureaud%27tudeAR%2DTECHNOLOGIE%2FDOSSIER%20POI%2FMDM%2DDAX%2FMDM301371%2FDT&amp;viewid=ba243776%2Df837%2D4ace%2D8ee9%2D939a5753cc77&amp;FolderCTID=0x0120001BD1B7A29D5EA04EB7553F36EEAEE8D2" TargetMode="External"/><Relationship Id="rId56" Type="http://schemas.openxmlformats.org/officeDocument/2006/relationships/hyperlink" Target="https://artechnologie13.sharepoint.com/sites/Bureaud'tudeAR-TECHNOLOGIE/DOSSIER%20POI/Forms/AllItems.aspx?id=%2Fsites%2FBureaud%27tudeAR%2DTECHNOLOGIE%2FDOSSIER%20POI%2FQPR%20%2D%20CRO%2FQPR500594%2FDT&amp;viewid=ba243776%2Df837%2D4ace%2D8ee9%2D939a5753cc77&amp;FolderCTID=0x0120001BD1B7A29D5EA04EB7553F36EEAEE8D2" TargetMode="External"/><Relationship Id="rId317" Type="http://schemas.openxmlformats.org/officeDocument/2006/relationships/hyperlink" Target="https://artechnologie13.sharepoint.com/sites/Bureaud'tudeAR-TECHNOLOGIE/DOSSIER%20POI/Forms/AllItems.aspx?id=%2Fsites%2FBureaud%27tudeAR%2DTECHNOLOGIE%2FDOSSIER%20POI%2FROD%2FROD500442%2FDT&amp;viewid=ba243776%2Df837%2D4ace%2D8ee9%2D939a5753cc77" TargetMode="External"/><Relationship Id="rId359" Type="http://schemas.openxmlformats.org/officeDocument/2006/relationships/hyperlink" Target="https://artechnologie13.sharepoint.com/sites/Bureaud'tudeAR-TECHNOLOGIE/DOSSIER%20POI/Forms/AllItems.aspx?id=%2Fsites%2FBureaud%27tudeAR-TECHNOLOGIE%2FDOSSIER%20POI%2FMDM-DAX%2FIMI-VA-64260-019I-1%2FDT&amp;sortField=Modified&amp;isAscending=false&amp;viewid=ba243776-f837-4ace-8ee9-939a5753cc77&amp;csf=1&amp;web=1&amp;e=ylpt1D&amp;CID=946ebe38-36b8-4bb4-b9fa-72285277a0f4&amp;FolderCTID=0x0120001BD1B7A29D5EA04EB7553F36EEAEE8D2" TargetMode="External"/><Relationship Id="rId98" Type="http://schemas.openxmlformats.org/officeDocument/2006/relationships/hyperlink" Target="https://artechnologie13.sharepoint.com/sites/Bureaud'tudeAR-TECHNOLOGIE/DOSSIER%20POI/Forms/AllItems.aspx?id=%2Fsites%2FBureaud%27tudeAR%2DTECHNOLOGIE%2FDOSSIER%20POI%2FROD%2FROD501160%2FDT&amp;viewid=ba243776%2Df837%2D4ace%2D8ee9%2D939a5753cc77&amp;FolderCTID=0x0120001BD1B7A29D5EA04EB7553F36EEAEE8D2" TargetMode="External"/><Relationship Id="rId121" Type="http://schemas.openxmlformats.org/officeDocument/2006/relationships/hyperlink" Target="https://artechnologie13.sharepoint.com/sites/Bureaud'tudeAR-TECHNOLOGIE/DOSSIER%20POI/Forms/AllItems.aspx?id=%2Fsites%2FBureaud%27tudeAR%2DTECHNOLOGIE%2FDOSSIER%20POI%2FMDM%2DDAX%2FMDM400807%2FDT&amp;viewid=ba243776%2Df837%2D4ace%2D8ee9%2D939a5753cc77&amp;csf=1&amp;web=1&amp;e=ARl2H4&amp;CID=ee817d00%2D7cd7%2D4eaa%2D8f5a%2D7a2497181fad&amp;FolderCTID=0x0120001BD1B7A29D5EA04EB7553F36EEAEE8D2" TargetMode="External"/><Relationship Id="rId163" Type="http://schemas.openxmlformats.org/officeDocument/2006/relationships/hyperlink" Target="https://artechnologie13.sharepoint.com/sites/Bureaud'tudeAR-TECHNOLOGIE/DOSSIER%20POI/Forms/AllItems.aspx?id=%2Fsites%2FBureaud%27tudeAR%2DTECHNOLOGIE%2FDOSSIER%20POI%2FMEN%2FMEN500423%2FDT&amp;sortField=Modified&amp;isAscending=false&amp;viewid=ba243776%2Df837%2D4ace%2D8ee9%2D939a5753cc77&amp;csf=1&amp;web=1&amp;e=iiFdjk&amp;CID=e0a9ef54%2D6c04%2D4155%2Da8bd%2Dda93190f8897&amp;FolderCTID=0x0120001BD1B7A29D5EA04EB7553F36EEAEE8D2" TargetMode="External"/><Relationship Id="rId219" Type="http://schemas.openxmlformats.org/officeDocument/2006/relationships/hyperlink" Target="https://artechnologie13.sharepoint.com/sites/Bureaud'tudeAR-TECHNOLOGIE/DOSSIER%20POI/Forms/AllItems.aspx?id=%2Fsites%2FBureaud%27tudeAR%2DTECHNOLOGIE%2FDOSSIER%20POI%2FQPR%20%2D%20CRO%2FVAN501069%2FDT&amp;sortField=Modified&amp;isAscending=false&amp;viewid=ba243776%2Df837%2D4ace%2D8ee9%2D939a5753cc77&amp;csf=1&amp;web=1&amp;e=owQXVh&amp;CID=c5b168e7%2D67df%2D41af%2Db0d7%2D508a6306f4cd&amp;FolderCTID=0x0120001BD1B7A29D5EA04EB7553F36EEAEE8D2" TargetMode="External"/><Relationship Id="rId370" Type="http://schemas.openxmlformats.org/officeDocument/2006/relationships/hyperlink" Target="https://artechnologie13.sharepoint.com/sites/Bureaud'tudeAR-TECHNOLOGIE/DOSSIER%20POI/Forms/AllItems.aspx?id=%2Fsites%2FBureaud%27tudeAR%2DTECHNOLOGIE%2FDOSSIER%20POI%2FROD%2FROD501967%2FDT&amp;sortField=Modified&amp;isAscending=false&amp;viewid=ba243776%2Df837%2D4ace%2D8ee9%2D939a5753cc77" TargetMode="External"/><Relationship Id="rId426" Type="http://schemas.openxmlformats.org/officeDocument/2006/relationships/hyperlink" Target="https://artechnologie13.sharepoint.com/sites/Bureaud'tudeAR-TECHNOLOGIE/DOSSIER%20POI/Forms/AllItems.aspx?id=%2Fsites%2FBureaud%27tudeAR%2DTECHNOLOGIE%2FDOSSIER%20POI%2FQPR%20%2D%20CRO%2FLOR501580%2FDT&amp;sortField=Modified&amp;isAscending=false&amp;viewid=ba243776%2Df837%2D4ace%2D8ee9%2D939a5753cc77&amp;csf=1&amp;web=1&amp;e=owQXVh&amp;CID=c5b168e7%2D67df%2D41af%2Db0d7%2D508a6306f4cd&amp;FolderCTID=0x0120001BD1B7A29D5EA04EB7553F36EEAEE8D2" TargetMode="External"/><Relationship Id="rId230" Type="http://schemas.openxmlformats.org/officeDocument/2006/relationships/hyperlink" Target="https://artechnologie13.sharepoint.com/sites/Bureaud'tudeAR-TECHNOLOGIE/DOSSIER%20POI/Forms/AllItems.aspx?id=%2Fsites%2FBureaud%27tudeAR%2DTECHNOLOGIE%2FDOSSIER%20POI%2FSPI%2040%2D64%2FIMI%2DVA%2D40280%2D00HH%2D1%2FDT&amp;viewid=ba243776%2Df837%2D4ace%2D8ee9%2D939a5753cc77&amp;csf=1&amp;web=1&amp;e=9X6kCd&amp;CID=6a0ca776%2Dbae4%2D4d1e%2Db692%2D4c56563a72fa&amp;FolderCTID=0x0120001BD1B7A29D5EA04EB7553F36EEAEE8D2" TargetMode="External"/><Relationship Id="rId468" Type="http://schemas.openxmlformats.org/officeDocument/2006/relationships/hyperlink" Target="https://artechnologie13.sharepoint.com/sites/Bureaud'tudeAR-TECHNOLOGIE/DOSSIER%20POI/Forms/AllItems.aspx?id=%2Fsites%2FBureaud%27tudeAR%2DTECHNOLOGIE%2FDOSSIER%20POI%2FMEN%2FMEN600021%2FDT&amp;sortField=Modified&amp;isAscending=false&amp;viewid=ba243776%2Df837%2D4ace%2D8ee9%2D939a5753cc77&amp;FolderCTID=0x0120001BD1B7A29D5EA04EB7553F36EEAEE8D2" TargetMode="External"/><Relationship Id="rId25" Type="http://schemas.openxmlformats.org/officeDocument/2006/relationships/hyperlink" Target="https://artechnologie13.sharepoint.com/sites/Bureaud'tudeAR-TECHNOLOGIE/DOSSIER%20POI/Forms/AllItems.aspx?id=%2Fsites%2FBureaud%27tudeAR%2DTECHNOLOGIE%2FDOSSIER%20POI%2FMDM%2DDAX%2FIMI%2DVA%2D40301%20014A%2D1%2FDT&amp;viewid=ba243776%2Df837%2D4ace%2D8ee9%2D939a5753cc77&amp;FolderCTID=0x0120001BD1B7A29D5EA04EB7553F36EEAEE8D2" TargetMode="External"/><Relationship Id="rId67" Type="http://schemas.openxmlformats.org/officeDocument/2006/relationships/hyperlink" Target="https://artechnologie13.sharepoint.com/sites/Bureaud'tudeAR-TECHNOLOGIE/DOSSIER%20POI/Forms/AllItems.aspx?id=%2Fsites%2FBureaud%27tudeAR%2DTECHNOLOGIE%2FDOSSIER%20POI%2FMEN%2FMEN500388%2FDT&amp;viewid=ba243776%2Df837%2D4ace%2D8ee9%2D939a5753cc77&amp;FolderCTID=0x0120001BD1B7A29D5EA04EB7553F36EEAEE8D2" TargetMode="External"/><Relationship Id="rId272" Type="http://schemas.openxmlformats.org/officeDocument/2006/relationships/hyperlink" Target="https://artechnologie13.sharepoint.com/sites/Bureaud%27tudeAR-TECHNOLOGIE/DOSSIER%20POI/Forms/AllItems.aspx?id=%2Fsites%2FBureaud%27tudeAR%2DTECHNOLOGIE%2FDOSSIER%20POI%2FMDM%2DDAX%2FIMI%2DVA%2D40125%2D00GJ%2D1%2FDT&amp;viewid=ba243776%2Df837%2D4ace%2D8ee9%2D939a5753cc77&amp;startedResponseCatch=true" TargetMode="External"/><Relationship Id="rId328" Type="http://schemas.openxmlformats.org/officeDocument/2006/relationships/hyperlink" Target="https://artechnologie13.sharepoint.com/sites/Bureaud'tudeAR-TECHNOLOGIE/DOSSIER%20POI/Forms/AllItems.aspx?id=%2Fsites%2FBureaud%27tudeAR%2DTECHNOLOGIE%2FDOSSIER%20POI%2FMDM%2DDAX%2FMDM400873%2FDT2&amp;viewid=ba243776%2Df837%2D4ace%2D8ee9%2D939a5753cc77&amp;csf=1&amp;web=1&amp;e=Q2pneJ&amp;CID=1a3c32cb%2D09bb%2D4d2f%2Dac4a%2D59f45c029c92&amp;FolderCTID=0x0120001BD1B7A29D5EA04EB7553F36EEAEE8D2" TargetMode="External"/><Relationship Id="rId132" Type="http://schemas.openxmlformats.org/officeDocument/2006/relationships/hyperlink" Target="https://artechnologie13.sharepoint.com/sites/Bureaud'tudeAR-TECHNOLOGIE/DOSSIER%20POI/Forms/AllItems.aspx?id=%2Fsites%2FBureaud%27tudeAR%2DTECHNOLOGIE%2FDOSSIER%20POI%2FROD%2FROD501172%2FDT&amp;viewid=ba243776%2Df837%2D4ace%2D8ee9%2D939a5753cc77&amp;csf=1&amp;web=1&amp;e=amWISS&amp;CID=041292d6%2D1e13%2D41e4%2Db44b%2D30ef997f9783&amp;FolderCTID=0x0120001BD1B7A29D5EA04EB7553F36EEAEE8D2" TargetMode="External"/><Relationship Id="rId174" Type="http://schemas.openxmlformats.org/officeDocument/2006/relationships/hyperlink" Target="https://artechnologie13.sharepoint.com/:f:/r/sites/Bureaud%27tudeAR-TECHNOLOGIE/DOSSIER%20POI/QPR%20-%20CRO/CRO500037?csf=1&amp;web=1&amp;e=irXRnJ" TargetMode="External"/><Relationship Id="rId381" Type="http://schemas.openxmlformats.org/officeDocument/2006/relationships/hyperlink" Target="https://artechnologie13.sharepoint.com/sites/Bureaud'tudeAR-TECHNOLOGIE/DOSSIER%20POI/Forms/AllItems.aspx?id=%2Fsites%2FBureaud%27tudeAR%2DTECHNOLOGIE%2FDOSSIER%20POI%2FMDM%2DDAX%2FIMI%2DVA%2D64024%2D07IQ%2D1%2FDT&amp;viewid=ba243776%2Df837%2D4ace%2D8ee9%2D939a5753cc77&amp;FolderCTID=0x0120001BD1B7A29D5EA04EB7553F36EEAEE8D2" TargetMode="External"/><Relationship Id="rId241" Type="http://schemas.openxmlformats.org/officeDocument/2006/relationships/hyperlink" Target="https://artechnologie13.sharepoint.com/sites/Bureaud'tudeAR-TECHNOLOGIE/DOSSIER%20POI/Forms/AllItems.aspx?id=%2Fsites%2FBureaud%27tudeAR%2DTECHNOLOGIE%2FDOSSIER%20POI%2FMEN%2FMEN500475%2FDT&amp;viewid=ba243776%2Df837%2D4ace%2D8ee9%2D939a5753cc77&amp;FolderCTID=0x0120001BD1B7A29D5EA04EB7553F36EEAEE8D2" TargetMode="External"/><Relationship Id="rId437" Type="http://schemas.openxmlformats.org/officeDocument/2006/relationships/hyperlink" Target="https://artechnologie13.sharepoint.com/sites/Bureaud%27tudeAR-TECHNOLOGIE/DOSSIER%20POI/Forms/AllItems.aspx?id=%2Fsites%2FBureaud%27tudeAR%2DTECHNOLOGIE%2FDOSSIER%20POI%2FQPR%20%2D%20CRO%2FRRE502654%2FDT&amp;sortField=Modified&amp;isAscending=false&amp;viewid=ba243776%2Df837%2D4ace%2D8ee9%2D939a5753cc77&amp;FolderCTID=0x0120001BD1B7A29D5EA04EB7553F36EEAEE8D2" TargetMode="External"/><Relationship Id="rId479" Type="http://schemas.openxmlformats.org/officeDocument/2006/relationships/hyperlink" Target="https://artechnologie13.sharepoint.com/sites/Bureaud%27tudeAR-TECHNOLOGIE/DOSSIER%20POI/Forms/AllItems.aspx?id=%2Fsites%2FBureaud%27tudeAR%2DTECHNOLOGIE%2FDOSSIER%20POI%2FQPR%20%2D%20CRO%2FQPR600080%2FDT&amp;sortField=Modified&amp;isAscending=false&amp;viewid=ba243776%2Df837%2D4ace%2D8ee9%2D939a5753cc77&amp;FolderCTID=0x0120001BD1B7A29D5EA04EB7553F36EEAEE8D2" TargetMode="External"/><Relationship Id="rId36" Type="http://schemas.openxmlformats.org/officeDocument/2006/relationships/hyperlink" Target="https://artechnologie13.sharepoint.com/sites/Bureaud'tudeAR-TECHNOLOGIE/DOSSIER%20POI/Forms/AllItems.aspx?id=%2Fsites%2FBureaud%27tudeAR%2DTECHNOLOGIE%2FDOSSIER%20POI%2FMDM%2DDAX%2FMDM500161%2FDT&amp;viewid=ba243776%2Df837%2D4ace%2D8ee9%2D939a5753cc77&amp;csf=1&amp;web=1&amp;e=dfyUl3&amp;CID=f108c257%2Dd81d%2D4fc8%2D871a%2Decab6a1bc3f0&amp;FolderCTID=0x0120001BD1B7A29D5EA04EB7553F36EEAEE8D2" TargetMode="External"/><Relationship Id="rId283" Type="http://schemas.openxmlformats.org/officeDocument/2006/relationships/hyperlink" Target="https://artechnologie13.sharepoint.com/sites/Bureaud'tudeAR-TECHNOLOGIE/DOSSIER%20POI/Forms/AllItems.aspx?id=%2Fsites%2FBureaud%27tudeAR%2DTECHNOLOGIE%2FDOSSIER%20POI%2FQPR%20%2D%20CRO%2FRRE501899%2FDT&amp;viewid=ba243776%2Df837%2D4ace%2D8ee9%2D939a5753cc77&amp;csf=1&amp;web=1&amp;e=uOHMaF&amp;CID=7b48b678%2D72d5%2D481d%2Da05f%2Dfa14f94992ac&amp;FolderCTID=0x0120001BD1B7A29D5EA04EB7553F36EEAEE8D2" TargetMode="External"/><Relationship Id="rId339" Type="http://schemas.openxmlformats.org/officeDocument/2006/relationships/hyperlink" Target="https://artechnologie13.sharepoint.com/sites/Bureaud'tudeAR-TECHNOLOGIE/DOSSIER%20POI/Forms/AllItems.aspx?id=%2Fsites%2FBureaud%27tudeAR%2DTECHNOLOGIE%2FDOSSIER%20POI%2FMDM%2DDAX%2FIMI%2DVA%2D40192%2D0860%2D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90" Type="http://schemas.openxmlformats.org/officeDocument/2006/relationships/hyperlink" Target="https://artechnologie13.sharepoint.com/sites/Bureaud%27tudeAR-TECHNOLOGIE/DOSSIER%20POI/Forms/AllItems.aspx?id=%2Fsites%2FBureaud%27tudeAR%2DTECHNOLOGIE%2FDOSSIER%20POI%2FQPR%20%2D%20CRO%2FRRE600325%2FDT&amp;sortField=Modified&amp;isAscending=false&amp;viewid=ba243776%2Df837%2D4ace%2D8ee9%2D939a5753cc77&amp;FolderCTID=0x0120001BD1B7A29D5EA04EB7553F36EEAEE8D2" TargetMode="External"/><Relationship Id="rId504" Type="http://schemas.openxmlformats.org/officeDocument/2006/relationships/hyperlink" Target="https://artechnologie13.sharepoint.com/sites/Bureaud'tudeAR-TECHNOLOGIE/DOSSIER%20POI/Forms/AllItems.aspx?id=%2Fsites%2FBureaud%27tudeAR%2DTECHNOLOGIE%2FDOSSIER%20POI%2FROD%2FROD600169%2FDT&amp;sortField=Modified&amp;isAscending=false&amp;viewid=ba243776%2Df837%2D4ace%2D8ee9%2D939a5753cc77&amp;csf=1&amp;CID=028de158%2Dd4dc%2D48b6%2D89c4%2Ddb1f4163a833&amp;FolderCTID=0x0120001BD1B7A29D5EA04EB7553F36EEAEE8D2" TargetMode="External"/><Relationship Id="rId78" Type="http://schemas.openxmlformats.org/officeDocument/2006/relationships/hyperlink" Target="https://artechnologie13.sharepoint.com/sites/Bureaud'tudeAR-TECHNOLOGIE/DOSSIER%20POI/Forms/AllItems.aspx?id=%2Fsites%2FBureaud%27tudeAR%2DTECHNOLOGIE%2FDOSSIER%20POI%2FROD%2FROD501086%2FDT&amp;sortField=Modified&amp;isAscending=false&amp;viewid=ba243776%2Df837%2D4ace%2D8ee9%2D939a5753cc77&amp;csf=1&amp;web=1&amp;e=kGBMXs&amp;CID=99ecfc67%2D50d1%2D470b%2Db438%2D40c98d69e2e2&amp;FolderCTID=0x0120001BD1B7A29D5EA04EB7553F36EEAEE8D2" TargetMode="External"/><Relationship Id="rId101" Type="http://schemas.openxmlformats.org/officeDocument/2006/relationships/hyperlink" Target="https://artechnologie13.sharepoint.com/sites/Bureaud'tudeAR-TECHNOLOGIE/DOSSIER%20POI/Forms/AllItems.aspx?id=%2Fsites%2FBureaud%27tudeAR%2DTECHNOLOGIE%2FDOSSIER%20POI%2FROD%2FROD501183%2FDT&amp;viewid=ba243776%2Df837%2D4ace%2D8ee9%2D939a5753cc77&amp;FolderCTID=0x0120001BD1B7A29D5EA04EB7553F36EEAEE8D2" TargetMode="External"/><Relationship Id="rId143" Type="http://schemas.openxmlformats.org/officeDocument/2006/relationships/hyperlink" Target="https://artechnologie13.sharepoint.com/sites/Bureaud'tudeAR-TECHNOLOGIE/DOSSIER%20POI/Forms/AllItems.aspx?id=%2Fsites%2FBureaud%27tudeAR%2DTECHNOLOGIE%2FDOSSIER%20POI%2FQPR%20%2D%20CRO%2FVAN501156%2FDT&amp;sortField=Modified&amp;isAscending=false&amp;viewid=ba243776%2Df837%2D4ace%2D8ee9%2D939a5753cc77&amp;csf=1&amp;web=1&amp;e=owQXVh&amp;CID=c5b168e7%2D67df%2D41af%2Db0d7%2D508a6306f4cd&amp;FolderCTID=0x0120001BD1B7A29D5EA04EB7553F36EEAEE8D2&amp;utm_source=chatgpt%2Ecom" TargetMode="External"/><Relationship Id="rId185" Type="http://schemas.openxmlformats.org/officeDocument/2006/relationships/hyperlink" Target="https://artechnologie13.sharepoint.com/:f:/r/sites/Bureaud%27tudeAR-TECHNOLOGIE/DOSSIER%20POI/MEN/MEN400648?csf=1&amp;web=1&amp;e=m23VOw" TargetMode="External"/><Relationship Id="rId350" Type="http://schemas.openxmlformats.org/officeDocument/2006/relationships/hyperlink" Target="https://artechnologie13.sharepoint.com/sites/Bureaud'tudeAR-TECHNOLOGIE/DOSSIER%20POI/Forms/AllItems.aspx?id=%2Fsites%2FBureaud%27tudeAR%2DTECHNOLOGIE%2FDOSSIER%20POI%2FMDM%2DDAX%2FIMI%2DVA%2D40123%2D01LD%2D1%2FDT2&amp;viewid=ba243776%2Df837%2D4ace%2D8ee9%2D939a5753cc77&amp;FolderCTID=0x0120001BD1B7A29D5EA04EB7553F36EEAEE8D2" TargetMode="External"/><Relationship Id="rId406" Type="http://schemas.openxmlformats.org/officeDocument/2006/relationships/hyperlink" Target="https://artechnologie13.sharepoint.com/sites/Bureaud%27tudeAR-TECHNOLOGIE/DOSSIER%20POI/Forms/AllItems.aspx?id=%2Fsites%2FBureaud%27tudeAR%2DTECHNOLOGIE%2FDOSSIER%20POI%2FROD%2FROD501913%2FDT&amp;viewid=ba243776%2Df837%2D4ace%2D8ee9%2D939a5753cc77" TargetMode="External"/><Relationship Id="rId9" Type="http://schemas.openxmlformats.org/officeDocument/2006/relationships/hyperlink" Target="https://artechnologie13.sharepoint.com/sites/Bureaud'tudeAR-TECHNOLOGIE/DOSSIER%20POI/Forms/AllItems.aspx?id=%2Fsites%2FBureaud%27tudeAR%2DTECHNOLOGIE%2FDOSSIER%20POI%2FSPI%2040%2D64%2FIMI%2DVA%2D64024%2D02WH%2FDT&amp;viewid=ba243776%2Df837%2D4ace%2D8ee9%2D939a5753cc77&amp;FolderCTID=0x0120001BD1B7A29D5EA04EB7553F36EEAEE8D2" TargetMode="External"/><Relationship Id="rId210" Type="http://schemas.openxmlformats.org/officeDocument/2006/relationships/hyperlink" Target="https://artechnologie13.sharepoint.com/sites/Bureaud'tudeAR-TECHNOLOGIE/DOSSIER%20POI/Forms/AllItems.aspx?id=%2Fsites%2FBureaud%27tudeAR%2DTECHNOLOGIE%2FDOSSIER%20POI%2FMDM%2DDAX%2FMDM301222%2FDT&amp;viewid=ba243776%2Df837%2D4ace%2D8ee9%2D939a5753cc77&amp;csf=1&amp;web=1&amp;e=rpmcna&amp;CID=89330d6f%2D3a99%2D424b%2D8f70%2Dcdd687054232&amp;FolderCTID=0x0120001BD1B7A29D5EA04EB7553F36EEAEE8D2" TargetMode="External"/><Relationship Id="rId392" Type="http://schemas.openxmlformats.org/officeDocument/2006/relationships/hyperlink" Target="https://artechnologie13.sharepoint.com/sites/Bureaud'tudeAR-TECHNOLOGIE/DOSSIER%20POI/Forms/AllItems.aspx?id=%2Fsites%2FBureaud%27tudeAR%2DTECHNOLOGIE%2FDOSSIER%20POI%2FQPR%20%2D%20CRO%2FCRO500279%2FDT&amp;sortField=Modified&amp;isAscending=false&amp;viewid=ba243776%2Df837%2D4ace%2D8ee9%2D939a5753cc77" TargetMode="External"/><Relationship Id="rId448" Type="http://schemas.openxmlformats.org/officeDocument/2006/relationships/hyperlink" Target="https://artechnologie13.sharepoint.com/sites/Bureaud'tudeAR-TECHNOLOGIE/DOSSIER%20POI/Forms/AllItems.aspx?id=%2Fsites%2FBureaud%27tudeAR%2DTECHNOLOGIE%2FDOSSIER%20POI%2FMEN%2FMEN600016%2FDT&amp;sortField=Modified&amp;isAscending=false&amp;viewid=ba243776%2Df837%2D4ace%2D8ee9%2D939a5753cc77&amp;csf=1&amp;CID=834583a6%2D0b09%2D4127%2D93b5%2Dc71f4baa33f8&amp;FolderCTID=0x0120001BD1B7A29D5EA04EB7553F36EEAEE8D2" TargetMode="External"/><Relationship Id="rId252" Type="http://schemas.openxmlformats.org/officeDocument/2006/relationships/hyperlink" Target="https://artechnologie13.sharepoint.com/sites/Bureaud'tudeAR-TECHNOLOGIE/DT1/Forms/AllItems.aspx?id=%2Fsites%2FBureaud%27tudeAR%2DTECHNOLOGIE%2FDT1%2FDEMANDES%2FALE500580&amp;viewid=4a761c62%2Dc0e3%2D4ad1%2D9b90%2Daa69488d2e0e&amp;FolderCTID=0x012000D43E1045C1E5A24BB65CD5B8CBCFE3FF" TargetMode="External"/><Relationship Id="rId294" Type="http://schemas.openxmlformats.org/officeDocument/2006/relationships/hyperlink" Target="https://artechnologie13.sharepoint.com/sites/Bureaud'tudeAR-TECHNOLOGIE/DOSSIER%20POI/Forms/AllItems.aspx?id=%2Fsites%2FBureaud%27tudeAR%2DTECHNOLOGIE%2FDOSSIER%20POI%2FBAY%2FIMI%2DVA%2D64102%2D01VV%2D1%2FDT&amp;viewid=ba243776%2Df837%2D4ace%2D8ee9%2D939a5753cc77&amp;csf=1&amp;web=1&amp;e=hwqexl&amp;CID=fea3b62b%2D3169%2D41e9%2D9ba9%2D05f99f36a0cd&amp;FolderCTID=0x0120001BD1B7A29D5EA04EB7553F36EEAEE8D2" TargetMode="External"/><Relationship Id="rId308" Type="http://schemas.openxmlformats.org/officeDocument/2006/relationships/hyperlink" Target="https://artechnologie13.sharepoint.com/sites/Bureaud'tudeAR-TECHNOLOGIE/DOSSIER%20POI/Forms/AllItems.aspx?id=%2Fsites%2FBureaud%27tudeAR%2DTECHNOLOGIE%2FDOSSIER%20POI%2FMDM%2DDAX%2FIMI%2DVA%2D40123%2D01PE%2D1%2FDT&amp;viewid=ba243776%2Df837%2D4ace%2D8ee9%2D939a5753cc77&amp;FolderCTID=0x0120001BD1B7A29D5EA04EB7553F36EEAEE8D2" TargetMode="External"/><Relationship Id="rId47" Type="http://schemas.openxmlformats.org/officeDocument/2006/relationships/hyperlink" Target="https://artechnologie13.sharepoint.com/sites/Bureaud'tudeAR-TECHNOLOGIE/DOSSIER%20POI/Forms/AllItems.aspx?id=%2Fsites%2FBureaud%27tudeAR%2DTECHNOLOGIE%2FDOSSIER%20POI%2FROD%2FROD500923%2FDT&amp;viewid=ba243776%2Df837%2D4ace%2D8ee9%2D939a5753cc77&amp;FolderCTID=0x0120001BD1B7A29D5EA04EB7553F36EEAEE8D2" TargetMode="External"/><Relationship Id="rId89" Type="http://schemas.openxmlformats.org/officeDocument/2006/relationships/hyperlink" Target="https://artechnologie13.sharepoint.com/sites/Bureaud'tudeAR-TECHNOLOGIE/DOSSIER%20POI/Forms/AllItems.aspx?id=%2Fsites%2FBureaud%27tudeAR%2DTECHNOLOGIE%2FDOSSIER%20POI%2FMDM%2DDAX%2FIMI%2DVA%2D40037%20004G%2D1%2FDT&amp;viewid=ba243776%2Df837%2D4ace%2D8ee9%2D939a5753cc77&amp;FolderCTID=0x0120001BD1B7A29D5EA04EB7553F36EEAEE8D2" TargetMode="External"/><Relationship Id="rId112" Type="http://schemas.openxmlformats.org/officeDocument/2006/relationships/hyperlink" Target="https://artechnologie13.sharepoint.com/sites/Bureaud'tudeAR-TECHNOLOGIE/DOSSIER%20POI/Forms/AllItems.aspx?id=%2Fsites%2FBureaud%27tudeAR%2DTECHNOLOGIE%2FDOSSIER%20POI%2FQPR%20%2D%20CRO%2FRRE501498%2FDT&amp;viewid=ba243776%2Df837%2D4ace%2D8ee9%2D939a5753cc77&amp;FolderCTID=0x0120001BD1B7A29D5EA04EB7553F36EEAEE8D2" TargetMode="External"/><Relationship Id="rId154" Type="http://schemas.openxmlformats.org/officeDocument/2006/relationships/hyperlink" Target="https://artechnologie13.sharepoint.com/sites/Bureaud'tudeAR-TECHNOLOGIE/DOSSIER%20POI/Forms/AllItems.aspx?id=%2Fsites%2FBureaud%27tudeAR%2DTECHNOLOGIE%2FDOSSIER%20POI%2FSPI%2040%2D64%2FIMI%2DVA%2D40055%2000C8%2D2%2FDT&amp;viewid=ba243776%2Df837%2D4ace%2D8ee9%2D939a5753cc77&amp;FolderCTID=0x0120001BD1B7A29D5EA04EB7553F36EEAEE8D2" TargetMode="External"/><Relationship Id="rId361" Type="http://schemas.openxmlformats.org/officeDocument/2006/relationships/hyperlink" Target="https://artechnologie13.sharepoint.com/sites/Bureaud'tudeAR-TECHNOLOGIE/DOSSIER%20POI/Forms/AllItems.aspx?id=%2Fsites%2FBureaud%27tudeAR%2DTECHNOLOGIE%2FDOSSIER%20POI%2FQPR%20%2D%20CRO%2FQPR501939%2FDT&amp;sortField=Modified&amp;isAscending=false&amp;viewid=ba243776%2Df837%2D4ace%2D8ee9%2D939a5753cc77&amp;FolderCTID=0x0120001BD1B7A29D5EA04EB7553F36EEAEE8D2" TargetMode="External"/><Relationship Id="rId196" Type="http://schemas.openxmlformats.org/officeDocument/2006/relationships/hyperlink" Target="https://artechnologie13.sharepoint.com/sites/Bureaud'tudeAR-TECHNOLOGIE/DOSSIER%20POI/Forms/AllItems.aspx?id=%2Fsites%2FBureaud%27tudeAR%2DTECHNOLOGIE%2FDOSSIER%20POI%2FROD%2FROD500469%2FDT&amp;viewid=ba243776%2Df837%2D4ace%2D8ee9%2D939a5753cc77&amp;csf=1&amp;web=1&amp;e=1UE35g&amp;CID=81bf0a18%2D883e%2D4be3%2D8c45%2D5476fe32a6ad&amp;FolderCTID=0x0120001BD1B7A29D5EA04EB7553F36EEAEE8D2" TargetMode="External"/><Relationship Id="rId417" Type="http://schemas.openxmlformats.org/officeDocument/2006/relationships/hyperlink" Target="https://artechnologie13.sharepoint.com/sites/Bureaud'tudeAR-TECHNOLOGIE/DOSSIER%20POI/Forms/AllItems.aspx?id=%2Fsites%2FBureaud%27tudeAR%2DTECHNOLOGIE%2FDOSSIER%20POI%2FMDM%2DDAX%2FARC500931%2FDT&amp;sortField=Modified&amp;isAscending=false&amp;viewid=ba243776%2Df837%2D4ace%2D8ee9%2D939a5753cc77" TargetMode="External"/><Relationship Id="rId459" Type="http://schemas.openxmlformats.org/officeDocument/2006/relationships/hyperlink" Target="https://artechnologie13.sharepoint.com/sites/Bureaud'tudeAR-TECHNOLOGIE/DOSSIER%20POI/Forms/AllItems.aspx?id=%2Fsites%2FBureaud%27tudeAR%2DTECHNOLOGIE%2FDOSSIER%20POI%2FROD%2FROD600123%2FDT&amp;sortField=Modified&amp;isAscending=false&amp;viewid=ba243776%2Df837%2D4ace%2D8ee9%2D939a5753cc77&amp;csf=1&amp;CID=028de158%2Dd4dc%2D48b6%2D89c4%2Ddb1f4163a833&amp;FolderCTID=0x0120001BD1B7A29D5EA04EB7553F36EEAEE8D2" TargetMode="External"/><Relationship Id="rId16" Type="http://schemas.openxmlformats.org/officeDocument/2006/relationships/hyperlink" Target="https://artechnologie13.sharepoint.com/sites/Bureaud'tudeAR-TECHNOLOGIE/DOSSIER%20POI/Forms/AllItems.aspx?id=%2Fsites%2FBureaud%27tudeAR%2DTECHNOLOGIE%2FDOSSIER%20POI%2FROD%2FROD500840%2FDT&amp;viewid=ba243776%2Df837%2D4ace%2D8ee9%2D939a5753cc77&amp;csf=1&amp;web=1&amp;e=gaGV3R&amp;CID=a0075e04%2Dc03b%2D4be6%2D9059%2D02f315173215&amp;FolderCTID=0x0120001BD1B7A29D5EA04EB7553F36EEAEE8D2" TargetMode="External"/><Relationship Id="rId221" Type="http://schemas.openxmlformats.org/officeDocument/2006/relationships/hyperlink" Target="https://artechnologie13.sharepoint.com/sites/Bureaud'tudeAR-TECHNOLOGIE/DOSSIER%20POI/Forms/AllItems.aspx?id=%2Fsites%2FBureaud%27tudeAR%2DTECHNOLOGIE%2FDOSSIER%20POI%2FQPR%20%2D%20CRO%2FVAN500993%2FDT&amp;sortField=Modified&amp;isAscending=false&amp;viewid=ba243776%2Df837%2D4ace%2D8ee9%2D939a5753cc77&amp;csf=1&amp;web=1&amp;e=mNdpe5&amp;CID=7455e509%2D1753%2D4e80%2D85aa%2Db3d5ef9489ac&amp;FolderCTID=0x0120001BD1B7A29D5EA04EB7553F36EEAEE8D2" TargetMode="External"/><Relationship Id="rId263" Type="http://schemas.openxmlformats.org/officeDocument/2006/relationships/hyperlink" Target="https://artechnologie13.sharepoint.com/sites/Bureaud'tudeAR-TECHNOLOGIE/DOSSIER%20POI/Forms/AllItems.aspx?id=%2Fsites%2FBureaud%27tudeAR%2DTECHNOLOGIE%2FDOSSIER%20POI%2FMDM%2DDAX%2FMDM400322%2FDT&amp;viewid=ba243776%2Df837%2D4ace%2D8ee9%2D939a5753cc77&amp;csf=1&amp;web=1&amp;e=OaWFOr&amp;CID=4c455b1f%2D3c61%2D4e5f%2Dbff1%2Dffd60bf464fc&amp;FolderCTID=0x0120001BD1B7A29D5EA04EB7553F36EEAEE8D2" TargetMode="External"/><Relationship Id="rId319" Type="http://schemas.openxmlformats.org/officeDocument/2006/relationships/hyperlink" Target="https://artechnologie13.sharepoint.com/sites/Bureaud'tudeAR-TECHNOLOGIE/DOSSIER%20POI/Forms/AllItems.aspx?id=%2Fsites%2FBureaud%27tudeAR%2DTECHNOLOGIE%2FDOSSIER%20POI%2FMEN%2FMEN500581%2FDT&amp;sortField=Modified&amp;isAscending=false&amp;viewid=ba243776%2Df837%2D4ace%2D8ee9%2D939a5753cc77&amp;csf=1&amp;web=1&amp;e=xJSWPp&amp;CID=834583a6%2D0b09%2D4127%2D93b5%2Dc71f4baa33f8&amp;FolderCTID=0x0120001BD1B7A29D5EA04EB7553F36EEAEE8D2" TargetMode="External"/><Relationship Id="rId470" Type="http://schemas.openxmlformats.org/officeDocument/2006/relationships/hyperlink" Target="https://artechnologie13.sharepoint.com/sites/Bureaud'tudeAR-TECHNOLOGIE/DOSSIER%20POI/Forms/AllItems.aspx?id=%2Fsites%2FBureaud%27tudeAR%2DTECHNOLOGIE%2FDOSSIER%20POI%2FMDM%2DDAX%2FARC500947%2FDT&amp;sortField=Modified&amp;isAscending=false&amp;viewid=ba243776%2Df837%2D4ace%2D8ee9%2D939a5753cc77" TargetMode="External"/><Relationship Id="rId58" Type="http://schemas.openxmlformats.org/officeDocument/2006/relationships/hyperlink" Target="https://artechnologie13.sharepoint.com/sites/Bureaud'tudeAR-TECHNOLOGIE/DOSSIER%20POI/Forms/AllItems.aspx?id=%2Fsites%2FBureaud%27tudeAR%2DTECHNOLOGIE%2FDOSSIER%20POI%2FQPR%20%2D%20CRO%2FQPR500679%2FRetour%20VT%2FDT&amp;sortField=Modified&amp;isAscending=false&amp;viewid=ba243776%2Df837%2D4ace%2D8ee9%2D939a5753cc77&amp;csf=1&amp;web=1&amp;e=rpmcna&amp;CID=89330d6f%2D3a99%2D424b%2D8f70%2Dcdd687054232&amp;FolderCTID=0x0120001BD1B7A29D5EA04EB7553F36EEAEE8D2" TargetMode="External"/><Relationship Id="rId123" Type="http://schemas.openxmlformats.org/officeDocument/2006/relationships/hyperlink" Target="https://artechnologie13.sharepoint.com/sites/Bureaud'tudeAR-TECHNOLOGIE/DOSSIER%20POI/Forms/AllItems.aspx?id=%2Fsites%2FBureaud%27tudeAR%2DTECHNOLOGIE%2FDOSSIER%20POI%2FQPR%20%2D%20CRO%2FLOR500508%2FDT&amp;viewid=ba243776%2Df837%2D4ace%2D8ee9%2D939a5753cc77&amp;FolderCTID=0x0120001BD1B7A29D5EA04EB7553F36EEAEE8D2" TargetMode="External"/><Relationship Id="rId330" Type="http://schemas.openxmlformats.org/officeDocument/2006/relationships/hyperlink" Target="https://artechnologie13.sharepoint.com/sites/Bureaud'tudeAR-TECHNOLOGIE/DOSSIER%20POI/Forms/AllItems.aspx?id=%2Fsites%2FBureaud%27tudeAR%2DTECHNOLOGIE%2FDOSSIER%20POI%2FQPR%20%2D%20CRO%2FCRO400002%2FDT&amp;viewid=ba243776%2Df837%2D4ace%2D8ee9%2D939a5753cc77&amp;csf=1&amp;web=1&amp;e=rpmcna&amp;CID=89330d6f%2D3a99%2D424b%2D8f70%2Dcdd687054232&amp;FolderCTID=0x0120001BD1B7A29D5EA04EB7553F36EEAEE8D2" TargetMode="External"/><Relationship Id="rId165" Type="http://schemas.openxmlformats.org/officeDocument/2006/relationships/hyperlink" Target="https://artechnologie13.sharepoint.com/sites/Bureaud'tudeAR-TECHNOLOGIE/DOSSIER%20POI/Forms/AllItems.aspx?id=%2Fsites%2FBureaud%27tudeAR%2DTECHNOLOGIE%2FDOSSIER%20POI%2FMEN%2FMEN500028%2FDT&amp;viewid=ba243776%2Df837%2D4ace%2D8ee9%2D939a5753cc77&amp;csf=1&amp;web=1&amp;e=pMVTPU&amp;CID=6c58341f%2D5e8d%2D4296%2Da9a2%2D99aec3b2657f&amp;FolderCTID=0x0120001BD1B7A29D5EA04EB7553F36EEAEE8D2" TargetMode="External"/><Relationship Id="rId372" Type="http://schemas.openxmlformats.org/officeDocument/2006/relationships/hyperlink" Target="https://artechnologie13.sharepoint.com/sites/Bureaud'tudeAR-TECHNOLOGIE/DOSSIER%20POI/Forms/AllItems.aspx?id=%2Fsites%2FBureaud%27tudeAR%2DTECHNOLOGIE%2FDOSSIER%20POI%2FMDM%2DDAX%2FIMI%2DVA%2D64260%2D01SW%2D1%2FDT&amp;viewid=ba243776%2Df837%2D4ace%2D8ee9%2D939a5753cc77&amp;view=7" TargetMode="External"/><Relationship Id="rId428" Type="http://schemas.openxmlformats.org/officeDocument/2006/relationships/hyperlink" Target="https://artechnologie13.sharepoint.com/sites/Bureaud'tudeAR-TECHNOLOGIE/DOSSIER%20POI/Forms/AllItems.aspx?id=%2Fsites%2FBureaud%27tudeAR%2DTECHNOLOGIE%2FDOSSIER%20POI%2FMEN%2FMEN500652%2FDT&amp;sortField=Modified&amp;isAscending=false&amp;viewid=ba243776%2Df837%2D4ace%2D8ee9%2D939a5753cc77" TargetMode="External"/><Relationship Id="rId232" Type="http://schemas.openxmlformats.org/officeDocument/2006/relationships/hyperlink" Target="https://artechnologie13.sharepoint.com/sites/Bureaud'tudeAR-TECHNOLOGIE/DOSSIER%20POI/Forms/AllItems.aspx?id=%2Fsites%2FBureaud%27tudeAR%2DTECHNOLOGIE%2FDOSSIER%20POI%2FMDM%2DDAX%2FMDM500509%2FDT&amp;viewid=ba243776%2Df837%2D4ace%2D8ee9%2D939a5753cc77&amp;csf=1&amp;web=1&amp;e=a9WYor&amp;CID=89023eaa%2Dc811%2D4268%2D95f8%2D5c4a4d0dae9b&amp;FolderCTID=0x0120001BD1B7A29D5EA04EB7553F36EEAEE8D2" TargetMode="External"/><Relationship Id="rId274" Type="http://schemas.openxmlformats.org/officeDocument/2006/relationships/hyperlink" Target="https://artechnologie13.sharepoint.com/sites/Bureaud'tudeAR-TECHNOLOGIE/DOSSIER%20POI/Forms/AllItems.aspx?id=%2Fsites%2FBureaud%27tudeAR%2DTECHNOLOGIE%2FDOSSIER%20POI%2FROD%2FROD501258%2FDT&amp;viewid=ba243776%2Df837%2D4ace%2D8ee9%2D939a5753cc77&amp;FolderCTID=0x0120001BD1B7A29D5EA04EB7553F36EEAEE8D2" TargetMode="External"/><Relationship Id="rId481" Type="http://schemas.openxmlformats.org/officeDocument/2006/relationships/hyperlink" Target="https://artechnologie13.sharepoint.com/sites/Bureaud'tudeAR-TECHNOLOGIE/DOSSIER%20POI/Forms/AllItems.aspx?id=%2Fsites%2FBureaud%27tudeAR%2DTECHNOLOGIE%2FDOSSIER%20POI%2FMEN%2FMEN500720%2FDT&amp;sortField=Modified&amp;isAscending=false&amp;viewid=ba243776%2Df837%2D4ace%2D8ee9%2D939a5753cc77&amp;csf=1&amp;CID=834583a6%2D0b09%2D4127%2D93b5%2Dc71f4baa33f8&amp;FolderCTID=0x0120001BD1B7A29D5EA04EB7553F36EEAEE8D2" TargetMode="External"/><Relationship Id="rId27" Type="http://schemas.openxmlformats.org/officeDocument/2006/relationships/hyperlink" Target="https://artechnologie13.sharepoint.com/sites/Bureaud'tudeAR-TECHNOLOGIE/DOSSIER%20POI/Forms/AllItems.aspx?id=%2Fsites%2FBureaud%27tudeAR%2DTECHNOLOGIE%2FDOSSIER%20POI%2FMEN%2FMEN400714%2FDT&amp;viewid=ba243776%2Df837%2D4ace%2D8ee9%2D939a5753cc77&amp;FolderCTID=0x0120001BD1B7A29D5EA04EB7553F36EEAEE8D2" TargetMode="External"/><Relationship Id="rId69" Type="http://schemas.openxmlformats.org/officeDocument/2006/relationships/hyperlink" Target="https://artechnologie13.sharepoint.com/sites/Bureaud'tudeAR-TECHNOLOGIE/DOSSIER%20POI/Forms/AllItems.aspx?id=%2Fsites%2FBureaud%27tudeAR%2DTECHNOLOGIE%2FDOSSIER%20POI%2FQPR%20%2D%20CRO%2FVAN501266%2FDT&amp;sortField=Modified&amp;isAscending=false&amp;viewid=ba243776%2Df837%2D4ace%2D8ee9%2D939a5753cc77&amp;csf=1&amp;web=1&amp;e=owQXVh&amp;CID=c5b168e7%2D67df%2D41af%2Db0d7%2D508a6306f4cd&amp;FolderCTID=0x0120001BD1B7A29D5EA04EB7553F36EEAEE8D2" TargetMode="External"/><Relationship Id="rId134" Type="http://schemas.openxmlformats.org/officeDocument/2006/relationships/hyperlink" Target="https://artechnologie13.sharepoint.com/sites/Bureaud'tudeAR-TECHNOLOGIE/DOSSIER%20POI/Forms/AllItems.aspx?id=%2Fsites%2FBureaud%27tudeAR%2DTECHNOLOGIE%2FDOSSIER%20POI%2FMDM%2DDAX%2FMDM500305%2FDT&amp;viewid=ba243776%2Df837%2D4ace%2D8ee9%2D939a5753cc77&amp;FolderCTID=0x0120001BD1B7A29D5EA04EB7553F36EEAEE8D2" TargetMode="External"/><Relationship Id="rId80" Type="http://schemas.openxmlformats.org/officeDocument/2006/relationships/hyperlink" Target="https://artechnologie13.sharepoint.com/sites/Bureaud%27tudeAR-TECHNOLOGIE/DOSSIER%20POI/Forms/AllItems.aspx?id=%2Fsites%2FBureaud%27tudeAR%2DTECHNOLOGIE%2FDOSSIER%20POI%2FROD%2FROD500862%2FDT&amp;sortField=Modified&amp;isAscending=false&amp;viewid=ba243776%2Df837%2D4ace%2D8ee9%2D939a5753cc77" TargetMode="External"/><Relationship Id="rId176" Type="http://schemas.openxmlformats.org/officeDocument/2006/relationships/hyperlink" Target="https://artechnologie13.sharepoint.com/sites/Bureaud'tudeAR-TECHNOLOGIE/DOSSIER%20POI/Forms/AllItems.aspx?id=%2Fsites%2FBureaud%27tudeAR%2DTECHNOLOGIE%2FDOSSIER%20POI%2FROD%2FROD501224%2FDT&amp;viewid=ba243776%2Df837%2D4ace%2D8ee9%2D939a5753cc77&amp;FolderCTID=0x0120001BD1B7A29D5EA04EB7553F36EEAEE8D2" TargetMode="External"/><Relationship Id="rId341" Type="http://schemas.openxmlformats.org/officeDocument/2006/relationships/hyperlink" Target="https://artechnologie13.sharepoint.com/sites/Bureaud'tudeAR-TECHNOLOGIE/DOSSIER%20POI/Forms/AllItems.aspx?id=%2Fsites%2FBureaud%27tudeAR%2DTECHNOLOGIE%2FDOSSIER%20POI%2FQPR%20%2D%20CRO%2FQPR501918%2FDT&amp;sortField=Modified&amp;isAscending=false&amp;viewid=ba243776%2Df837%2D4ace%2D8ee9%2D939a5753cc77&amp;csf=1&amp;web=1&amp;e=Hzs091&amp;CID=04134872%2Df162%2D4f8b%2Dab49%2D5cbfb7288b16&amp;FolderCTID=0x0120001BD1B7A29D5EA04EB7553F36EEAEE8D2" TargetMode="External"/><Relationship Id="rId383" Type="http://schemas.openxmlformats.org/officeDocument/2006/relationships/hyperlink" Target="https://artechnologie13.sharepoint.com/sites/Bureaud'tudeAR-TECHNOLOGIE/DOSSIER%20POI/Forms/AllItems.aspx?id=%2Fsites%2FBureaud%27tudeAR%2DTECHNOLOGIE%2FDOSSIER%20POI%2FMEN%2FMEN500667%2FDT&amp;sortField=Modified&amp;isAscending=false&amp;viewid=ba243776%2Df837%2D4ace%2D8ee9%2D939a5753cc77&amp;csf=1&amp;web=1&amp;e=xJSWPp&amp;CID=834583a6%2D0b09%2D4127%2D93b5%2Dc71f4baa33f8&amp;FolderCTID=0x0120001BD1B7A29D5EA04EB7553F36EEAEE8D2" TargetMode="External"/><Relationship Id="rId439" Type="http://schemas.openxmlformats.org/officeDocument/2006/relationships/hyperlink" Target="https://artechnologie13.sharepoint.com/sites/Bureaud'tudeAR-TECHNOLOGIE/DOSSIER%20POI/Forms/AllItems.aspx?id=%2Fsites%2FBureaud%27tudeAR%2DTECHNOLOGIE%2FDOSSIER%20POI%2FROD%2FROD600083%2FDT&amp;sortField=Modified&amp;isAscending=false&amp;viewid=ba243776%2Df837%2D4ace%2D8ee9%2D939a5753cc77&amp;csf=1&amp;FolderCTID=0x0120001BD1B7A29D5EA04EB7553F36EEAEE8D2&amp;CT=1769507825628&amp;OR=OWA%2DNT%2DMail&amp;CID=618b9d94%2D63dd%2Dbc9c%2D007e%2Daa8410586fbe" TargetMode="External"/><Relationship Id="rId201" Type="http://schemas.openxmlformats.org/officeDocument/2006/relationships/hyperlink" Target="https://artechnologie13.sharepoint.com/sites/Bureaud'tudeAR-TECHNOLOGIE/DOSSIER%20POI/Forms/AllItems.aspx?id=%2Fsites%2FBureaud%27tudeAR%2DTECHNOLOGIE%2FDOSSIER%20POI%2FROD%2FROD501153%2FDT&amp;sortField=LinkFilename&amp;isAscending=false&amp;viewid=ba243776%2Df837%2D4ace%2D8ee9%2D939a5753cc77&amp;csf=1&amp;web=1&amp;e=wXAjoh&amp;CID=033b4116%2D656c%2D4ff3%2Da705%2D325ecfa46a89&amp;FolderCTID=0x0120001BD1B7A29D5EA04EB7553F36EEAEE8D2" TargetMode="External"/><Relationship Id="rId243" Type="http://schemas.openxmlformats.org/officeDocument/2006/relationships/hyperlink" Target="https://artechnologie13.sharepoint.com/sites/Bureaud'tudeAR-TECHNOLOGIE/DOSSIER%20POI/Forms/AllItems.aspx?id=%2Fsites%2FBureaud%27tudeAR%2DTECHNOLOGIE%2FDOSSIER%20POI%2FROD%2FROD501463%2FDT&amp;viewid=ba243776%2Df837%2D4ace%2D8ee9%2D939a5753cc77&amp;csf=1&amp;web=1&amp;e=QnWs5D&amp;CID=43fb69ac%2Df39b%2D4c7d%2D89d5%2Db49763a616d2&amp;FolderCTID=0x0120001BD1B7A29D5EA04EB7553F36EEAEE8D2" TargetMode="External"/><Relationship Id="rId285" Type="http://schemas.openxmlformats.org/officeDocument/2006/relationships/hyperlink" Target="https://artechnologie13.sharepoint.com/sites/Bureaud%27tudeAR-TECHNOLOGIE/DT1/Forms/AllItems.aspx?id=%2Fsites%2FBureaud%27tudeAR%2DTECHNOLOGIE%2FDT1%2FDEMANDES%2FROD401782&amp;viewid=4a761c62%2Dc0e3%2D4ad1%2D9b90%2Daa69488d2e0e&amp;q=ROD401782%20&amp;FolderCTID=0x012000D43E1045C1E5A24BB65CD5B8CBCFE3FF&amp;view=7" TargetMode="External"/><Relationship Id="rId450" Type="http://schemas.openxmlformats.org/officeDocument/2006/relationships/hyperlink" Target="https://artechnologie13.sharepoint.com/sites/Bureaud%27tudeAR-TECHNOLOGIE/DOSSIER%20POI/Forms/AllItems.aspx?id=%2Fsites%2FBureaud%27tudeAR%2DTECHNOLOGIE%2FDOSSIER%20POI%2FROD%2FROD600059%2FDT&amp;sortField=Modified&amp;isAscending=false&amp;viewid=ba243776%2Df837%2D4ace%2D8ee9%2D939a5753cc77&amp;csf=1&amp;CID=62f44cec%2D22a3%2D45af%2D97cb%2D96c2f484fdb6&amp;FolderCTID=0x0120001BD1B7A29D5EA04EB7553F36EEAEE8D2" TargetMode="External"/><Relationship Id="rId506" Type="http://schemas.openxmlformats.org/officeDocument/2006/relationships/hyperlink" Target="https://artechnologie13.sharepoint.com/sites/Bureaud'tudeAR-TECHNOLOGIE/DOSSIER%20POI/Forms/AllItems.aspx?id=%2Fsites%2FBureaud%27tudeAR%2DTECHNOLOGIE%2FDOSSIER%20POI%2FROD%2FROD502129%2FDT&amp;sortField=Modified&amp;isAscending=false&amp;viewid=ba243776%2Df837%2D4ace%2D8ee9%2D939a5753cc77" TargetMode="External"/><Relationship Id="rId38" Type="http://schemas.openxmlformats.org/officeDocument/2006/relationships/hyperlink" Target="https://artechnologie13.sharepoint.com/sites/Bureaud'tudeAR-TECHNOLOGIE/DOSSIER%20POI/Forms/AllItems.aspx?id=%2Fsites%2FBureaud%27tudeAR%2DTECHNOLOGIE%2FDOSSIER%20POI%2FMEN%2FMEN500331%2FDT&amp;viewid=ba243776%2Df837%2D4ace%2D8ee9%2D939a5753cc77&amp;FolderCTID=0x0120001BD1B7A29D5EA04EB7553F36EEAEE8D2" TargetMode="External"/><Relationship Id="rId103" Type="http://schemas.openxmlformats.org/officeDocument/2006/relationships/hyperlink" Target="https://artechnologie13.sharepoint.com/sites/Bureaud'tudeAR-TECHNOLOGIE/DOSSIER%20POI/Forms/AllItems.aspx?id=%2Fsites%2FBureaud%27tudeAR%2DTECHNOLOGIE%2FDOSSIER%20POI%2FQPR%20%2D%20CRO%2FQPR501023%2FDT&amp;viewid=ba243776%2Df837%2D4ace%2D8ee9%2D939a5753cc77&amp;FolderCTID=0x0120001BD1B7A29D5EA04EB7553F36EEAEE8D2" TargetMode="External"/><Relationship Id="rId310" Type="http://schemas.openxmlformats.org/officeDocument/2006/relationships/hyperlink" Target="https://artechnologie13.sharepoint.com/sites/Bureaud'tudeAR-TECHNOLOGIE/DOSSIER%20POI/Forms/AllItems.aspx?id=%2Fsites%2FBureaud%27tudeAR%2DTECHNOLOGIE%2FDOSSIER%20POI%2FMDM%2DDAX%2FIMI%2DVA%2D40202%2D01WO%2D1%2FDT&amp;viewid=ba243776%2Df837%2D4ace%2D8ee9%2D939a5753cc77&amp;view=7" TargetMode="External"/><Relationship Id="rId492" Type="http://schemas.openxmlformats.org/officeDocument/2006/relationships/hyperlink" Target="https://artechnologie13.sharepoint.com/sites/Bureaud%27tudeAR-TECHNOLOGIE/DOSSIER%20POI/Forms/AllItems.aspx?id=%2Fsites%2FBureaud%27tudeAR%2DTECHNOLOGIE%2FDOSSIER%20POI%2FQPR%20%2D%20CRO%2FQPR600187%2FDT&amp;sortField=Modified&amp;isAscending=false&amp;viewid=ba243776%2Df837%2D4ace%2D8ee9%2D939a5753cc77&amp;FolderCTID=0x0120001BD1B7A29D5EA04EB7553F36EEAEE8D2" TargetMode="External"/><Relationship Id="rId91" Type="http://schemas.openxmlformats.org/officeDocument/2006/relationships/hyperlink" Target="https://artechnologie13.sharepoint.com/sites/Bureaud'tudeAR-TECHNOLOGIE/DOSSIER%20POI/Forms/AllItems.aspx?id=%2Fsites%2FBureaud%27tudeAR%2DTECHNOLOGIE%2FDOSSIER%20POI%2FQPR%20%2D%20CRO%2FLOR500542%2FDT&amp;viewid=ba243776%2Df837%2D4ace%2D8ee9%2D939a5753cc77&amp;csf=1&amp;web=1&amp;e=sxVYfL&amp;CID=bb5c0edd%2D242e%2D4029%2Db911%2D86200e1d43a5&amp;FolderCTID=0x0120001BD1B7A29D5EA04EB7553F36EEAEE8D2" TargetMode="External"/><Relationship Id="rId145" Type="http://schemas.openxmlformats.org/officeDocument/2006/relationships/hyperlink" Target="https://artechnologie13.sharepoint.com/sites/Bureaud'tudeAR-TECHNOLOGIE/DOSSIER%20POI/Forms/AllItems.aspx?id=%2Fsites%2FBureaud%27tudeAR%2DTECHNOLOGIE%2FDOSSIER%20POI%2FROD%2FROD501246%2FDT&amp;sortField=Modified&amp;isAscending=false&amp;viewid=ba243776%2Df837%2D4ace%2D8ee9%2D939a5753cc77&amp;csf=1&amp;web=1&amp;e=JhATME&amp;CID=028de158%2Dd4dc%2D48b6%2D89c4%2Ddb1f4163a833&amp;FolderCTID=0x0120001BD1B7A29D5EA04EB7553F36EEAEE8D2" TargetMode="External"/><Relationship Id="rId187" Type="http://schemas.openxmlformats.org/officeDocument/2006/relationships/hyperlink" Target="https://artechnologie13.sharepoint.com/sites/Bureaud'tudeAR-TECHNOLOGIE/DOSSIER%20POI/Forms/AllItems.aspx?id=%2Fsites%2FBureaud%27tudeAR%2DTECHNOLOGIE%2FDOSSIER%20POI%2FROD%2FROD500273%2FDT&amp;viewid=ba243776%2Df837%2D4ace%2D8ee9%2D939a5753cc77&amp;csf=1&amp;web=1&amp;e=rspNCz&amp;CID=6600b98a%2Da2c0%2D463c%2Dbcb7%2D3a35d8b4e983&amp;FolderCTID=0x0120001BD1B7A29D5EA04EB7553F36EEAEE8D2" TargetMode="External"/><Relationship Id="rId352" Type="http://schemas.openxmlformats.org/officeDocument/2006/relationships/hyperlink" Target="https://artechnologie13.sharepoint.com/sites/Bureaud'tudeAR-TECHNOLOGIE/DOSSIER%20POI/Forms/AllItems.aspx?id=%2Fsites%2FBureaud%27tudeAR%2DTECHNOLOGIE%2FDOSSIER%20POI%2FMDM%2DDAX%2FIMI%2DVA%2D40123%2D01O3%2D1%2FDT2&amp;viewid=ba243776%2Df837%2D4ace%2D8ee9%2D939a5753cc77&amp;FolderCTID=0x0120001BD1B7A29D5EA04EB7553F36EEAEE8D2" TargetMode="External"/><Relationship Id="rId394" Type="http://schemas.openxmlformats.org/officeDocument/2006/relationships/hyperlink" Target="https://artechnologie13.sharepoint.com/sites/Bureaud'tudeAR-TECHNOLOGIE/DOSSIER%20POI/Forms/AllItems.aspx?id=%2Fsites%2FBureaud%27tudeAR%2DTECHNOLOGIE%2FDOSSIER%20POI%2FROD%2FROD501850%2FDT&amp;sortField=Modified&amp;isAscending=false&amp;viewid=ba243776%2Df837%2D4ace%2D8ee9%2D939a5753cc77&amp;csf=1&amp;web=1&amp;e=ywV4ci&amp;CID=8a368264%2D6d13%2D449a%2D9bb4%2Dd27682d10b0a&amp;FolderCTID=0x0120001BD1B7A29D5EA04EB7553F36EEAEE8D2" TargetMode="External"/><Relationship Id="rId408" Type="http://schemas.openxmlformats.org/officeDocument/2006/relationships/hyperlink" Target="https://artechnologie13.sharepoint.com/sites/Bureaud'tudeAR-TECHNOLOGIE/DOSSIER%20POI/Forms/AllItems.aspx?id=%2Fsites%2FBureaud%27tudeAR%2DTECHNOLOGIE%2FDOSSIER%20POI%2FROD%2FROD502026%2FDT&amp;sortField=Modified&amp;isAscending=false&amp;viewid=ba243776%2Df837%2D4ace%2D8ee9%2D939a5753cc77&amp;csf=1&amp;web=1&amp;e=JhATME&amp;CID=028de158%2Dd4dc%2D48b6%2D89c4%2Ddb1f4163a833&amp;FolderCTID=0x0120001BD1B7A29D5EA04EB7553F36EEAEE8D2" TargetMode="External"/><Relationship Id="rId212" Type="http://schemas.openxmlformats.org/officeDocument/2006/relationships/hyperlink" Target="https://artechnologie13.sharepoint.com/sites/Bureaud'tudeAR-TECHNOLOGIE/DOSSIER%20POI/Forms/AllItems.aspx?id=%2Fsites%2FBureaud%27tudeAR%2DTECHNOLOGIE%2FDOSSIER%20POI%2FQPR%20%2D%20CRO%2FQPR501290%2FDT&amp;viewid=ba243776%2Df837%2D4ace%2D8ee9%2D939a5753cc77&amp;csf=1&amp;web=1&amp;e=YX6Gwj&amp;CID=3521e9fa%2D9434%2D4ee5%2Db2ed%2D269dc724ca6a&amp;FolderCTID=0x0120001BD1B7A29D5EA04EB7553F36EEAEE8D2" TargetMode="External"/><Relationship Id="rId254" Type="http://schemas.openxmlformats.org/officeDocument/2006/relationships/hyperlink" Target="https://artechnologie13.sharepoint.com/sites/Bureaud'tudeAR-TECHNOLOGIE/DOSSIER%20POI/Forms/AllItems.aspx?id=%2Fsites%2FBureaud%27tudeAR%2DTECHNOLOGIE%2FDOSSIER%20POI%2FROD%2FROD501366%2FDT&amp;viewid=ba243776%2Df837%2D4ace%2D8ee9%2D939a5753cc77&amp;FolderCTID=0x0120001BD1B7A29D5EA04EB7553F36EEAEE8D2" TargetMode="External"/><Relationship Id="rId49" Type="http://schemas.openxmlformats.org/officeDocument/2006/relationships/hyperlink" Target="https://artechnologie13.sharepoint.com/sites/Bureaud'tudeAR-TECHNOLOGIE/DOSSIER%20POI/Forms/AllItems.aspx?id=%2Fsites%2FBureaud%27tudeAR%2DTECHNOLOGIE%2FDOSSIER%20POI%2FBAY%2FIMI%2DVL%2D64102%2D00BT%2D1%2FDT&amp;viewid=ba243776%2Df837%2D4ace%2D8ee9%2D939a5753cc77&amp;FolderCTID=0x0120001BD1B7A29D5EA04EB7553F36EEAEE8D2" TargetMode="External"/><Relationship Id="rId114" Type="http://schemas.openxmlformats.org/officeDocument/2006/relationships/hyperlink" Target="https://artechnologie13.sharepoint.com/sites/Bureaud'tudeAR-TECHNOLOGIE/DOSSIER%20POI/Forms/AllItems.aspx?id=%2Fsites%2FBureaud%27tudeAR%2DTECHNOLOGIE%2FDOSSIER%20POI%2FPAU%2FPAU300472%2FDT&amp;viewid=ba243776%2Df837%2D4ace%2D8ee9%2D939a5753cc77&amp;csf=1&amp;web=1&amp;e=eu9x8g&amp;CID=c242915f%2Db486%2D42a8%2Dbf2d%2D090fcefe2cd0&amp;FolderCTID=0x0120001BD1B7A29D5EA04EB7553F36EEAEE8D2" TargetMode="External"/><Relationship Id="rId296" Type="http://schemas.openxmlformats.org/officeDocument/2006/relationships/hyperlink" Target="https://artechnologie13.sharepoint.com/sites/Bureaud'tudeAR-TECHNOLOGIE/DOSSIER%20POI/Forms/AllItems.aspx?id=%2Fsites%2FBureaud%27tudeAR%2DTECHNOLOGIE%2FDOSSIER%20POI%2FQPR%20%2D%20CRO%2FRRE501894%2FDT&amp;sortField=Modified&amp;isAscending=false&amp;viewid=ba243776%2Df837%2D4ace%2D8ee9%2D939a5753cc77&amp;csf=1&amp;web=1&amp;e=9WvHyN&amp;CID=36301bcb%2D5b9c%2D44bf%2D88d4%2D647a11855c95&amp;FolderCTID=0x0120001BD1B7A29D5EA04EB7553F36EEAEE8D2" TargetMode="External"/><Relationship Id="rId461" Type="http://schemas.openxmlformats.org/officeDocument/2006/relationships/hyperlink" Target="https://artechnologie13.sharepoint.com/sites/Bureaud%27tudeAR-TECHNOLOGIE/DOSSIER%20POI/Forms/AllItems.aspx?id=%2Fsites%2FBureaud%27tudeAR%2DTECHNOLOGIE%2FDOSSIER%20POI%2FMDM%2DDAX%2FARC600054%2FDT&amp;sortField=Modified&amp;isAscending=false&amp;viewid=ba243776%2Df837%2D4ace%2D8ee9%2D939a5753cc77&amp;csf=1&amp;CID=c5b168e7%2D67df%2D41af%2Db0d7%2D508a6306f4cd&amp;FolderCTID=0x0120001BD1B7A29D5EA04EB7553F36EEAEE8D2" TargetMode="External"/><Relationship Id="rId60" Type="http://schemas.openxmlformats.org/officeDocument/2006/relationships/hyperlink" Target="https://artechnologie13.sharepoint.com/sites/Bureaud'tudeAR-TECHNOLOGIE/DOSSIER%20POI/Forms/AllItems.aspx?id=%2Fsites%2FBureaud%27tudeAR%2DTECHNOLOGIE%2FDOSSIER%20POI%2FROD%2FROD500783%2FDT&amp;viewid=ba243776%2Df837%2D4ace%2D8ee9%2D939a5753cc77&amp;FolderCTID=0x0120001BD1B7A29D5EA04EB7553F36EEAEE8D2" TargetMode="External"/><Relationship Id="rId156" Type="http://schemas.openxmlformats.org/officeDocument/2006/relationships/hyperlink" Target="https://artechnologie13.sharepoint.com/sites/Bureaud'tudeAR-TECHNOLOGIE/DOSSIER%20POI/Forms/AllItems.aspx?id=%2Fsites%2FBureaud%27tudeAR%2DTECHNOLOGIE%2FDOSSIER%20POI%2FMDM%2DDAX%2FIMI%2DVA%2D40192%2D09AT%2D1%2FDT2&amp;viewid=ba243776%2Df837%2D4ace%2D8ee9%2D939a5753cc77&amp;FolderCTID=0x0120001BD1B7A29D5EA04EB7553F36EEAEE8D2" TargetMode="External"/><Relationship Id="rId198" Type="http://schemas.openxmlformats.org/officeDocument/2006/relationships/hyperlink" Target="https://artechnologie13.sharepoint.com/sites/Bureaud'tudeAR-TECHNOLOGIE/DOSSIER%20POI/Forms/AllItems.aspx?id=%2Fsites%2FBureaud%27tudeAR%2DTECHNOLOGIE%2FDOSSIER%20POI%2FROD%2FROD401415%2FDT&amp;viewid=ba243776%2Df837%2D4ace%2D8ee9%2D939a5753cc77&amp;csf=1&amp;web=1&amp;e=hsLvSD&amp;CID=49026f0c%2Db2d4%2D41a4%2D923c%2D9a8386f89f22&amp;FolderCTID=0x0120001BD1B7A29D5EA04EB7553F36EEAEE8D2" TargetMode="External"/><Relationship Id="rId321" Type="http://schemas.openxmlformats.org/officeDocument/2006/relationships/hyperlink" Target="https://artechnologie13.sharepoint.com/sites/Bureaud'tudeAR-TECHNOLOGIE/DOSSIER%20POI/Forms/AllItems.aspx?id=%2Fsites%2FBureaud%27tudeAR%2DTECHNOLOGIE%2FDOSSIER%20POI%2FMEN%2FMEN500407%2FDT&amp;viewid=ba243776%2Df837%2D4ace%2D8ee9%2D939a5753cc77&amp;FolderCTID=0x0120001BD1B7A29D5EA04EB7553F36EEAEE8D2" TargetMode="External"/><Relationship Id="rId363" Type="http://schemas.openxmlformats.org/officeDocument/2006/relationships/hyperlink" Target="https://artechnologie13.sharepoint.com/sites/Bureaud'tudeAR-TECHNOLOGIE/DOSSIER%20POI/Forms/AllItems.aspx?id=%2Fsites%2FBureaud%27tudeAR%2DTECHNOLOGIE%2FDOSSIER%20POI%2FQPR%20%2D%20CRO%2FQPR500282%2FDT&amp;sortField=Modified&amp;isAscending=false&amp;viewid=ba243776%2Df837%2D4ace%2D8ee9%2D939a5753cc77&amp;FolderCTID=0x0120001BD1B7A29D5EA04EB7553F36EEAEE8D2" TargetMode="External"/><Relationship Id="rId419" Type="http://schemas.openxmlformats.org/officeDocument/2006/relationships/hyperlink" Target="https://artechnologie13.sharepoint.com/sites/Bureaud'tudeAR-TECHNOLOGIE/DOSSIER%20POI/Forms/AllItems.aspx?id=%2Fsites%2FBureaud%27tudeAR%2DTECHNOLOGIE%2FDOSSIER%20POI%2FMEN%2FMEN500673%2FDT&amp;sortField=Modified&amp;isAscending=false&amp;viewid=ba243776%2Df837%2D4ace%2D8ee9%2D939a5753cc77&amp;csf=1&amp;web=1&amp;e=xJSWPp&amp;CID=834583a6%2D0b09%2D4127%2D93b5%2Dc71f4baa33f8&amp;FolderCTID=0x0120001BD1B7A29D5EA04EB7553F36EEAEE8D2" TargetMode="External"/><Relationship Id="rId223" Type="http://schemas.openxmlformats.org/officeDocument/2006/relationships/hyperlink" Target="https://artechnologie13.sharepoint.com/sites/Bureaud'tudeAR-TECHNOLOGIE/DOSSIER%20POI/Forms/AllItems.aspx?id=%2Fsites%2FBureaud%27tudeAR%2DTECHNOLOGIE%2FDOSSIER%20POI%2FQPR%20%2D%20CRO%2FRRE501826%2FDT&amp;viewid=ba243776%2Df837%2D4ace%2D8ee9%2D939a5753cc77&amp;csf=1&amp;web=1&amp;e=koEOg2&amp;CID=d08b2b10%2Dc04e%2D491e%2D9c8c%2D7a4797e7dc4f&amp;FolderCTID=0x0120001BD1B7A29D5EA04EB7553F36EEAEE8D2" TargetMode="External"/><Relationship Id="rId430" Type="http://schemas.openxmlformats.org/officeDocument/2006/relationships/hyperlink" Target="https://artechnologie13.sharepoint.com/sites/Bureaud'tudeAR-TECHNOLOGIE/DOSSIER%20POI/Forms/AllItems.aspx?id=%2Fsites%2FBureaud%27tudeAR%2DTECHNOLOGIE%2FDOSSIER%20POI%2FQPR%20%2D%20CRO%2FLOR500385%2FRetour%20VT%2FDT&amp;sortField=Modified&amp;isAscending=false&amp;viewid=ba243776%2Df837%2D4ace%2D8ee9%2D939a5753cc77&amp;csf=1&amp;web=1&amp;e=owQXVh&amp;CID=c5b168e7%2D67df%2D41af%2Db0d7%2D508a6306f4cd&amp;FolderCTID=0x0120001BD1B7A29D5EA04EB7553F36EEAEE8D2" TargetMode="External"/><Relationship Id="rId18" Type="http://schemas.openxmlformats.org/officeDocument/2006/relationships/hyperlink" Target="https://artechnologie13.sharepoint.com/sites/Bureaud'tudeAR-TECHNOLOGIE/DOSSIER%20POI/Forms/AllItems.aspx?id=%2Fsites%2FBureaud%27tudeAR%2DTECHNOLOGIE%2FDOSSIER%20POI%2FMDM%2DDAX%2FIMI%2DVA%2D40280%2000CB%2D1%2FDT&amp;viewid=ba243776%2Df837%2D4ace%2D8ee9%2D939a5753cc77&amp;FolderCTID=0x0120001BD1B7A29D5EA04EB7553F36EEAEE8D2" TargetMode="External"/><Relationship Id="rId265" Type="http://schemas.openxmlformats.org/officeDocument/2006/relationships/hyperlink" Target="https://artechnologie13.sharepoint.com/sites/Bureaud'tudeAR-TECHNOLOGIE/DOSSIER%20POI/Forms/AllItems.aspx?id=%2Fsites%2FBureaud%27tudeAR%2DTECHNOLOGIE%2FDOSSIER%20POI%2FQPR%20%2D%20CRO%2FQPR501572%2FDT&amp;viewid=ba243776%2Df837%2D4ace%2D8ee9%2D939a5753cc77&amp;FolderCTID=0x0120001BD1B7A29D5EA04EB7553F36EEAEE8D2" TargetMode="External"/><Relationship Id="rId472" Type="http://schemas.openxmlformats.org/officeDocument/2006/relationships/hyperlink" Target="https://artechnologie13.sharepoint.com/sites/Bureaud%27tudeAR-TECHNOLOGIE/DOSSIER%20POI/Forms/AllItems.aspx?id=%2Fsites%2FBureaud%27tudeAR%2DTECHNOLOGIE%2FDOSSIER%20POI%2FMDM%2DDAX%2FIMI%2DVA%2D40234%2D00E9%2D1%2FDT&amp;sortField=Modified&amp;isAscending=false&amp;viewid=ba243776%2Df837%2D4ace%2D8ee9%2D939a5753cc77" TargetMode="External"/><Relationship Id="rId125" Type="http://schemas.openxmlformats.org/officeDocument/2006/relationships/hyperlink" Target="https://artechnologie13.sharepoint.com/sites/Bureaud'tudeAR-TECHNOLOGIE/DOSSIER%20POI/Forms/AllItems.aspx?id=%2Fsites%2FBureaud%27tudeAR%2DTECHNOLOGIE%2FDOSSIER%20POI%2FQPR%20%2D%20CRO%2FLOR500521%2FDT&amp;viewid=ba243776%2Df837%2D4ace%2D8ee9%2D939a5753cc77&amp;csf=1&amp;web=1&amp;e=2DSG9P&amp;CID=b071af78%2D415a%2D46ea%2Dbfa7%2D286acd9758c1&amp;FolderCTID=0x0120001BD1B7A29D5EA04EB7553F36EEAEE8D2" TargetMode="External"/><Relationship Id="rId167" Type="http://schemas.openxmlformats.org/officeDocument/2006/relationships/hyperlink" Target="https://artechnologie13.sharepoint.com/sites/Bureaud'tudeAR-TECHNOLOGIE/DOSSIER%20POI/Forms/AllItems.aspx?id=%2Fsites%2FBureaud%27tudeAR%2DTECHNOLOGIE%2FDOSSIER%20POI%2FMEN%2FMEN500377%2FDT&amp;sortField=Modified&amp;isAscending=false&amp;viewid=ba243776%2Df837%2D4ace%2D8ee9%2D939a5753cc77&amp;csf=1&amp;web=1&amp;e=xUPcuK&amp;CID=e382a5b9%2D168f%2D4447%2D9601%2D78fc7bfb7038&amp;FolderCTID=0x0120001BD1B7A29D5EA04EB7553F36EEAEE8D2" TargetMode="External"/><Relationship Id="rId332" Type="http://schemas.openxmlformats.org/officeDocument/2006/relationships/hyperlink" Target="https://artechnologie13.sharepoint.com/sites/Bureaud'tudeAR-TECHNOLOGIE/DOSSIER%20POI/Forms/AllItems.aspx?id=%2Fsites%2FBureaud%27tudeAR%2DTECHNOLOGIE%2FDOSSIER%20POI%2FMDM%2DDAX%2FMDM400881%2FDT&amp;viewid=ba243776%2Df837%2D4ace%2D8ee9%2D939a5753cc77&amp;FolderCTID=0x0120001BD1B7A29D5EA04EB7553F36EEAEE8D2" TargetMode="External"/><Relationship Id="rId374" Type="http://schemas.openxmlformats.org/officeDocument/2006/relationships/hyperlink" Target="https://artechnologie13.sharepoint.com/sites/Bureaud'tudeAR-TECHNOLOGIE/DOSSIER%20POI/Forms/AllItems.aspx?id=%2Fsites%2FBureaud%27tudeAR%2DTECHNOLOGIE%2FDOSSIER%20POI%2FQPR%20%2D%20CRO%2FLOR501476%2FRETOUR%20VT%2FDT&amp;sortField=Modified&amp;isAscending=false&amp;viewid=ba243776%2Df837%2D4ace%2D8ee9%2D939a5753cc77" TargetMode="External"/><Relationship Id="rId71" Type="http://schemas.openxmlformats.org/officeDocument/2006/relationships/hyperlink" Target="https://artechnologie13.sharepoint.com/sites/Bureaud'tudeAR-TECHNOLOGIE/DOSSIER%20POI/Forms/AllItems.aspx?id=%2Fsites%2FBureaud%27tudeAR%2DTECHNOLOGIE%2FDOSSIER%20POI%2FROD%2FROD501087%2FDT&amp;viewid=ba243776%2Df837%2D4ace%2D8ee9%2D939a5753cc77&amp;FolderCTID=0x0120001BD1B7A29D5EA04EB7553F36EEAEE8D2" TargetMode="External"/><Relationship Id="rId234" Type="http://schemas.openxmlformats.org/officeDocument/2006/relationships/hyperlink" Target="https://artechnologie13.sharepoint.com/sites/Bureaud%27tudeAR-TECHNOLOGIE/DOSSIER%20POI/Forms/AllItems.aspx?id=%2Fsites%2FBureaud%27tudeAR%2DTECHNOLOGIE%2FDOSSIER%20POI%2FMDM%2DDAX%2FMDM203023%2FDT&amp;viewid=ba243776%2Df837%2D4ace%2D8ee9%2D939a5753cc77" TargetMode="External"/><Relationship Id="rId2" Type="http://schemas.openxmlformats.org/officeDocument/2006/relationships/hyperlink" Target="https://artechnologie13.sharepoint.com/sites/Bureaud'tudeAR-TECHNOLOGIE/DOSSIER%20POI/Forms/AllItems.aspx?FolderCTID=0x0120001BD1B7A29D5EA04EB7553F36EEAEE8D2&amp;id=%2Fsites%2FBureaud%27tudeAR%2DTECHNOLOGIE%2FDOSSIER%20POI%2FBAY%2FIMI%2DVA%2D64024%20035M%2D1%2FDT" TargetMode="External"/><Relationship Id="rId29" Type="http://schemas.openxmlformats.org/officeDocument/2006/relationships/hyperlink" Target="https://artechnologie13.sharepoint.com/sites/Bureaud'tudeAR-TECHNOLOGIE/DOSSIER%20POI/Forms/AllItems.aspx?id=%2Fsites%2FBureaud%27tudeAR%2DTECHNOLOGIE%2FDOSSIER%20POI%2FMEN%2FMEN500339%2FDT&amp;viewid=ba243776%2Df837%2D4ace%2D8ee9%2D939a5753cc77&amp;FolderCTID=0x0120001BD1B7A29D5EA04EB7553F36EEAEE8D2" TargetMode="External"/><Relationship Id="rId276" Type="http://schemas.openxmlformats.org/officeDocument/2006/relationships/hyperlink" Target="https://artechnologie13.sharepoint.com/sites/Bureaud'tudeAR-TECHNOLOGIE/DOSSIER%20POI/Forms/AllItems.aspx?id=%2Fsites%2FBureaud%27tudeAR%2DTECHNOLOGIE%2FDOSSIER%20POI%2FROD%2FROD501605%2FDT&amp;viewid=ba243776%2Df837%2D4ace%2D8ee9%2D939a5753cc77&amp;FolderCTID=0x0120001BD1B7A29D5EA04EB7553F36EEAEE8D2" TargetMode="External"/><Relationship Id="rId441" Type="http://schemas.openxmlformats.org/officeDocument/2006/relationships/hyperlink" Target="https://artechnologie13.sharepoint.com/sites/Bureaud'tudeAR-TECHNOLOGIE/DOSSIER%20POI/Forms/AllItems.aspx?id=%2Fsites%2FBureaud%27tudeAR%2DTECHNOLOGIE%2FDOSSIER%20POI%2FMDM%2DDAX%2FARC600039%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83" Type="http://schemas.openxmlformats.org/officeDocument/2006/relationships/hyperlink" Target="https://artechnologie13.sharepoint.com/sites/Bureaud%27tudeAR-TECHNOLOGIE/DOSSIER%20POI/Forms/AllItems.aspx?id=%2Fsites%2FBureaud%27tudeAR%2DTECHNOLOGIE%2FDOSSIER%20POI%2FMDM%2DDAX%2FARC600011%2FRetour%20VT%2FDT&amp;sortField=Modified&amp;isAscending=false&amp;viewid=ba243776%2Df837%2D4ace%2D8ee9%2D939a5753cc77&amp;csf=1&amp;CID=c5b168e7%2D67df%2D41af%2Db0d7%2D508a6306f4cd&amp;FolderCTID=0x0120001BD1B7A29D5EA04EB7553F36EEAEE8D2" TargetMode="External"/><Relationship Id="rId40" Type="http://schemas.openxmlformats.org/officeDocument/2006/relationships/hyperlink" Target="https://artechnologie13.sharepoint.com/sites/Bureaud'tudeAR-TECHNOLOGIE/DOSSIER%20POI/Forms/AllItems.aspx?id=%2Fsites%2FBureaud%27tudeAR%2DTECHNOLOGIE%2FDOSSIER%20POI%2FROD%2FROD500644%2FDT&amp;viewid=ba243776%2Df837%2D4ace%2D8ee9%2D939a5753cc77&amp;FolderCTID=0x0120001BD1B7A29D5EA04EB7553F36EEAEE8D2" TargetMode="External"/><Relationship Id="rId136" Type="http://schemas.openxmlformats.org/officeDocument/2006/relationships/hyperlink" Target="https://artechnologie13.sharepoint.com/sites/Bureaud'tudeAR-TECHNOLOGIE/DOSSIER%20POI/Forms/AllItems.aspx?id=%2Fsites%2FBureaud%27tudeAR%2DTECHNOLOGIE%2FDOSSIER%20POI%2FPAU%2FPAU101592%2FDT&amp;viewid=ba243776%2Df837%2D4ace%2D8ee9%2D939a5753cc77&amp;FolderCTID=0x0120001BD1B7A29D5EA04EB7553F36EEAEE8D2" TargetMode="External"/><Relationship Id="rId178" Type="http://schemas.openxmlformats.org/officeDocument/2006/relationships/hyperlink" Target="https://artechnologie13.sharepoint.com/sites/Bureaud'tudeAR-TECHNOLOGIE/DOSSIER%20POI/Forms/AllItems.aspx?id=%2Fsites%2FBureaud%27tudeAR%2DTECHNOLOGIE%2FDOSSIER%20POI%2FROD%2FROD500387%2FDT&amp;viewid=ba243776%2Df837%2D4ace%2D8ee9%2D939a5753cc77&amp;FolderCTID=0x0120001BD1B7A29D5EA04EB7553F36EEAEE8D2" TargetMode="External"/><Relationship Id="rId301" Type="http://schemas.openxmlformats.org/officeDocument/2006/relationships/hyperlink" Target="https://artechnologie13.sharepoint.com/sites/Bureaud'tudeAR-TECHNOLOGIE/DOSSIER%20POI/Forms/AllItems.aspx?id=%2Fsites%2FBureaud%27tudeAR%2DTECHNOLOGIE%2FDOSSIER%20POI%2FQPR%20%2D%20CRO%2FQPR501845%2FDT&amp;sortField=Modified&amp;isAscending=false&amp;viewid=ba243776%2Df837%2D4ace%2D8ee9%2D939a5753cc77&amp;FolderCTID=0x0120001BD1B7A29D5EA04EB7553F36EEAEE8D2" TargetMode="External"/><Relationship Id="rId343" Type="http://schemas.openxmlformats.org/officeDocument/2006/relationships/hyperlink" Target="https://artechnologie13.sharepoint.com/sites/Bureaud'tudeAR-TECHNOLOGIE/DOSSIER%20POI/Forms/AllItems.aspx?id=%2Fsites%2FBureaud%27tudeAR%2DTECHNOLOGIE%2FDOSSIER%20POI%2FROD%2FROD501652%2FDT&amp;sortField=Modified&amp;isAscending=false&amp;viewid=ba243776%2Df837%2D4ace%2D8ee9%2D939a5753cc77&amp;csf=1&amp;web=1&amp;e=gs979d&amp;CID=62f44cec%2D22a3%2D45af%2D97cb%2D96c2f484fdb6&amp;FolderCTID=0x0120001BD1B7A29D5EA04EB7553F36EEAEE8D2&amp;view=7" TargetMode="External"/><Relationship Id="rId82" Type="http://schemas.openxmlformats.org/officeDocument/2006/relationships/hyperlink" Target="https://artechnologie13.sharepoint.com/sites/Bureaud'tudeAR-TECHNOLOGIE/DOSSIER%20POI/Forms/AllItems.aspx?id=%2Fsites%2FBureaud%27tudeAR%2DTECHNOLOGIE%2FDOSSIER%20POI%2FROD%2FROD501099%2FDT&amp;viewid=ba243776%2Df837%2D4ace%2D8ee9%2D939a5753cc77&amp;FolderCTID=0x0120001BD1B7A29D5EA04EB7553F36EEAEE8D2" TargetMode="External"/><Relationship Id="rId203" Type="http://schemas.openxmlformats.org/officeDocument/2006/relationships/hyperlink" Target="https://artechnologie13.sharepoint.com/sites/Bureaud'tudeAR-TECHNOLOGIE/DOSSIER%20POI/Forms/AllItems.aspx?id=%2Fsites%2FBureaud%27tudeAR%2DTECHNOLOGIE%2FDOSSIER%20POI%2FROD%2FROD501253%2FDT&amp;sortField=Modified&amp;isAscending=false&amp;viewid=ba243776%2Df837%2D4ace%2D8ee9%2D939a5753cc77&amp;csf=1&amp;web=1&amp;e=JhATME&amp;CID=028de158%2Dd4dc%2D48b6%2D89c4%2Ddb1f4163a833&amp;FolderCTID=0x0120001BD1B7A29D5EA04EB7553F36EEAEE8D2" TargetMode="External"/><Relationship Id="rId385" Type="http://schemas.openxmlformats.org/officeDocument/2006/relationships/hyperlink" Target="https://artechnologie13.sharepoint.com/sites/Bureaud'tudeAR-TECHNOLOGIE/DOSSIER%20POI/Forms/AllItems.aspx?id=%2Fsites%2FBureaud%27tudeAR%2DTECHNOLOGIE%2FDOSSIER%20POI%2FROD%2FROD501366%2FDT2&amp;sortField=Modified&amp;isAscending=false&amp;viewid=ba243776%2Df837%2D4ace%2D8ee9%2D939a5753cc77&amp;CT=1766395491760&amp;OR=OWA%2DNT%2DMail&amp;CID=78203731%2D2cdd%2D0f25%2Dce68%2D4e814ec1e1e6&amp;csf=1&amp;web=1&amp;e=ywV4ci&amp;FolderCTID=0x0120001BD1B7A29D5EA04EB7553F36EEAEE8D2" TargetMode="External"/><Relationship Id="rId245" Type="http://schemas.openxmlformats.org/officeDocument/2006/relationships/hyperlink" Target="https://artechnologie13.sharepoint.com/sites/Bureaud'tudeAR-TECHNOLOGIE/DOSSIER%20POI/Forms/AllItems.aspx?id=%2Fsites%2FBureaud%27tudeAR%2DTECHNOLOGIE%2FDOSSIER%20POI%2FMDM%2DDAX%2FMDM500538%2FDT&amp;viewid=ba243776%2Df837%2D4ace%2D8ee9%2D939a5753cc77&amp;FolderCTID=0x0120001BD1B7A29D5EA04EB7553F36EEAEE8D2" TargetMode="External"/><Relationship Id="rId287" Type="http://schemas.openxmlformats.org/officeDocument/2006/relationships/hyperlink" Target="https://artechnologie13.sharepoint.com/sites/Bureaud'tudeAR-TECHNOLOGIE/DOSSIER%20POI/Forms/AllItems.aspx?id=%2Fsites%2FBureaud%27tudeAR%2DTECHNOLOGIE%2FDOSSIER%20POI%2FQPR%20%2D%20CRO%2FQPR501355&amp;sortField=Modified&amp;isAscending=false&amp;viewid=ba243776%2Df837%2D4ace%2D8ee9%2D939a5753cc77&amp;csf=1&amp;web=1&amp;e=byaswK&amp;CID=9ea747ca%2Da4e7%2D4e9a%2D95a8%2D701580d43187&amp;FolderCTID=0x0120001BD1B7A29D5EA04EB7553F36EEAEE8D2" TargetMode="External"/><Relationship Id="rId410" Type="http://schemas.openxmlformats.org/officeDocument/2006/relationships/hyperlink" Target="https://artechnologie13.sharepoint.com/sites/Bureaud%27tudeAR-TECHNOLOGIE/DOSSIER%20POI/Forms/AllItems.aspx?id=%2Fsites%2FBureaud%27tudeAR%2DTECHNOLOGIE%2FDOSSIER%20POI%2FQPR%20%2D%20CRO%2FQPR502125%2FDT&amp;sortField=Modified&amp;isAscending=false&amp;viewid=ba243776%2Df837%2D4ace%2D8ee9%2D939a5753cc77&amp;FolderCTID=0x0120001BD1B7A29D5EA04EB7553F36EEAEE8D2" TargetMode="External"/><Relationship Id="rId452" Type="http://schemas.openxmlformats.org/officeDocument/2006/relationships/hyperlink" Target="https://artechnologie13.sharepoint.com/sites/Bureaud'tudeAR-TECHNOLOGIE/DOSSIER%20POI/Forms/AllItems.aspx?id=%2Fsites%2FBureaud%27tudeAR%2DTECHNOLOGIE%2FDOSSIER%20POI%2FROD%2FROD600020%2FDT&amp;sortField=Modified&amp;isAscending=false&amp;viewid=ba243776%2Df837%2D4ace%2D8ee9%2D939a5753cc77" TargetMode="External"/><Relationship Id="rId494" Type="http://schemas.openxmlformats.org/officeDocument/2006/relationships/hyperlink" Target="https://artechnologie13.sharepoint.com/sites/Bureaud'tudeAR-TECHNOLOGIE/DOSSIER%20POI/Forms/AllItems.aspx?id=%2Fsites%2FBureaud%27tudeAR%2DTECHNOLOGIE%2FDOSSIER%20POI%2FMEN%2FMEN600034%2FDT&amp;sortField=Modified&amp;isAscending=false&amp;viewid=ba243776%2Df837%2D4ace%2D8ee9%2D939a5753cc77&amp;FolderCTID=0x0120001BD1B7A29D5EA04EB7553F36EEAEE8D2" TargetMode="External"/><Relationship Id="rId508" Type="http://schemas.openxmlformats.org/officeDocument/2006/relationships/hyperlink" Target="https://artechnologie13.sharepoint.com/sites/Bureaud'tudeAR-TECHNOLOGIE/DOSSIER%20POI/Forms/AllItems.aspx?id=%2Fsites%2FBureaud%27tudeAR%2DTECHNOLOGIE%2FDOSSIER%20POI%2FROD%2FROD600283%2FDT&amp;sortField=Modified&amp;isAscending=false&amp;viewid=ba243776%2Df837%2D4ace%2D8ee9%2D939a5753cc77" TargetMode="External"/><Relationship Id="rId105" Type="http://schemas.openxmlformats.org/officeDocument/2006/relationships/hyperlink" Target="https://artechnologie13.sharepoint.com/sites/Bureaud'tudeAR-TECHNOLOGIE/DOSSIER%20POI/Forms/AllItems.aspx?id=%2Fsites%2FBureaud%27tudeAR%2DTECHNOLOGIE%2FDOSSIER%20POI%2FQPR%20%2D%20CRO%2FRRE500820%2FDT&amp;viewid=ba243776%2Df837%2D4ace%2D8ee9%2D939a5753cc77&amp;FolderCTID=0x0120001BD1B7A29D5EA04EB7553F36EEAEE8D2" TargetMode="External"/><Relationship Id="rId147" Type="http://schemas.openxmlformats.org/officeDocument/2006/relationships/hyperlink" Target="https://artechnologie13.sharepoint.com/sites/Bureaud'tudeAR-TECHNOLOGIE/DOSSIER%20POI/Forms/AllItems.aspx?id=%2Fsites%2FBureaud%27tudeAR%2DTECHNOLOGIE%2FDOSSIER%20POI%2FQPR%20%2D%20CRO%2FCRO500134%2FDT&amp;viewid=ba243776%2Df837%2D4ace%2D8ee9%2D939a5753cc77&amp;FolderCTID=0x0120001BD1B7A29D5EA04EB7553F36EEAEE8D2" TargetMode="External"/><Relationship Id="rId312" Type="http://schemas.openxmlformats.org/officeDocument/2006/relationships/hyperlink" Target="https://artechnologie13.sharepoint.com/sites/Bureaud'tudeAR-TECHNOLOGIE/DOSSIER%20POI/Forms/AllItems.aspx?id=%2Fsites%2FBureaud%27tudeAR%2DTECHNOLOGIE%2FDOSSIER%20POI%2FROD%2FROD501736%2FDT&amp;viewid=ba243776%2Df837%2D4ace%2D8ee9%2D939a5753cc77" TargetMode="External"/><Relationship Id="rId354" Type="http://schemas.openxmlformats.org/officeDocument/2006/relationships/hyperlink" Target="https://artechnologie13.sharepoint.com/sites/Bureaud%27tudeAR-TECHNOLOGIE/DOSSIER%20POI/Forms/AllItems.aspx?id=%2Fsites%2FBureaud%27tudeAR%2DTECHNOLOGIE%2FDOSSIER%20POI%2FMDM%2DDAX%2FARC500798%2FDT&amp;sortField=Modified&amp;isAscending=false&amp;viewid=ba243776%2Df837%2D4ace%2D8ee9%2D939a5753cc77&amp;csf=1&amp;web=1&amp;e=owQXVh&amp;CID=c5b168e7%2D67df%2D41af%2Db0d7%2D508a6306f4cd&amp;FolderCTID=0x0120001BD1B7A29D5EA04EB7553F36EEAEE8D2&amp;view=7" TargetMode="External"/><Relationship Id="rId51" Type="http://schemas.openxmlformats.org/officeDocument/2006/relationships/hyperlink" Target="https://artechnologie13.sharepoint.com/sites/Bureaud'tudeAR-TECHNOLOGIE/DOSSIER%20POI/Forms/AllItems.aspx?id=%2Fsites%2FBureaud%27tudeAR%2DTECHNOLOGIE%2FDOSSIER%20POI%2FQPR%20%2D%20CRO%2FQPR500865%2FDT&amp;viewid=ba243776%2Df837%2D4ace%2D8ee9%2D939a5753cc77&amp;FolderCTID=0x0120001BD1B7A29D5EA04EB7553F36EEAEE8D2" TargetMode="External"/><Relationship Id="rId93" Type="http://schemas.openxmlformats.org/officeDocument/2006/relationships/hyperlink" Target="https://artechnologie13.sharepoint.com/sites/Bureaud'tudeAR-TECHNOLOGIE/DOSSIER%20POI/Forms/AllItems.aspx?id=%2Fsites%2FBureaud%27tudeAR%2DTECHNOLOGIE%2FDOSSIER%20POI%2FMDM%2DDAX%2FIMI%2DVA%2D40234%20007H%2D1%2FDT&amp;viewid=ba243776%2Df837%2D4ace%2D8ee9%2D939a5753cc77&amp;FolderCTID=0x0120001BD1B7A29D5EA04EB7553F36EEAEE8D2" TargetMode="External"/><Relationship Id="rId189" Type="http://schemas.openxmlformats.org/officeDocument/2006/relationships/hyperlink" Target="https://artechnologie13.sharepoint.com/sites/Bureaud'tudeAR-TECHNOLOGIE/DOSSIER%20POI/Forms/AllItems.aspx?id=%2Fsites%2FBureaud%27tudeAR%2DTECHNOLOGIE%2FDOSSIER%20POI%2FMEN%2FMEN400690%2FDT&amp;viewid=ba243776%2Df837%2D4ace%2D8ee9%2D939a5753cc77&amp;FolderCTID=0x0120001BD1B7A29D5EA04EB7553F36EEAEE8D2" TargetMode="External"/><Relationship Id="rId396" Type="http://schemas.openxmlformats.org/officeDocument/2006/relationships/hyperlink" Target="https://artechnologie13.sharepoint.com/sites/Bureaud'tudeAR-TECHNOLOGIE/DOSSIER%20POI/Forms/AllItems.aspx?id=%2Fsites%2FBureaud%27tudeAR%2DTECHNOLOGIE%2FDOSSIER%20POI%2FMDM%2DDAX%2FIMI%2DVA%2D64122%2D03DM%2D1%2FDT&amp;viewid=ba243776%2Df837%2D4ace%2D8ee9%2D939a5753cc77" TargetMode="External"/><Relationship Id="rId214" Type="http://schemas.openxmlformats.org/officeDocument/2006/relationships/hyperlink" Target="https://artechnologie13.sharepoint.com/sites/Bureaud'tudeAR-TECHNOLOGIE/DOSSIER%20POI/Forms/AllItems.aspx?id=%2Fsites%2FBureaud%27tudeAR%2DTECHNOLOGIE%2FDOSSIER%20POI%2FQPR%20%2D%20CRO%2FQPR500822%2FDT&amp;sortField=Modified&amp;isAscending=false&amp;viewid=ba243776%2Df837%2D4ace%2D8ee9%2D939a5753cc77&amp;csf=1&amp;web=1&amp;e=owQXVh&amp;CID=c5b168e7%2D67df%2D41af%2Db0d7%2D508a6306f4cd&amp;FolderCTID=0x0120001BD1B7A29D5EA04EB7553F36EEAEE8D2" TargetMode="External"/><Relationship Id="rId256" Type="http://schemas.openxmlformats.org/officeDocument/2006/relationships/hyperlink" Target="https://artechnologie13.sharepoint.com/sites/Bureaud'tudeAR-TECHNOLOGIE/DOSSIER%20POI/Forms/AllItems.aspx?id=%2Fsites%2FBureaud%27tudeAR%2DTECHNOLOGIE%2FDOSSIER%20POI%2FQPR%20%2D%20CRO%2FQPR500885%2FDT&amp;sortField=Modified&amp;isAscending=false&amp;viewid=ba243776%2Df837%2D4ace%2D8ee9%2D939a5753cc77&amp;csf=1&amp;web=1&amp;e=rpmcna&amp;CID=89330d6f%2D3a99%2D424b%2D8f70%2Dcdd687054232&amp;FolderCTID=0x0120001BD1B7A29D5EA04EB7553F36EEAEE8D2" TargetMode="External"/><Relationship Id="rId298" Type="http://schemas.openxmlformats.org/officeDocument/2006/relationships/hyperlink" Target="https://artechnologie13.sharepoint.com/sites/Bureaud'tudeAR-TECHNOLOGIE/DOSSIER%20POI/Forms/AllItems.aspx?id=%2Fsites%2FBureaud%27tudeAR%2DTECHNOLOGIE%2FDOSSIER%20POI%2FQPR%20%2D%20CRO%2FVAN500908%2FDT&amp;sortField=Modified&amp;isAscending=false&amp;viewid=ba243776%2Df837%2D4ace%2D8ee9%2D939a5753cc77&amp;csf=1&amp;web=1&amp;e=owQXVh&amp;CID=c5b168e7%2D67df%2D41af%2Db0d7%2D508a6306f4cd&amp;FolderCTID=0x0120001BD1B7A29D5EA04EB7553F36EEAEE8D2&amp;view=7" TargetMode="External"/><Relationship Id="rId421" Type="http://schemas.openxmlformats.org/officeDocument/2006/relationships/hyperlink" Target="https://artechnologie13.sharepoint.com/sites/Bureaud'tudeAR-TECHNOLOGIE/DOSSIER%20POI/Forms/AllItems.aspx?id=%2Fsites%2FBureaud%27tudeAR%2DTECHNOLOGIE%2FDOSSIER%20POI%2FROD%2FROD502100%2FDT&amp;sortField=Modified&amp;isAscending=false&amp;viewid=ba243776%2Df837%2D4ace%2D8ee9%2D939a5753cc77" TargetMode="External"/><Relationship Id="rId463" Type="http://schemas.openxmlformats.org/officeDocument/2006/relationships/hyperlink" Target="https://artechnologie13.sharepoint.com/sites/Bureaud'tudeAR-TECHNOLOGIE/DOSSIER%20POI/Forms/AllItems.aspx?id=%2Fsites%2FBureaud%27tudeAR%2DTECHNOLOGIE%2FDOSSIER%20POI%2FMDM%2DDAX%2FIMI%2DVA%2D64483%2D00GZ%2D1%2FDT&amp;viewid=ba243776%2Df837%2D4ace%2D8ee9%2D939a5753cc77&amp;FolderCTID=0x0120001BD1B7A29D5EA04EB7553F36EEAEE8D2" TargetMode="External"/><Relationship Id="rId116" Type="http://schemas.openxmlformats.org/officeDocument/2006/relationships/hyperlink" Target="https://artechnologie13.sharepoint.com/sites/Bureaud'tudeAR-TECHNOLOGIE/DOSSIER%20POI/Forms/AllItems.aspx?id=%2Fsites%2FBureaud%27tudeAR%2DTECHNOLOGIE%2FDOSSIER%20POI%2FPAU%2FPAU400335%2FDT&amp;viewid=ba243776%2Df837%2D4ace%2D8ee9%2D939a5753cc77&amp;csf=1&amp;web=1&amp;e=jpKY3O&amp;CID=709018c0%2D50f0%2D4ae6%2Daf54%2Ddde826f78aa2&amp;FolderCTID=0x0120001BD1B7A29D5EA04EB7553F36EEAEE8D2" TargetMode="External"/><Relationship Id="rId158" Type="http://schemas.openxmlformats.org/officeDocument/2006/relationships/hyperlink" Target="https://artechnologie13.sharepoint.com/sites/Bureaud'tudeAR-TECHNOLOGIE/DOSSIER%20POI/Forms/AllItems.aspx?id=%2Fsites%2FBureaud%27tudeAR%2DTECHNOLOGIE%2FDOSSIER%20POI%2FMDM%2DDAX%2FMDM301144%2FDT&amp;viewid=ba243776%2Df837%2D4ace%2D8ee9%2D939a5753cc77&amp;FolderCTID=0x0120001BD1B7A29D5EA04EB7553F36EEAEE8D2" TargetMode="External"/><Relationship Id="rId323" Type="http://schemas.openxmlformats.org/officeDocument/2006/relationships/hyperlink" Target="https://artechnologie13.sharepoint.com/sites/Bureaud'tudeAR-TECHNOLOGIE/DOSSIER%20POI/Forms/AllItems.aspx?id=%2Fsites%2FBureaud%27tudeAR%2DTECHNOLOGIE%2FDOSSIER%20POI%2FQPR%20%2D%20CRO%2FLOR501352%2FDT&amp;sortField=Modified&amp;isAscending=false&amp;viewid=ba243776%2Df837%2D4ace%2D8ee9%2D939a5753cc77" TargetMode="External"/><Relationship Id="rId20" Type="http://schemas.openxmlformats.org/officeDocument/2006/relationships/hyperlink" Target="https://artechnologie13.sharepoint.com/sites/Bureaud'tudeAR-TECHNOLOGIE/DT1/Forms/AllItems.aspx?id=%2Fsites%2FBureaud%27tudeAR%2DTECHNOLOGIE%2FDT1%2FDEMANDES%2FMEN400662%2FDT&amp;viewid=4a761c62%2Dc0e3%2D4ad1%2D9b90%2Daa69488d2e0e&amp;FolderCTID=0x012000D43E1045C1E5A24BB65CD5B8CBCFE3FF" TargetMode="External"/><Relationship Id="rId62" Type="http://schemas.openxmlformats.org/officeDocument/2006/relationships/hyperlink" Target="https://artechnologie13.sharepoint.com/sites/Bureaud'tudeAR-TECHNOLOGIE/DOSSIER%20POI/Forms/AllItems.aspx?id=%2Fsites%2FBureaud%27tudeAR%2DTECHNOLOGIE%2FDOSSIER%20POI%2FROD%2FROD500784%2FDT&amp;sortField=Modified&amp;isAscending=false&amp;viewid=ba243776%2Df837%2D4ace%2D8ee9%2D939a5753cc77&amp;csf=1&amp;web=1&amp;e=pOswRS&amp;CID=3041e4f2%2Da174%2D40d4%2D9a60%2D7728e1cc1851&amp;FolderCTID=0x0120001BD1B7A29D5EA04EB7553F36EEAEE8D2" TargetMode="External"/><Relationship Id="rId365" Type="http://schemas.openxmlformats.org/officeDocument/2006/relationships/hyperlink" Target="https://artechnologie13.sharepoint.com/sites/Bureaud'tudeAR-TECHNOLOGIE/DOSSIER%20POI/Forms/AllItems.aspx?id=%2Fsites%2FBureaud%27tudeAR%2DTECHNOLOGIE%2FDOSSIER%20POI%2FMDM%2DDAX%2FIMI%2DVA%2D64125%2D00O1%2D1%2FDT&amp;viewid=ba243776%2Df837%2D4ace%2D8ee9%2D939a5753cc77&amp;FolderCTID=0x0120001BD1B7A29D5EA04EB7553F36EEAEE8D2" TargetMode="External"/><Relationship Id="rId225" Type="http://schemas.openxmlformats.org/officeDocument/2006/relationships/hyperlink" Target="https://artechnologie13.sharepoint.com/sites/Bureaud'tudeAR-TECHNOLOGIE/DOSSIER%20POI/Forms/AllItems.aspx?id=%2Fsites%2FBureaud%27tudeAR%2DTECHNOLOGIE%2FDOSSIER%20POI%2FROD%2FROD501174%2FDT&amp;viewid=ba243776%2Df837%2D4ace%2D8ee9%2D939a5753cc77&amp;csf=1&amp;web=1&amp;e=Gl5inj&amp;CID=d3205e64%2D2493%2D4030%2D9696%2Dab95ec790ebf&amp;FolderCTID=0x0120001BD1B7A29D5EA04EB7553F36EEAEE8D2" TargetMode="External"/><Relationship Id="rId267" Type="http://schemas.openxmlformats.org/officeDocument/2006/relationships/hyperlink" Target="https://artechnologie13.sharepoint.com/sites/Bureaud'tudeAR-TECHNOLOGIE/DOSSIER%20POI/Forms/AllItems.aspx?id=%2Fsites%2FBureaud%27tudeAR%2DTECHNOLOGIE%2FDOSSIER%20POI%2FSPI%2040%2D64%2FIMI%2DVA%2D64024%2D06OS%2D1%2FDT&amp;viewid=ba243776%2Df837%2D4ace%2D8ee9%2D939a5753cc77&amp;FolderCTID=0x0120001BD1B7A29D5EA04EB7553F36EEAEE8D2" TargetMode="External"/><Relationship Id="rId432" Type="http://schemas.openxmlformats.org/officeDocument/2006/relationships/hyperlink" Target="https://artechnologie13.sharepoint.com/sites/Bureaud%27tudeAR-TECHNOLOGIE/DOSSIER%20POI/Forms/AllItems.aspx?id=%2Fsites%2FBureaud%27tudeAR%2DTECHNOLOGIE%2FDOSSIER%20POI%2FMDM%2DDAX%2FIMI%2DVA%2D40274%2D00KE%2D1%2FDT&amp;viewid=ba243776%2Df837%2D4ace%2D8ee9%2D939a5753cc77&amp;ga=1" TargetMode="External"/><Relationship Id="rId474" Type="http://schemas.openxmlformats.org/officeDocument/2006/relationships/hyperlink" Target="https://artechnologie13.sharepoint.com/sites/Bureaud%27tudeAR-TECHNOLOGIE/DOSSIER%20POI/Forms/AllItems.aspx?id=%2Fsites%2FBureaud%27tudeAR%2DTECHNOLOGIE%2FDOSSIER%20POI%2FQPR%20%2D%20CRO%2FVAN600141%2FDT&amp;sortField=Modified&amp;isAscending=false&amp;viewid=ba243776%2Df837%2D4ace%2D8ee9%2D939a5753cc77&amp;FolderCTID=0x0120001BD1B7A29D5EA04EB7553F36EEAEE8D2" TargetMode="External"/><Relationship Id="rId127" Type="http://schemas.openxmlformats.org/officeDocument/2006/relationships/hyperlink" Target="https://artechnologie13.sharepoint.com/sites/Bureaud'tudeAR-TECHNOLOGIE/DOSSIER%20POI/Forms/AllItems.aspx?id=%2Fsites%2FBureaud%27tudeAR%2DTECHNOLOGIE%2FDOSSIER%20POI%2FSPI%2040%2D64%2FIMI%2DVA%2D40234%2D00CO%2D1%2FDT&amp;newTargetListUrl=%2Fsites%2FBureaud%27tudeAR%2DTECHNOLOGIE%2FDOSSIER%20POI&amp;viewpath=%2Fsites%2FBureaud%27tudeAR%2DTECHNOLOGIE%2FDOSSIER%20POI%2FForms%2FAllItems%2Easpx" TargetMode="External"/><Relationship Id="rId31" Type="http://schemas.openxmlformats.org/officeDocument/2006/relationships/hyperlink" Target="https://artechnologie13.sharepoint.com/sites/Bureaud'tudeAR-TECHNOLOGIE/DOSSIER%20POI/Forms/AllItems.aspx?id=%2Fsites%2FBureaud%27tudeAR%2DTECHNOLOGIE%2FDOSSIER%20POI%2FROD%2FROD500771%2FDT&amp;viewid=ba243776%2Df837%2D4ace%2D8ee9%2D939a5753cc77&amp;FolderCTID=0x0120001BD1B7A29D5EA04EB7553F36EEAEE8D2" TargetMode="External"/><Relationship Id="rId73" Type="http://schemas.openxmlformats.org/officeDocument/2006/relationships/hyperlink" Target="https://artechnologie13.sharepoint.com/sites/Bureaud'tudeAR-TECHNOLOGIE/DOSSIER%20POI/Forms/AllItems.aspx?id=%2Fsites%2FBureaud%27tudeAR%2DTECHNOLOGIE%2FDOSSIER%20POI%2FBAY%2FBAY300774%2FDT&amp;viewid=ba243776%2Df837%2D4ace%2D8ee9%2D939a5753cc77&amp;FolderCTID=0x0120001BD1B7A29D5EA04EB7553F36EEAEE8D2" TargetMode="External"/><Relationship Id="rId169" Type="http://schemas.openxmlformats.org/officeDocument/2006/relationships/hyperlink" Target="https://artechnologie13.sharepoint.com/sites/Bureaud'tudeAR-TECHNOLOGIE/DOSSIER%20POI/Forms/AllItems.aspx?id=%2Fsites%2FBureaud%27tudeAR%2DTECHNOLOGIE%2FDOSSIER%20POI%2FMEN%2FMEN500042%2FDT&amp;viewid=ba243776%2Df837%2D4ace%2D8ee9%2D939a5753cc77&amp;FolderCTID=0x0120001BD1B7A29D5EA04EB7553F36EEAEE8D2" TargetMode="External"/><Relationship Id="rId334" Type="http://schemas.openxmlformats.org/officeDocument/2006/relationships/hyperlink" Target="https://artechnologie13.sharepoint.com/sites/Bureaud'tudeAR-TECHNOLOGIE/DOSSIER%20POI/Forms/AllItems.aspx?id=%2Fsites%2FBureaud%27tudeAR%2DTECHNOLOGIE%2FDOSSIER%20POI%2FMDM%2DDAX%2FMDM301155%2FDT2&amp;viewid=ba243776%2Df837%2D4ace%2D8ee9%2D939a5753cc77&amp;csf=1&amp;web=1&amp;e=rpmcna&amp;CID=89330d6f%2D3a99%2D424b%2D8f70%2Dcdd687054232&amp;FolderCTID=0x0120001BD1B7A29D5EA04EB7553F36EEAEE8D2" TargetMode="External"/><Relationship Id="rId376" Type="http://schemas.openxmlformats.org/officeDocument/2006/relationships/hyperlink" Target="https://artechnologie13.sharepoint.com/sites/Bureaud'tudeAR-TECHNOLOGIE/DOSSIER%20POI/Forms/AllItems.aspx?id=%2Fsites%2FBureaud%27tudeAR%2DTECHNOLOGIE%2FDOSSIER%20POI%2FQPR%20%2D%20CRO%2FCRO500259%2FDT&amp;sortField=Modified&amp;isAscending=false&amp;viewid=ba243776%2Df837%2D4ace%2D8ee9%2D939a5753cc77&amp;FolderCTID=0x0120001BD1B7A29D5EA04EB7553F36EEAEE8D2" TargetMode="External"/><Relationship Id="rId4" Type="http://schemas.openxmlformats.org/officeDocument/2006/relationships/hyperlink" Target="https://artechnologie13.sharepoint.com/sites/Bureaud'tudeAR-TECHNOLOGIE/DOSSIER%20POI/Forms/AllItems.aspx?csf=1&amp;web=1&amp;e=pPT8BZ&amp;CID=e252c9d0%2Dd66e%2D451a%2D98d4%2Dad3ce3f4a0e0&amp;FolderCTID=0x0120001BD1B7A29D5EA04EB7553F36EEAEE8D2&amp;id=%2Fsites%2FBureaud%27tudeAR%2DTECHNOLOGIE%2FDOSSIER%20POI%2FSPI%2040%2D64%2FIMI%2DVA%2D40279%2D15O1%2D1" TargetMode="External"/><Relationship Id="rId180" Type="http://schemas.openxmlformats.org/officeDocument/2006/relationships/hyperlink" Target="https://artechnologie13.sharepoint.com/sites/Bureaud'tudeAR-TECHNOLOGIE/DOSSIER%20POI/Forms/AllItems.aspx?id=%2Fsites%2FBureaud%27tudeAR%2DTECHNOLOGIE%2FDOSSIER%20POI%2FROD%2FROD500710%2FDT&amp;viewid=ba243776%2Df837%2D4ace%2D8ee9%2D939a5753cc77&amp;csf=1&amp;web=1&amp;e=jix4dY&amp;CID=5c5c91f8%2D91d9%2D46c8%2D8071%2D53e95a45e311&amp;FolderCTID=0x0120001BD1B7A29D5EA04EB7553F36EEAEE8D2" TargetMode="External"/><Relationship Id="rId236" Type="http://schemas.openxmlformats.org/officeDocument/2006/relationships/hyperlink" Target="https://artechnologie13.sharepoint.com/sites/Bureaud'tudeAR-TECHNOLOGIE/DOSSIER%20POI/Forms/AllItems.aspx?id=%2Fsites%2FBureaud%27tudeAR%2DTECHNOLOGIE%2FDOSSIER%20POI%2FMDM%2DDAX%2FMDM200033%2FDT&amp;viewid=ba243776%2Df837%2D4ace%2D8ee9%2D939a5753cc77&amp;csf=1&amp;web=1&amp;e=w0oUAq&amp;CID=f1cdb755%2Dbf7d%2D4174%2Db8f6%2D90bb1fd233e3&amp;FolderCTID=0x0120001BD1B7A29D5EA04EB7553F36EEAEE8D2" TargetMode="External"/><Relationship Id="rId278" Type="http://schemas.openxmlformats.org/officeDocument/2006/relationships/hyperlink" Target="https://artechnologie13.sharepoint.com/sites/Bureaud'tudeAR-TECHNOLOGIE/DOSSIER%20POI/Forms/AllItems.aspx?id=%2Fsites%2FBureaud%27tudeAR%2DTECHNOLOGIE%2FDOSSIER%20POI%2FROD%2FROD501587%2FDT&amp;viewid=ba243776%2Df837%2D4ace%2D8ee9%2D939a5753cc77&amp;FolderCTID=0x0120001BD1B7A29D5EA04EB7553F36EEAEE8D2" TargetMode="External"/><Relationship Id="rId401" Type="http://schemas.openxmlformats.org/officeDocument/2006/relationships/hyperlink" Target="https://artechnologie13.sharepoint.com/sites/Bureaud%27tudeAR-TECHNOLOGIE/DOSSIER%20POI/Forms/AllItems.aspx?id=%2Fsites%2FBureaud%27tudeAR%2DTECHNOLOGIE%2FDOSSIER%20POI%2FQPR%20%2D%20CRO%2FLOR501552%2FRETOUR%20VT%2FDT&amp;sortField=Modified&amp;isAscending=false&amp;viewid=ba243776%2Df837%2D4ace%2D8ee9%2D939a5753cc77&amp;FolderCTID=0x0120001BD1B7A29D5EA04EB7553F36EEAEE8D2" TargetMode="External"/><Relationship Id="rId443" Type="http://schemas.openxmlformats.org/officeDocument/2006/relationships/hyperlink" Target="https://artechnologie13.sharepoint.com/sites/Bureaud'tudeAR-TECHNOLOGIE/DOSSIER%20POI/Forms/AllItems.aspx?id=%2Fsites%2FBureaud%27tudeAR%2DTECHNOLOGIE%2FDOSSIER%20POI%2FMDM%2DDAX%2FARC600003%2FDT&amp;sortField=Modified&amp;isAscending=false&amp;viewid=ba243776%2Df837%2D4ace%2D8ee9%2D939a5753cc77" TargetMode="External"/><Relationship Id="rId303" Type="http://schemas.openxmlformats.org/officeDocument/2006/relationships/hyperlink" Target="https://artechnologie13.sharepoint.com/sites/Bureaud'tudeAR-TECHNOLOGIE/DOSSIER%20POI/Forms/AllItems.aspx?id=%2Fsites%2FBureaud%27tudeAR%2DTECHNOLOGIE%2FDOSSIER%20POI%2FQPR%20%2D%20CRO%2FQPR501481%2FDT&amp;sortField=Modified&amp;isAscending=false&amp;viewid=ba243776%2Df837%2D4ace%2D8ee9%2D939a5753cc77&amp;csf=1&amp;web=1&amp;e=9WvHyN&amp;CID=36301bcb%2D5b9c%2D44bf%2D88d4%2D647a11855c95&amp;FolderCTID=0x0120001BD1B7A29D5EA04EB7553F36EEAEE8D2" TargetMode="External"/><Relationship Id="rId485" Type="http://schemas.openxmlformats.org/officeDocument/2006/relationships/hyperlink" Target="https://artechnologie13.sharepoint.com/sites/Bureaud'tudeAR-TECHNOLOGIE/DOSSIER%20POI/Forms/AllItems.aspx?id=%2Fsites%2FBureaud%27tudeAR%2DTECHNOLOGIE%2FDOSSIER%20POI%2FROD%2FROD501101%2FDT2&amp;viewid=ba243776%2Df837%2D4ace%2D8ee9%2D939a5753cc77&amp;FolderCTID=0x0120001BD1B7A29D5EA04EB7553F36EEAEE8D2" TargetMode="External"/><Relationship Id="rId42" Type="http://schemas.openxmlformats.org/officeDocument/2006/relationships/hyperlink" Target="https://artechnologie13.sharepoint.com/sites/Bureaud'tudeAR-TECHNOLOGIE/DOSSIER%20POI/Forms/AllItems.aspx?id=%2Fsites%2FBureaud%27tudeAR%2DTECHNOLOGIE%2FDOSSIER%20POI%2FMDM%2DDAX%2FIMI%2DVA%2D40179%2002TF%2D1%2FDT&amp;viewid=ba243776%2Df837%2D4ace%2D8ee9%2D939a5753cc77&amp;FolderCTID=0x0120001BD1B7A29D5EA04EB7553F36EEAEE8D2" TargetMode="External"/><Relationship Id="rId84" Type="http://schemas.openxmlformats.org/officeDocument/2006/relationships/hyperlink" Target="https://artechnologie13.sharepoint.com/sites/Bureaud'tudeAR-TECHNOLOGIE/DOSSIER%20POI/Forms/AllItems.aspx?id=%2Fsites%2FBureaud%27tudeAR%2DTECHNOLOGIE%2FDOSSIER%20POI%2FROD%2FROD500089%2FDT&amp;viewid=ba243776%2Df837%2D4ace%2D8ee9%2D939a5753cc77&amp;FolderCTID=0x0120001BD1B7A29D5EA04EB7553F36EEAEE8D2" TargetMode="External"/><Relationship Id="rId138" Type="http://schemas.openxmlformats.org/officeDocument/2006/relationships/hyperlink" Target="https://artechnologie13.sharepoint.com/sites/Bureaud'tudeAR-TECHNOLOGIE/DOSSIER%20POI/Forms/AllItems.aspx?id=%2Fsites%2FBureaud%27tudeAR%2DTECHNOLOGIE%2FDOSSIER%20POI%2FROD%2FROD501265%2FDT&amp;viewid=ba243776%2Df837%2D4ace%2D8ee9%2D939a5753cc77&amp;FolderCTID=0x0120001BD1B7A29D5EA04EB7553F36EEAEE8D2" TargetMode="External"/><Relationship Id="rId345" Type="http://schemas.openxmlformats.org/officeDocument/2006/relationships/hyperlink" Target="https://artechnologie13.sharepoint.com/sites/Bureaud%27tudeAR-TECHNOLOGIE/DOSSIER%20POI/Forms/AllItems.aspx?id=%2Fsites%2FBureaud%27tudeAR%2DTECHNOLOGIE%2FDOSSIER%20POI%2FROD%2FROD401787%2FDT&amp;sortField=Modified&amp;isAscending=false&amp;viewid=ba243776%2Df837%2D4ace%2D8ee9%2D939a5753cc77&amp;csf=1&amp;web=1&amp;e=m0NFE2&amp;CID=c26ff311%2D2481%2D4e6e%2D9ec1%2D1d2e7a68be3e&amp;FolderCTID=0x0120001BD1B7A29D5EA04EB7553F36EEAEE8D2&amp;view=7" TargetMode="External"/><Relationship Id="rId387" Type="http://schemas.openxmlformats.org/officeDocument/2006/relationships/hyperlink" Target="https://artechnologie13.sharepoint.com/sites/Bureaud'tudeAR-TECHNOLOGIE/DOSSIER%20POI/Forms/AllItems.aspx?id=%2Fsites%2FBureaud%27tudeAR%2DTECHNOLOGIE%2FDOSSIER%20POI%2FMDM%2DDAX%2FIMI%2DVA%2D40320%2D006M%2D1%2FDT&amp;viewid=ba243776%2Df837%2D4ace%2D8ee9%2D939a5753cc77&amp;FolderCTID=0x0120001BD1B7A29D5EA04EB7553F36EEAEE8D2" TargetMode="External"/><Relationship Id="rId510" Type="http://schemas.openxmlformats.org/officeDocument/2006/relationships/hyperlink" Target="https://artechnologie13.sharepoint.com/sites/Bureaud'tudeAR-TECHNOLOGIE/DOSSIER%20POI/Forms/AllItems.aspx?id=%2Fsites%2FBureaud%27tudeAR%2DTECHNOLOGIE%2FDOSSIER%20POI%2FQPR%20%2D%20CRO%2FRRE600378%2FDT&amp;sortField=Modified&amp;isAscending=false&amp;viewid=ba243776%2Df837%2D4ace%2D8ee9%2D939a5753cc77&amp;csf=1&amp;CID=c5b168e7%2D67df%2D41af%2Db0d7%2D508a6306f4cd&amp;FolderCTID=0x0120001BD1B7A29D5EA04EB7553F36EEAEE8D2" TargetMode="External"/><Relationship Id="rId191" Type="http://schemas.openxmlformats.org/officeDocument/2006/relationships/hyperlink" Target="https://artechnologie13.sharepoint.com/sites/Bureaud'tudeAR-TECHNOLOGIE/DOSSIER%20POI/Forms/AllItems.aspx?id=%2Fsites%2FBureaud%27tudeAR%2DTECHNOLOGIE%2FDOSSIER%20POI%2FROD%2FROD501365%2FDT&amp;sortField=Modified&amp;isAscending=false&amp;viewid=ba243776%2Df837%2D4ace%2D8ee9%2D939a5753cc77&amp;csf=1&amp;web=1&amp;e=ywV4ci&amp;CID=8a368264%2D6d13%2D449a%2D9bb4%2Dd27682d10b0a&amp;FolderCTID=0x0120001BD1B7A29D5EA04EB7553F36EEAEE8D2" TargetMode="External"/><Relationship Id="rId205" Type="http://schemas.openxmlformats.org/officeDocument/2006/relationships/hyperlink" Target="https://artechnologie13.sharepoint.com/sites/Bureaud'tudeAR-TECHNOLOGIE/DOSSIER%20POI/Forms/AllItems.aspx?id=%2Fsites%2FBureaud%27tudeAR%2DTECHNOLOGIE%2FDOSSIER%20POI%2FQPR%20%2D%20CRO%2FLOR500509%2FDT&amp;viewid=ba243776%2Df837%2D4ace%2D8ee9%2D939a5753cc77&amp;csf=1&amp;web=1&amp;e=vFHzDW&amp;CID=227b900f%2D4cf9%2D4b8b%2Da717%2D549993cd80ee&amp;FolderCTID=0x0120001BD1B7A29D5EA04EB7553F36EEAEE8D2" TargetMode="External"/><Relationship Id="rId247" Type="http://schemas.openxmlformats.org/officeDocument/2006/relationships/hyperlink" Target="https://artechnologie13.sharepoint.com/sites/Bureaud'tudeAR-TECHNOLOGIE/DOSSIER%20POI/Forms/AllItems.aspx?id=%2Fsites%2FBureaud%27tudeAR%2DTECHNOLOGIE%2FDOSSIER%20POI%2FMDM%2DDAX%2FIMI%2DVA%2D40123%2D01OB%2D1%2FDT&amp;viewid=ba243776%2Df837%2D4ace%2D8ee9%2D939a5753cc77&amp;FolderCTID=0x0120001BD1B7A29D5EA04EB7553F36EEAEE8D2" TargetMode="External"/><Relationship Id="rId412" Type="http://schemas.openxmlformats.org/officeDocument/2006/relationships/hyperlink" Target="https://artechnologie13.sharepoint.com/sites/Bureaud'tudeAR-TECHNOLOGIE/DOSSIER%20POI/Forms/AllItems.aspx?id=%2Fsites%2FBureaud%27tudeAR%2DTECHNOLOGIE%2FDOSSIER%20POI%2FROD%2FROD502076%2FDT&amp;sortField=Modified&amp;isAscending=false&amp;viewid=ba243776%2Df837%2D4ace%2D8ee9%2D939a5753cc77&amp;csf=1&amp;web=1&amp;e=JhATME&amp;CID=028de158%2Dd4dc%2D48b6%2D89c4%2Ddb1f4163a833&amp;FolderCTID=0x0120001BD1B7A29D5EA04EB7553F36EEAEE8D2" TargetMode="External"/><Relationship Id="rId107" Type="http://schemas.openxmlformats.org/officeDocument/2006/relationships/hyperlink" Target="https://artechnologie13.sharepoint.com/sites/Bureaud'tudeAR-TECHNOLOGIE/DOSSIER%20POI/Forms/AllItems.aspx?id=%2Fsites%2FBureaud%27tudeAR%2DTECHNOLOGIE%2FDOSSIER%20POI%2FMEN%2FMEN500416%2FDT&amp;sortField=Modified&amp;isAscending=false&amp;viewid=ba243776%2Df837%2D4ace%2D8ee9%2D939a5753cc77" TargetMode="External"/><Relationship Id="rId289" Type="http://schemas.openxmlformats.org/officeDocument/2006/relationships/hyperlink" Target="https://artechnologie13.sharepoint.com/sites/Bureaud'tudeAR-TECHNOLOGIE/DOSSIER%20POI/Forms/AllItems.aspx?id=%2Fsites%2FBureaud%27tudeAR%2DTECHNOLOGIE%2FDOSSIER%20POI%2FQPR%20%2D%20CRO%2FQPR501383&amp;sortField=Modified&amp;isAscending=false&amp;viewid=ba243776%2Df837%2D4ace%2D8ee9%2D939a5753cc77&amp;csf=1&amp;web=1&amp;e=owQXVh&amp;CID=c5b168e7%2D67df%2D41af%2Db0d7%2D508a6306f4cd&amp;FolderCTID=0x0120001BD1B7A29D5EA04EB7553F36EEAEE8D2" TargetMode="External"/><Relationship Id="rId454" Type="http://schemas.openxmlformats.org/officeDocument/2006/relationships/hyperlink" Target="https://artechnologie13.sharepoint.com/sites/Bureaud'tudeAR-TECHNOLOGIE/DOSSIER%20POI/Forms/AllItems.aspx?id=%2Fsites%2FBureaud%27tudeAR%2DTECHNOLOGIE%2FDOSSIER%20POI%2FROD%2FROD600028%2FDT&amp;sortField=Modified&amp;isAscending=false&amp;viewid=ba243776%2Df837%2D4ace%2D8ee9%2D939a5753cc77" TargetMode="External"/><Relationship Id="rId496" Type="http://schemas.openxmlformats.org/officeDocument/2006/relationships/hyperlink" Target="https://artechnologie13.sharepoint.com/sites/Bureaud'tudeAR-TECHNOLOGIE/DOSSIER%20POI/Forms/AllItems.aspx?id=%2Fsites%2FBureaud%27tudeAR%2DTECHNOLOGIE%2FDOSSIER%20POI%2FROD%2FROD600204%2FDT&amp;viewid=ba243776%2Df837%2D4ace%2D8ee9%2D939a5753cc77&amp;FolderCTID=0x0120001BD1B7A29D5EA04EB7553F36EEAEE8D2" TargetMode="External"/><Relationship Id="rId11" Type="http://schemas.openxmlformats.org/officeDocument/2006/relationships/hyperlink" Target="https://artechnologie13.sharepoint.com/sites/Bureaud'tudeAR-TECHNOLOGIE/DOSSIER%20POI/Forms/AllItems.aspx?id=%2Fsites%2FBureaud%27tudeAR%2DTECHNOLOGIE%2FDOSSIER%20POI%2FROD%2FROD500772%2FDT&amp;viewid=ba243776%2Df837%2D4ace%2D8ee9%2D939a5753cc77&amp;FolderCTID=0x0120001BD1B7A29D5EA04EB7553F36EEAEE8D2" TargetMode="External"/><Relationship Id="rId53" Type="http://schemas.openxmlformats.org/officeDocument/2006/relationships/hyperlink" Target="https://artechnologie13.sharepoint.com/sites/Bureaud'tudeAR-TECHNOLOGIE/DOSSIER%20POI/Forms/AllItems.aspx?id=%2Fsites%2FBureaud%27tudeAR%2DTECHNOLOGIE%2FDOSSIER%20POI%2FROD%2FROD500519%2FDT&amp;viewid=ba243776%2Df837%2D4ace%2D8ee9%2D939a5753cc77&amp;csf=1&amp;web=1&amp;e=OeV74h&amp;CID=21f08170%2D4b22%2D4912%2Dbf1c%2Dc60dd16bafe5&amp;FolderCTID=0x0120001BD1B7A29D5EA04EB7553F36EEAEE8D2" TargetMode="External"/><Relationship Id="rId149" Type="http://schemas.openxmlformats.org/officeDocument/2006/relationships/hyperlink" Target="https://artechnologie13.sharepoint.com/sites/Bureaud'tudeAR-TECHNOLOGIE/DOSSIER%20POI/Forms/AllItems.aspx?id=%2Fsites%2FBureaud%27tudeAR%2DTECHNOLOGIE%2FDOSSIER%20POI%2FSPI%2040%2D64%2FIMI%2DVA%2D40139%200071%2D1%2FDT&amp;viewid=ba243776%2Df837%2D4ace%2D8ee9%2D939a5753cc77&amp;FolderCTID=0x0120001BD1B7A29D5EA04EB7553F36EEAEE8D2" TargetMode="External"/><Relationship Id="rId314" Type="http://schemas.openxmlformats.org/officeDocument/2006/relationships/hyperlink" Target="https://artechnologie13.sharepoint.com/sites/Bureaud'tudeAR-TECHNOLOGIE/DOSSIER%20POI/Forms/AllItems.aspx?id=%2Fsites%2FBureaud%27tudeAR%2DTECHNOLOGIE%2FDOSSIER%20POI%2FQPR%20%2D%20CRO%2FLOR501346%2FDT&amp;sortField=Modified&amp;isAscending=false&amp;viewid=ba243776%2Df837%2D4ace%2D8ee9%2D939a5753cc77" TargetMode="External"/><Relationship Id="rId356" Type="http://schemas.openxmlformats.org/officeDocument/2006/relationships/hyperlink" Target="https://artechnologie13.sharepoint.com/sites/Bureaud'tudeAR-TECHNOLOGIE/DOSSIER%20POI/Forms/AllItems.aspx?id=%2Fsites%2FBureaud%27tudeAR%2DTECHNOLOGIE%2FDOSSIER%20POI%2FMEN%2FMEN500339%2FDT2&amp;sortField=Modified&amp;isAscending=false&amp;viewid=ba243776%2Df837%2D4ace%2D8ee9%2D939a5753cc77&amp;csf=1&amp;web=1&amp;e=xUPcuK&amp;CID=e382a5b9%2D168f%2D4447%2D9601%2D78fc7bfb7038&amp;FolderCTID=0x0120001BD1B7A29D5EA04EB7553F36EEAEE8D2" TargetMode="External"/><Relationship Id="rId398" Type="http://schemas.openxmlformats.org/officeDocument/2006/relationships/hyperlink" Target="https://artechnologie13.sharepoint.com/sites/Bureaud'tudeAR-TECHNOLOGIE/DOSSIER%20POI/Forms/AllItems.aspx?id=%2Fsites%2FBureaud%27tudeAR%2DTECHNOLOGIE%2FDOSSIER%20POI%2FMDM%2DDAX%2FIMI%2DVA%2D64102%2D044Q%2D1%2FRETOUR%20VT%2FDT&amp;viewid=ba243776%2Df837%2D4ace%2D8ee9%2D939a5753cc77&amp;FolderCTID=0x0120001BD1B7A29D5EA04EB7553F36EEAEE8D2" TargetMode="External"/><Relationship Id="rId95" Type="http://schemas.openxmlformats.org/officeDocument/2006/relationships/hyperlink" Target="https://artechnologie13.sharepoint.com/sites/Bureaud'tudeAR-TECHNOLOGIE/DOSSIER%20POI/Forms/AllItems.aspx?id=%2Fsites%2FBureaud%27tudeAR%2DTECHNOLOGIE%2FDOSSIER%20POI%2FMEN%2FMEN500421%2FDT&amp;viewid=ba243776%2Df837%2D4ace%2D8ee9%2D939a5753cc77&amp;csf=1&amp;web=1&amp;e=iZEDRk&amp;CID=e7093657%2D6593%2D464a%2D8133%2D1adfed19aeec&amp;FolderCTID=0x0120001BD1B7A29D5EA04EB7553F36EEAEE8D2" TargetMode="External"/><Relationship Id="rId160" Type="http://schemas.openxmlformats.org/officeDocument/2006/relationships/hyperlink" Target="https://artechnologie13.sharepoint.com/sites/Bureaud'tudeAR-TECHNOLOGIE/DOSSIER%20POI/Forms/AllItems.aspx?id=%2Fsites%2FBureaud%27tudeAR%2DTECHNOLOGIE%2FDOSSIER%20POI%2FQPR%20%2D%20CRO%2FRRE501466%2FDT&amp;viewid=ba243776%2Df837%2D4ace%2D8ee9%2D939a5753cc77&amp;FolderCTID=0x0120001BD1B7A29D5EA04EB7553F36EEAEE8D2" TargetMode="External"/><Relationship Id="rId216" Type="http://schemas.openxmlformats.org/officeDocument/2006/relationships/hyperlink" Target="https://artechnologie13.sharepoint.com/sites/Bureaud%27tudeAR-TECHNOLOGIE/DOSSIER%20POI/Forms/AllItems.aspx?id=%2Fsites%2FBureaud%27tudeAR%2DTECHNOLOGIE%2FDOSSIER%20POI%2FQPR%20%2D%20CRO%2FQPR501403%2FDT&amp;viewid=ba243776%2Df837%2D4ace%2D8ee9%2D939a5753cc77&amp;view=0" TargetMode="External"/><Relationship Id="rId423" Type="http://schemas.openxmlformats.org/officeDocument/2006/relationships/hyperlink" Target="https://artechnologie13.sharepoint.com/sites/Bureaud'tudeAR-TECHNOLOGIE/DOSSIER%20POI/Forms/AllItems.aspx?id=%2Fsites%2FBureaud%27tudeAR%2DTECHNOLOGIE%2FDOSSIER%20POI%2FROD%2FROD502090%2FRetour%20VT%2FDT&amp;sortField=Modified&amp;isAscending=false&amp;viewid=ba243776%2Df837%2D4ace%2D8ee9%2D939a5753cc77" TargetMode="External"/><Relationship Id="rId258" Type="http://schemas.openxmlformats.org/officeDocument/2006/relationships/hyperlink" Target="https://artechnologie13.sharepoint.com/sites/Bureaud'tudeAR-TECHNOLOGIE/DOSSIER%20POI/Forms/AllItems.aspx?id=%2Fsites%2FBureaud%27tudeAR%2DTECHNOLOGIE%2FDOSSIER%20POI%2FQPR%20%2D%20CRO%2FLOR500732%2FDT&amp;sortField=Modified&amp;isAscending=false&amp;viewid=ba243776%2Df837%2D4ace%2D8ee9%2D939a5753cc77&amp;csf=1&amp;web=1&amp;e=rpmcna&amp;CID=89330d6f%2D3a99%2D424b%2D8f70%2Dcdd687054232&amp;FolderCTID=0x0120001BD1B7A29D5EA04EB7553F36EEAEE8D2" TargetMode="External"/><Relationship Id="rId465" Type="http://schemas.openxmlformats.org/officeDocument/2006/relationships/hyperlink" Target="https://artechnologie13.sharepoint.com/sites/Bureaud'tudeAR-TECHNOLOGIE/DOSSIER%20POI/Forms/AllItems.aspx?id=%2Fsites%2FBureaud%27tudeAR%2DTECHNOLOGIE%2FDOSSIER%20POI%2FROD%2FROD600119%2FDT&amp;sortField=Modified&amp;isAscending=false&amp;viewid=ba243776%2Df837%2D4ace%2D8ee9%2D939a5753cc77&amp;csf=1&amp;CID=028de158%2Dd4dc%2D48b6%2D89c4%2Ddb1f4163a833&amp;FolderCTID=0x0120001BD1B7A29D5EA04EB7553F36EEAEE8D2" TargetMode="External"/><Relationship Id="rId22" Type="http://schemas.openxmlformats.org/officeDocument/2006/relationships/hyperlink" Target="https://artechnologie13.sharepoint.com/sites/Bureaud'tudeAR-TECHNOLOGIE/DOSSIER%20POI/Forms/AllItems.aspx?id=%2Fsites%2FBureaud%27tudeAR%2DTECHNOLOGIE%2FDOSSIER%20POI%2FMDM%2DDAX%2FMDM400873%2FDT&amp;viewid=ba243776%2Df837%2D4ace%2D8ee9%2D939a5753cc77&amp;csf=1&amp;web=1&amp;e=Q2pneJ&amp;CID=1a3c32cb%2D09bb%2D4d2f%2Dac4a%2D59f45c029c92&amp;FolderCTID=0x0120001BD1B7A29D5EA04EB7553F36EEAEE8D2" TargetMode="External"/><Relationship Id="rId64" Type="http://schemas.openxmlformats.org/officeDocument/2006/relationships/hyperlink" Target="https://artechnologie13.sharepoint.com/sites/Bureaud'tudeAR-TECHNOLOGIE/DOSSIER%20POI/Forms/AllItems.aspx?id=%2Fsites%2FBureaud%27tudeAR%2DTECHNOLOGIE%2FDOSSIER%20POI%2FQPR%20%2D%20CRO%2FQPR501059%2FDT&amp;viewid=ba243776%2Df837%2D4ace%2D8ee9%2D939a5753cc77&amp;FolderCTID=0x0120001BD1B7A29D5EA04EB7553F36EEAEE8D2" TargetMode="External"/><Relationship Id="rId118" Type="http://schemas.openxmlformats.org/officeDocument/2006/relationships/hyperlink" Target="https://artechnologie13.sharepoint.com/sites/Bureaud'tudeAR-TECHNOLOGIE/DOSSIER%20POI/Forms/AllItems.aspx?id=%2Fsites%2FBureaud%27tudeAR%2DTECHNOLOGIE%2FDOSSIER%20POI%2FROD%2FROD501229%2FDT&amp;viewid=ba243776%2Df837%2D4ace%2D8ee9%2D939a5753cc77&amp;FolderCTID=0x0120001BD1B7A29D5EA04EB7553F36EEAEE8D2" TargetMode="External"/><Relationship Id="rId325" Type="http://schemas.openxmlformats.org/officeDocument/2006/relationships/hyperlink" Target="https://artechnologie13.sharepoint.com/sites/Bureaud'tudeAR-TECHNOLOGIE/DOSSIER%20POI/Forms/AllItems.aspx?id=%2Fsites%2FBureaud%27tudeAR%2DTECHNOLOGIE%2FDOSSIER%20POI%2FMDM%2DDAX%2FARC500708%2FDT&amp;viewid=ba243776%2Df837%2D4ace%2D8ee9%2D939a5753cc77&amp;csf=1&amp;web=1&amp;e=XJSdGz&amp;CID=44b2a5b2%2D7293%2D424b%2Dbca9%2De55abb1f2614&amp;FolderCTID=0x0120001BD1B7A29D5EA04EB7553F36EEAEE8D2" TargetMode="External"/><Relationship Id="rId367" Type="http://schemas.openxmlformats.org/officeDocument/2006/relationships/hyperlink" Target="https://artechnologie13.sharepoint.com/sites/Bureaud%27tudeAR-TECHNOLOGIE/DOSSIER%20POI/Forms/AllItems.aspx?id=%2Fsites%2FBureaud%27tudeAR%2DTECHNOLOGIE%2FDOSSIER%20POI%2FMDM%2DDAX%2FARC500874%2FDT&amp;sortField=Modified&amp;isAscending=false&amp;viewid=ba243776%2Df837%2D4ace%2D8ee9%2D939a5753cc77&amp;csf=1&amp;web=1&amp;e=owQXVh&amp;CID=c5b168e7%2D67df%2D41af%2Db0d7%2D508a6306f4cd&amp;FolderCTID=0x0120001BD1B7A29D5EA04EB7553F36EEAEE8D2" TargetMode="External"/><Relationship Id="rId171" Type="http://schemas.openxmlformats.org/officeDocument/2006/relationships/hyperlink" Target="https://artechnologie13.sharepoint.com/sites/Bureaud'tudeAR-TECHNOLOGIE/DOSSIER%20POI/Forms/AllItems.aspx?id=%2Fsites%2FBureaud%27tudeAR%2DTECHNOLOGIE%2FDOSSIER%20POI%2FMEN%2FMEN500153%2FDT&amp;viewid=ba243776%2Df837%2D4ace%2D8ee9%2D939a5753cc77&amp;FolderCTID=0x0120001BD1B7A29D5EA04EB7553F36EEAEE8D2" TargetMode="External"/><Relationship Id="rId227" Type="http://schemas.openxmlformats.org/officeDocument/2006/relationships/hyperlink" Target="https://artechnologie13.sharepoint.com/sites/Bureaud'tudeAR-TECHNOLOGIE/DOSSIER%20POI/Forms/AllItems.aspx?id=%2Fsites%2FBureaud%27tudeAR%2DTECHNOLOGIE%2FDOSSIER%20POI%2FQPR%20%2D%20CRO%2FLOR501031%2FDT&amp;viewid=ba243776%2Df837%2D4ace%2D8ee9%2D939a5753cc77&amp;FolderCTID=0x0120001BD1B7A29D5EA04EB7553F36EEAEE8D2" TargetMode="External"/><Relationship Id="rId269" Type="http://schemas.openxmlformats.org/officeDocument/2006/relationships/hyperlink" Target="https://artechnologie13.sharepoint.com/sites/Bureaud'tudeAR-TECHNOLOGIE/DOSSIER%20POI/Forms/AllItems.aspx?id=%2Fsites%2FBureaud%27tudeAR%2DTECHNOLOGIE%2FDOSSIER%20POI%2FMEN%2FMEN500492%2FDT&amp;sortField=Modified&amp;isAscending=false&amp;viewid=ba243776%2Df837%2D4ace%2D8ee9%2D939a5753cc77&amp;csf=1&amp;web=1&amp;e=m0NFE2&amp;CID=c26ff311%2D2481%2D4e6e%2D9ec1%2D1d2e7a68be3e&amp;FolderCTID=0x0120001BD1B7A29D5EA04EB7553F36EEAEE8D2" TargetMode="External"/><Relationship Id="rId434" Type="http://schemas.openxmlformats.org/officeDocument/2006/relationships/hyperlink" Target="https://artechnologie13.sharepoint.com/sites/Bureaud'tudeAR-TECHNOLOGIE/DOSSIER%20POI/Forms/AllItems.aspx?id=%2Fsites%2FBureaud%27tudeAR%2DTECHNOLOGIE%2FDOSSIER%20POI%2FMDM%2DDAX%2FIMI%2DVA%2D40279%2D15SU%2D1%2FDT&amp;viewid=ba243776%2Df837%2D4ace%2D8ee9%2D939a5753cc77&amp;FolderCTID=0x0120001BD1B7A29D5EA04EB7553F36EEAEE8D2&amp;view=7" TargetMode="External"/><Relationship Id="rId476" Type="http://schemas.openxmlformats.org/officeDocument/2006/relationships/hyperlink" Target="https://artechnologie13.sharepoint.com/sites/Bureaud'tudeAR-TECHNOLOGIE/DOSSIER%20POI/Forms/AllItems.aspx?id=%2Fsites%2FBureaud%27tudeAR%2DTECHNOLOGIE%2FDOSSIER%20POI%2FQPR%20%2D%20CRO%2FQPR600020%2FDT&amp;sortField=Modified&amp;isAscending=false&amp;viewid=ba243776%2Df837%2D4ace%2D8ee9%2D939a5753cc77&amp;FolderCTID=0x0120001BD1B7A29D5EA04EB7553F36EEAEE8D2" TargetMode="External"/><Relationship Id="rId33" Type="http://schemas.openxmlformats.org/officeDocument/2006/relationships/hyperlink" Target="https://artechnologie13.sharepoint.com/sites/Bureaud'tudeAR-TECHNOLOGIE/DOSSIER%20POI/Forms/AllItems.aspx?id=%2Fsites%2FBureaud%27tudeAR%2DTECHNOLOGIE%2FDOSSIER%20POI%2FROD%2FROD500822%2FDT&amp;viewid=ba243776%2Df837%2D4ace%2D8ee9%2D939a5753cc77&amp;FolderCTID=0x0120001BD1B7A29D5EA04EB7553F36EEAEE8D2" TargetMode="External"/><Relationship Id="rId129" Type="http://schemas.openxmlformats.org/officeDocument/2006/relationships/hyperlink" Target="https://artechnologie13.sharepoint.com/sites/Bureaud'tudeAR-TECHNOLOGIE/DOSSIER%20POI/Forms/AllItems.aspx?id=%2Fsites%2FBureaud%27tudeAR%2DTECHNOLOGIE%2FDOSSIER%20POI%2FQPR%20%2D%20CRO%2FCRO500153%2FDT&amp;viewid=ba243776%2Df837%2D4ace%2D8ee9%2D939a5753cc77&amp;csf=1&amp;web=1&amp;e=nowXbr&amp;CID=eb924b3d%2D76bc%2D4800%2Db193%2D2dde292b1ca4&amp;FolderCTID=0x0120001BD1B7A29D5EA04EB7553F36EEAEE8D2&amp;startedResponseCatch=true" TargetMode="External"/><Relationship Id="rId280" Type="http://schemas.openxmlformats.org/officeDocument/2006/relationships/hyperlink" Target="https://artechnologie13.sharepoint.com/sites/Bureaud'tudeAR-TECHNOLOGIE/DOSSIER%20POI/Forms/AllItems.aspx?id=%2Fsites%2FBureaud%27tudeAR%2DTECHNOLOGIE%2FDOSSIER%20POI%2FROD%2FROD501111%2FDT&amp;viewid=ba243776%2Df837%2D4ace%2D8ee9%2D939a5753cc77&amp;FolderCTID=0x0120001BD1B7A29D5EA04EB7553F36EEAEE8D2" TargetMode="External"/><Relationship Id="rId336" Type="http://schemas.openxmlformats.org/officeDocument/2006/relationships/hyperlink" Target="https://artechnologie13.sharepoint.com/sites/Bureaud'tudeAR-TECHNOLOGIE/DOSSIER%20POI/Forms/AllItems.aspx?id=%2Fsites%2FBureaud%27tudeAR%2DTECHNOLOGIE%2FDOSSIER%20POI%2FMDM%2DDAX%2FIMI%2DVA%2D64260%2D03O8%2D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501" Type="http://schemas.openxmlformats.org/officeDocument/2006/relationships/hyperlink" Target="https://artechnologie13.sharepoint.com/sites/Bureaud%27tudeAR-TECHNOLOGIE/DOSSIER%20POI/Forms/AllItems.aspx?id=%2Fsites%2FBureaud%27tudeAR%2DTECHNOLOGIE%2FDOSSIER%20POI%2FQPR%20%2D%20CRO%2FVAN600357%2FDT&amp;sortField=Modified&amp;isAscending=false&amp;viewid=ba243776%2Df837%2D4ace%2D8ee9%2D939a5753cc77&amp;csf=1&amp;CID=c5b168e7%2D67df%2D41af%2Db0d7%2D508a6306f4cd&amp;FolderCTID=0x0120001BD1B7A29D5EA04EB7553F36EEAEE8D2" TargetMode="External"/><Relationship Id="rId75" Type="http://schemas.openxmlformats.org/officeDocument/2006/relationships/hyperlink" Target="https://artechnologie13.sharepoint.com/sites/Bureaud'tudeAR-TECHNOLOGIE/DOSSIER%20POI/Forms/AllItems.aspx?id=%2Fsites%2FBureaud%27tudeAR%2DTECHNOLOGIE%2FDOSSIER%20POI%2FQPR%20%2D%20CRO%2FVAN500973%2FDT&amp;viewid=ba243776%2Df837%2D4ace%2D8ee9%2D939a5753cc77&amp;csf=1&amp;web=1&amp;e=AmeOwR&amp;CID=5e9d173a%2D0294%2D4764%2Da933%2D8cd34600f9f6&amp;FolderCTID=0x0120001BD1B7A29D5EA04EB7553F36EEAEE8D2" TargetMode="External"/><Relationship Id="rId140" Type="http://schemas.openxmlformats.org/officeDocument/2006/relationships/hyperlink" Target="https://artechnologie13.sharepoint.com/sites/Bureaud'tudeAR-TECHNOLOGIE/DOSSIER%20POI/Forms/AllItems.aspx?id=%2Fsites%2FBureaud%27tudeAR%2DTECHNOLOGIE%2FDOSSIER%20POI%2FROD%2FROD501274%2FDT&amp;viewid=ba243776%2Df837%2D4ace%2D8ee9%2D939a5753cc77&amp;FolderCTID=0x0120001BD1B7A29D5EA04EB7553F36EEAEE8D2" TargetMode="External"/><Relationship Id="rId182" Type="http://schemas.openxmlformats.org/officeDocument/2006/relationships/hyperlink" Target="https://artechnologie13.sharepoint.com/sites/Bureaud'tudeAR-TECHNOLOGIE/DOSSIER%20POI/Forms/AllItems.aspx?id=%2Fsites%2FBureaud%27tudeAR%2DTECHNOLOGIE%2FDOSSIER%20POI%2FROD%2FROD501245%2FDT&amp;sortField=Modified&amp;isAscending=false&amp;viewid=ba243776%2Df837%2D4ace%2D8ee9%2D939a5753cc77&amp;csf=1&amp;web=1&amp;e=JhATME&amp;CID=028de158%2Dd4dc%2D48b6%2D89c4%2Ddb1f4163a833&amp;FolderCTID=0x0120001BD1B7A29D5EA04EB7553F36EEAEE8D2" TargetMode="External"/><Relationship Id="rId378" Type="http://schemas.openxmlformats.org/officeDocument/2006/relationships/hyperlink" Target="https://artechnologie13.sharepoint.com/sites/Bureaud'tudeAR-TECHNOLOGIE/DOSSIER%20POI/Forms/AllItems.aspx?id=%2Fsites%2FBureaud%27tudeAR%2DTECHNOLOGIE%2FDOSSIER%20POI%2FMEN%2FMEN500650%2FDT&amp;sortField=Modified&amp;isAscending=false&amp;viewid=ba243776%2Df837%2D4ace%2D8ee9%2D939a5753cc77" TargetMode="External"/><Relationship Id="rId403" Type="http://schemas.openxmlformats.org/officeDocument/2006/relationships/hyperlink" Target="https://artechnologie13.sharepoint.com/sites/Bureaud'tudeAR-TECHNOLOGIE/DOSSIER%20POI/Forms/AllItems.aspx?id=%2Fsites%2FBureaud%27tudeAR%2DTECHNOLOGIE%2FDOSSIER%20POI%2FROD%2FROD501831%2FDT&amp;sortField=Modified&amp;isAscending=false&amp;viewid=ba243776%2Df837%2D4ace%2D8ee9%2D939a5753cc77" TargetMode="External"/><Relationship Id="rId6" Type="http://schemas.openxmlformats.org/officeDocument/2006/relationships/hyperlink" Target="https://artechnologie13.sharepoint.com/sites/Bureaud'tudeAR-TECHNOLOGIE/DOSSIER%20POI/Forms/AllItems.aspx?id=%2Fsites%2FBureaud%27tudeAR%2DTECHNOLOGIE%2FDOSSIER%20POI%2FMEN%2FMEN500332&amp;viewid=ba243776%2Df837%2D4ace%2D8ee9%2D939a5753cc77&amp;csf=1&amp;web=1&amp;e=z4WQHt&amp;CID=29f5c7c1%2Dec5b%2D4391%2D866e%2D9a5309263a94&amp;FolderCTID=0x0120001BD1B7A29D5EA04EB7553F36EEAEE8D2" TargetMode="External"/><Relationship Id="rId238" Type="http://schemas.openxmlformats.org/officeDocument/2006/relationships/hyperlink" Target="https://artechnologie13.sharepoint.com/:f:/r/sites/Bureaud%27tudeAR-TECHNOLOGIE/DOSSIER%20POI/ROD/ROD500144?csf=1&amp;web=1&amp;e=H6rlEk" TargetMode="External"/><Relationship Id="rId445" Type="http://schemas.openxmlformats.org/officeDocument/2006/relationships/hyperlink" Target="https://artechnologie13.sharepoint.com/sites/Bureaud'tudeAR-TECHNOLOGIE/DOSSIER%20POI/Forms/AllItems.aspx?id=%2Fsites%2FBureaud%27tudeAR%2DTECHNOLOGIE%2FDOSSIER%20POI%2FMDM%2DDAX%2FARC60004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87" Type="http://schemas.openxmlformats.org/officeDocument/2006/relationships/hyperlink" Target="https://artechnologie13.sharepoint.com/sites/Bureaud'tudeAR-TECHNOLOGIE/DOSSIER%20POI/Forms/AllItems.aspx?id=%2Fsites%2FBureaud%27tudeAR%2DTECHNOLOGIE%2FDOSSIER%20POI%2FQPR%20%2D%20CRO%2FVAN600311%2FDT&amp;sortField=Modified&amp;isAscending=false&amp;viewid=ba243776%2Df837%2D4ace%2D8ee9%2D939a5753cc77&amp;csf=1&amp;CID=c5b168e7%2D67df%2D41af%2Db0d7%2D508a6306f4cd&amp;FolderCTID=0x0120001BD1B7A29D5EA04EB7553F36EEAEE8D2" TargetMode="External"/><Relationship Id="rId291" Type="http://schemas.openxmlformats.org/officeDocument/2006/relationships/hyperlink" Target="https://artechnologie13.sharepoint.com/sites/Bureaud'tudeAR-TECHNOLOGIE/DOSSIER%20POI/Forms/AllItems.aspx?id=%2Fsites%2FBureaud%27tudeAR%2DTECHNOLOGIE%2FDOSSIER%20POI%2FQPR%20%2D%20CRO%2FLOR500348%2FDT&amp;sortField=Modified&amp;isAscending=false&amp;viewid=ba243776%2Df837%2D4ace%2D8ee9%2D939a5753cc77&amp;csf=1&amp;web=1&amp;e=owQXVh&amp;CID=c5b168e7%2D67df%2D41af%2Db0d7%2D508a6306f4cd&amp;FolderCTID=0x0120001BD1B7A29D5EA04EB7553F36EEAEE8D2&amp;view=7" TargetMode="External"/><Relationship Id="rId305" Type="http://schemas.openxmlformats.org/officeDocument/2006/relationships/hyperlink" Target="https://artechnologie13.sharepoint.com/sites/Bureaud'tudeAR-TECHNOLOGIE/DOSSIER%20POI/Forms/AllItems.aspx?id=%2Fsites%2FBureaud%27tudeAR%2DTECHNOLOGIE%2FDOSSIER%20POI%2FMDM%2DDAX%2FIMI%2DVA%2D4027915NT%2D1%2FDT2&amp;viewid=ba243776%2Df837%2D4ace%2D8ee9%2D939a5753cc77&amp;FolderCTID=0x0120001BD1B7A29D5EA04EB7553F36EEAEE8D2" TargetMode="External"/><Relationship Id="rId347" Type="http://schemas.openxmlformats.org/officeDocument/2006/relationships/hyperlink" Target="https://artechnologie13.sharepoint.com/sites/Bureaud'tudeAR-TECHNOLOGIE/DOSSIER%20POI/Forms/AllItems.aspx?id=%2Fsites%2FBureaud%27tudeAR%2DTECHNOLOGIE%2FDOSSIER%20POI%2FROD%2FROD401529%2FDT&amp;sortField=Modified&amp;isAscending=false&amp;viewid=ba243776%2Df837%2D4ace%2D8ee9%2D939a5753cc77&amp;csf=1&amp;web=1&amp;e=gs979d&amp;CID=62f44cec%2D22a3%2D45af%2D97cb%2D96c2f484fdb6&amp;FolderCTID=0x0120001BD1B7A29D5EA04EB7553F36EEAEE8D2" TargetMode="External"/><Relationship Id="rId512" Type="http://schemas.openxmlformats.org/officeDocument/2006/relationships/hyperlink" Target="https://artechnologie13.sharepoint.com/sites/Bureaud'tudeAR-TECHNOLOGIE/DOSSIER%20POI/Forms/AllItems.aspx?id=%2Fsites%2FBureaud%27tudeAR%2DTECHNOLOGIE%2FDOSSIER%20POI%2FMEN%2FMEN600050%2FDT&amp;sortField=Modified&amp;isAscending=false&amp;viewid=ba243776%2Df837%2D4ace%2D8ee9%2D939a5753cc77&amp;FolderCTID=0x0120001BD1B7A29D5EA04EB7553F36EEAEE8D2" TargetMode="External"/><Relationship Id="rId44" Type="http://schemas.openxmlformats.org/officeDocument/2006/relationships/hyperlink" Target="https://artechnologie13.sharepoint.com/sites/Bureaud'tudeAR-TECHNOLOGIE/DOSSIER%20POI/Forms/AllItems.aspx?id=%2Fsites%2FBureaud%27tudeAR%2DTECHNOLOGIE%2FDOSSIER%20POI%2FQPR%20%2D%20CRO%2FQPR500650%2FDT&amp;viewid=ba243776%2Df837%2D4ace%2D8ee9%2D939a5753cc77&amp;FolderCTID=0x0120001BD1B7A29D5EA04EB7553F36EEAEE8D2" TargetMode="External"/><Relationship Id="rId86" Type="http://schemas.openxmlformats.org/officeDocument/2006/relationships/hyperlink" Target="https://artechnologie13.sharepoint.com/sites/Bureaud'tudeAR-TECHNOLOGIE/DOSSIER%20POI/Forms/AllItems.aspx?id=%2Fsites%2FBureaud%27tudeAR%2DTECHNOLOGIE%2FDOSSIER%20POI%2FROD%2FROD500885%2FDT&amp;viewid=ba243776%2Df837%2D4ace%2D8ee9%2D939a5753cc77&amp;FolderCTID=0x0120001BD1B7A29D5EA04EB7553F36EEAEE8D2" TargetMode="External"/><Relationship Id="rId151" Type="http://schemas.openxmlformats.org/officeDocument/2006/relationships/hyperlink" Target="https://artechnologie13.sharepoint.com/sites/Bureaud'tudeAR-TECHNOLOGIE/DT1/Forms/AllItems.aspx?id=%2Fsites%2FBureaud%27tudeAR%2DTECHNOLOGIE%2FDT1%2FDEMANDES%2FIMI%2DVA%2D40314%2D01QH%2D1%2FDT&amp;viewid=4a761c62%2Dc0e3%2D4ad1%2D9b90%2Daa69488d2e0e&amp;FolderCTID=0x012000D43E1045C1E5A24BB65CD5B8CBCFE3FF" TargetMode="External"/><Relationship Id="rId389" Type="http://schemas.openxmlformats.org/officeDocument/2006/relationships/hyperlink" Target="https://artechnologie13.sharepoint.com/sites/Bureaud'tudeAR-TECHNOLOGIE/DOSSIER%20POI/Forms/AllItems.aspx?id=%2Fsites%2FBureaud%27tudeAR%2DTECHNOLOGIE%2FDOSSIER%20POI%2FROD%2FROD501151%2FDT&amp;sortField=LinkFilename&amp;isAscending=false&amp;viewid=ba243776%2Df837%2D4ace%2D8ee9%2D939a5753cc77&amp;csf=1&amp;web=1&amp;e=wXAjoh&amp;CID=033b4116%2D656c%2D4ff3%2Da705%2D325ecfa46a89&amp;FolderCTID=0x0120001BD1B7A29D5EA04EB7553F36EEAEE8D2" TargetMode="External"/><Relationship Id="rId193" Type="http://schemas.openxmlformats.org/officeDocument/2006/relationships/hyperlink" Target="https://artechnologie13.sharepoint.com/sites/Bureaud'tudeAR-TECHNOLOGIE/DOSSIER%20POI/Forms/AllItems.aspx?id=%2Fsites%2FBureaud%27tudeAR%2DTECHNOLOGIE%2FDOSSIER%20POI%2FROD%2FROD402098%2FDT&amp;viewid=ba243776%2Df837%2D4ace%2D8ee9%2D939a5753cc77&amp;csf=1&amp;web=1&amp;e=pZ2PnQ&amp;CID=4955e0d9%2D44f8%2D4030%2Dafb4%2D80068d8b7ecb&amp;FolderCTID=0x0120001BD1B7A29D5EA04EB7553F36EEAEE8D2" TargetMode="External"/><Relationship Id="rId207" Type="http://schemas.openxmlformats.org/officeDocument/2006/relationships/hyperlink" Target="https://artechnologie13.sharepoint.com/sites/Bureaud'tudeAR-TECHNOLOGIE/DOSSIER%20POI/Forms/AllItems.aspx?id=%2Fsites%2FBureaud%27tudeAR%2DTECHNOLOGIE%2FDOSSIER%20POI%2FQPR%20%2D%20CRO%2FLOR501149%2FDT&amp;viewid=ba243776%2Df837%2D4ace%2D8ee9%2D939a5753cc77&amp;csf=1&amp;web=1&amp;e=1NjUeI&amp;CID=b405663c%2D468f%2D493d%2D83c7%2Dcc62964c0f0a&amp;FolderCTID=0x0120001BD1B7A29D5EA04EB7553F36EEAEE8D2" TargetMode="External"/><Relationship Id="rId249" Type="http://schemas.openxmlformats.org/officeDocument/2006/relationships/hyperlink" Target="https://artechnologie13.sharepoint.com/sites/Bureaud'tudeAR-TECHNOLOGIE/DOSSIER%20POI/Forms/AllItems.aspx?id=%2Fsites%2FBureaud%27tudeAR%2DTECHNOLOGIE%2FDOSSIER%20POI%2FBAY%2FBAY400353%2FDT&amp;viewid=ba243776%2Df837%2D4ace%2D8ee9%2D939a5753cc77" TargetMode="External"/><Relationship Id="rId414" Type="http://schemas.openxmlformats.org/officeDocument/2006/relationships/hyperlink" Target="https://artechnologie13.sharepoint.com/sites/Bureaud'tudeAR-TECHNOLOGIE/DOSSIER%20POI/Forms/AllItems.aspx?id=%2Fsites%2FBureaud%27tudeAR%2DTECHNOLOGIE%2FDOSSIER%20POI%2FMDM%2DDAX%2FARC50091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456" Type="http://schemas.openxmlformats.org/officeDocument/2006/relationships/hyperlink" Target="https://artechnologie13.sharepoint.com/sites/Bureaud'tudeAR-TECHNOLOGIE/DOSSIER%20POI/Forms/AllItems.aspx?id=%2Fsites%2FBureaud%27tudeAR%2DTECHNOLOGIE%2FDOSSIER%20POI%2FQPR%20%2D%20CRO%2FCRO500261%2FDT&amp;sortField=Modified&amp;isAscending=false&amp;viewid=ba243776%2Df837%2D4ace%2D8ee9%2D939a5753cc77&amp;FolderCTID=0x0120001BD1B7A29D5EA04EB7553F36EEAEE8D2" TargetMode="External"/><Relationship Id="rId498" Type="http://schemas.openxmlformats.org/officeDocument/2006/relationships/hyperlink" Target="https://artechnologie13.sharepoint.com/sites/Bureaud'tudeAR-TECHNOLOGIE/DOSSIER%20POI/Forms/AllItems.aspx?id=%2Fsites%2FBureaud%27tudeAR%2DTECHNOLOGIE%2FDOSSIER%20POI%2FQPR%20%2D%20CRO%2FVAN600231%2FDT&amp;sortField=Modified&amp;isAscending=false&amp;viewid=ba243776%2Df837%2D4ace%2D8ee9%2D939a5753cc77&amp;FolderCTID=0x0120001BD1B7A29D5EA04EB7553F36EEAEE8D2" TargetMode="External"/><Relationship Id="rId13" Type="http://schemas.openxmlformats.org/officeDocument/2006/relationships/hyperlink" Target="https://artechnologie13.sharepoint.com/sites/Bureaud'tudeAR-TECHNOLOGIE/DOSSIER%20POI/Forms/AllItems.aspx?FolderCTID=0x0120001BD1B7A29D5EA04EB7553F36EEAEE8D2&amp;id=%2Fsites%2FBureaud%27tudeAR%2DTECHNOLOGIE%2FDOSSIER%20POI%2FROD%2FROD500588" TargetMode="External"/><Relationship Id="rId109" Type="http://schemas.openxmlformats.org/officeDocument/2006/relationships/hyperlink" Target="https://artechnologie13.sharepoint.com/sites/Bureaud'tudeAR-TECHNOLOGIE/DOSSIER%20POI/Forms/AllItems.aspx?id=%2Fsites%2FBureaud%27tudeAR%2DTECHNOLOGIE%2FDOSSIER%20POI%2FROD%2FROD501180%2FDT&amp;viewid=ba243776%2Df837%2D4ace%2D8ee9%2D939a5753cc77&amp;FolderCTID=0x0120001BD1B7A29D5EA04EB7553F36EEAEE8D2" TargetMode="External"/><Relationship Id="rId260" Type="http://schemas.openxmlformats.org/officeDocument/2006/relationships/hyperlink" Target="https://artechnologie13.sharepoint.com/sites/Bureaud'tudeAR-TECHNOLOGIE/DOSSIER%20POI/Forms/AllItems.aspx?id=%2Fsites%2FBureaud%27tudeAR%2DTECHNOLOGIE%2FDOSSIER%20POI%2FMDM%2DDAX%2FMDM400978%2FDT&amp;viewid=ba243776%2Df837%2D4ace%2D8ee9%2D939a5753cc77&amp;csf=1&amp;web=1&amp;e=Xj1OcD&amp;CID=d832e2f0%2Dc264%2D4bc5%2D991a%2Dee4849e54e34&amp;FolderCTID=0x0120001BD1B7A29D5EA04EB7553F36EEAEE8D2" TargetMode="External"/><Relationship Id="rId316" Type="http://schemas.openxmlformats.org/officeDocument/2006/relationships/hyperlink" Target="https://artechnologie13.sharepoint.com/sites/Bureaud'tudeAR-TECHNOLOGIE/DOSSIER%20POI/Forms/AllItems.aspx?id=%2Fsites%2FBureaud%27tudeAR%2DTECHNOLOGIE%2FDOSSIER%20POI%2FMEN%2FMEN500554%2FDT&amp;viewid=ba243776%2Df837%2D4ace%2D8ee9%2D939a5753cc77&amp;view=0" TargetMode="External"/><Relationship Id="rId55" Type="http://schemas.openxmlformats.org/officeDocument/2006/relationships/hyperlink" Target="https://artechnologie13.sharepoint.com/sites/Bureaud'tudeAR-TECHNOLOGIE/DOSSIER%20POI/Forms/AllItems.aspx?id=%2Fsites%2FBureaud%27tudeAR%2DTECHNOLOGIE%2FDOSSIER%20POI%2FROD%2FROD500837%2FDT&amp;viewid=ba243776%2Df837%2D4ace%2D8ee9%2D939a5753cc77&amp;FolderCTID=0x0120001BD1B7A29D5EA04EB7553F36EEAEE8D2" TargetMode="External"/><Relationship Id="rId97" Type="http://schemas.openxmlformats.org/officeDocument/2006/relationships/hyperlink" Target="https://artechnologie13.sharepoint.com/sites/Bureaud'tudeAR-TECHNOLOGIE/DOSSIER%20POI/Forms/AllItems.aspx?id=%2Fsites%2FBureaud%27tudeAR%2DTECHNOLOGIE%2FDOSSIER%20POI%2FQPR%20%2D%20CRO%2FQPR402118%2FDT&amp;viewid=ba243776%2Df837%2D4ace%2D8ee9%2D939a5753cc77&amp;csf=1&amp;web=1&amp;e=0c3Af4&amp;CID=fdc6df78%2D4fe7%2D48e8%2Db7f9%2D7605336bb5b7&amp;FolderCTID=0x0120001BD1B7A29D5EA04EB7553F36EEAEE8D2" TargetMode="External"/><Relationship Id="rId120" Type="http://schemas.openxmlformats.org/officeDocument/2006/relationships/hyperlink" Target="https://artechnologie13.sharepoint.com/sites/Bureaud'tudeAR-TECHNOLOGIE/DOSSIER%20POI/Forms/AllItems.aspx?id=%2Fsites%2FBureaud%27tudeAR%2DTECHNOLOGIE%2FDOSSIER%20POI%2FPAU%2FPAU400540%2FDT&amp;viewid=ba243776%2Df837%2D4ace%2D8ee9%2D939a5753cc77&amp;FolderCTID=0x0120001BD1B7A29D5EA04EB7553F36EEAEE8D2" TargetMode="External"/><Relationship Id="rId358" Type="http://schemas.openxmlformats.org/officeDocument/2006/relationships/hyperlink" Target="https://artechnologie13.sharepoint.com/sites/Bureaud'tudeAR-TECHNOLOGIE/DOSSIER%20POI/Forms/AllItems.aspx?id=%2Fsites%2FBureaud%27tudeAR-TECHNOLOGIE%2FDOSSIER%20POI%2FMEN%2FMEN500440%2FDT2&amp;sortField=Modified&amp;isAscending=false&amp;viewid=ba243776-f837-4ace-8ee9-939a5753cc77&amp;FolderCTID=0x0120001BD1B7A29D5EA04EB7553F36EEAEE8D2" TargetMode="External"/><Relationship Id="rId162" Type="http://schemas.openxmlformats.org/officeDocument/2006/relationships/hyperlink" Target="https://artechnologie13.sharepoint.com/sites/Bureaud'tudeAR-TECHNOLOGIE/DOSSIER%20POI/Forms/AllItems.aspx?id=%2Fsites%2FBureaud%27tudeAR%2DTECHNOLOGIE%2FDOSSIER%20POI%2FMEN%2FMEN500247%2FDT&amp;viewid=ba243776%2Df837%2D4ace%2D8ee9%2D939a5753cc77&amp;csf=1&amp;web=1&amp;e=C8nQYd&amp;CID=bc39ef06%2Da415%2D4f64%2Dad42%2Dbe7e29f67d18&amp;FolderCTID=0x0120001BD1B7A29D5EA04EB7553F36EEAEE8D2" TargetMode="External"/><Relationship Id="rId218" Type="http://schemas.openxmlformats.org/officeDocument/2006/relationships/hyperlink" Target="https://artechnologie13.sharepoint.com/sites/Bureaud'tudeAR-TECHNOLOGIE/DOSSIER%20POI/Forms/AllItems.aspx?id=%2Fsites%2FBureaud%27tudeAR%2DTECHNOLOGIE%2FDOSSIER%20POI%2FQPR%20%2D%20CRO%2FRRE501420%2FDT&amp;viewid=ba243776%2Df837%2D4ace%2D8ee9%2D939a5753cc77&amp;csf=1&amp;web=1&amp;e=plc7aD&amp;CID=65fdcef8%2D0932%2D4fac%2D88f2%2D49f9e0cb28c0&amp;FolderCTID=0x0120001BD1B7A29D5EA04EB7553F36EEAEE8D2" TargetMode="External"/><Relationship Id="rId425" Type="http://schemas.openxmlformats.org/officeDocument/2006/relationships/hyperlink" Target="https://artechnologie13.sharepoint.com/sites/Bureaud%27tudeAR-TECHNOLOGIE/DOSSIER%20POI/Forms/AllItems.aspx?id=%2Fsites%2FBureaud%27tudeAR%2DTECHNOLOGIE%2FDOSSIER%20POI%2FQPR%20%2D%20CRO%2FLOR501566%2FDT&amp;sortField=Modified&amp;isAscending=false&amp;viewid=ba243776%2Df837%2D4ace%2D8ee9%2D939a5753cc77&amp;FolderCTID=0x0120001BD1B7A29D5EA04EB7553F36EEAEE8D2" TargetMode="External"/><Relationship Id="rId467" Type="http://schemas.openxmlformats.org/officeDocument/2006/relationships/hyperlink" Target="https://artechnologie13.sharepoint.com/sites/Bureaud%27tudeAR-TECHNOLOGIE/DOSSIER%20POI/Forms/AllItems.aspx?id=%2Fsites%2FBureaud%27tudeAR%2DTECHNOLOGIE%2FDOSSIER%20POI%2FMDM%2DDAX%2FIMI%2DVA%2D40279%2D055B%2D1%2FDT&amp;sortField=Modified&amp;isAscending=false&amp;viewid=ba243776%2Df837%2D4ace%2D8ee9%2D939a5753cc77" TargetMode="External"/><Relationship Id="rId271" Type="http://schemas.openxmlformats.org/officeDocument/2006/relationships/hyperlink" Target="https://artechnologie13.sharepoint.com/sites/Bureaud'tudeAR-TECHNOLOGIE/DOSSIER%20POI/Forms/AllItems.aspx?id=%2Fsites%2FBureaud%27tudeAR%2DTECHNOLOGIE%2FDOSSIER%20POI%2FSPI%2040%2D64%2FIMI%2DVA%2D40114%2D018K%2D2%2FDT&amp;viewid=ba243776%2Df837%2D4ace%2D8ee9%2D939a5753cc77&amp;FolderCTID=0x0120001BD1B7A29D5EA04EB7553F36EEAEE8D2" TargetMode="External"/><Relationship Id="rId24" Type="http://schemas.openxmlformats.org/officeDocument/2006/relationships/hyperlink" Target="https://artechnologie13.sharepoint.com/sites/Bureaud'tudeAR-TECHNOLOGIE/DOSSIER%20POI/Forms/AllItems.aspx?id=%2Fsites%2FBureaud%27tudeAR%2DTECHNOLOGIE%2FDOSSIER%20POI%2FMDM%2DDAX%2FIMI%2DVA%2D40279%20169O%2D1%2FDT&amp;viewid=ba243776%2Df837%2D4ace%2D8ee9%2D939a5753cc77&amp;FolderCTID=0x0120001BD1B7A29D5EA04EB7553F36EEAEE8D2" TargetMode="External"/><Relationship Id="rId66" Type="http://schemas.openxmlformats.org/officeDocument/2006/relationships/hyperlink" Target="https://artechnologie13.sharepoint.com/sites/Bureaud'tudeAR-TECHNOLOGIE/DOSSIER%20POI/Forms/AllItems.aspx?id=%2Fsites%2FBureaud%27tudeAR%2DTECHNOLOGIE%2FDOSSIER%20POI%2FMDM%2DDAX%2FIMB%2D40244%2DX%2D021R%2FDT&amp;viewid=ba243776%2Df837%2D4ace%2D8ee9%2D939a5753cc77&amp;csf=1&amp;web=1&amp;e=dVADNx&amp;CID=0463c62f%2Db2be%2D44af%2D9bec%2D6b77c8e2b509&amp;FolderCTID=0x0120001BD1B7A29D5EA04EB7553F36EEAEE8D2" TargetMode="External"/><Relationship Id="rId131" Type="http://schemas.openxmlformats.org/officeDocument/2006/relationships/hyperlink" Target="https://artechnologie13.sharepoint.com/sites/Bureaud'tudeAR-TECHNOLOGIE/DOSSIER%20POI/Forms/AllItems.aspx?id=%2Fsites%2FBureaud%27tudeAR%2DTECHNOLOGIE%2FDOSSIER%20POI%2FBAY%2FIMI%2DVA%2D64040%2D01YT%2D1%2FDT&amp;viewid=ba243776%2Df837%2D4ace%2D8ee9%2D939a5753cc77&amp;FolderCTID=0x0120001BD1B7A29D5EA04EB7553F36EEAEE8D2" TargetMode="External"/><Relationship Id="rId327" Type="http://schemas.openxmlformats.org/officeDocument/2006/relationships/hyperlink" Target="https://artechnologie13.sharepoint.com/sites/Bureaud%27tudeAR-TECHNOLOGIE/DOSSIER%20POI/Forms/AllItems.aspx?id=%2Fsites%2FBureaud%27tudeAR%2DTECHNOLOGIE%2FDOSSIER%20POI%2FQPR%20%2D%20CRO%2FLOR501066%2FDT&amp;sortField=Modified&amp;isAscending=false&amp;viewid=ba243776%2Df837%2D4ace%2D8ee9%2D939a5753cc77&amp;csf=1&amp;web=1&amp;e=rpmcna&amp;CID=89330d6f%2D3a99%2D424b%2D8f70%2Dcdd687054232&amp;FolderCTID=0x0120001BD1B7A29D5EA04EB7553F36EEAEE8D2" TargetMode="External"/><Relationship Id="rId369" Type="http://schemas.openxmlformats.org/officeDocument/2006/relationships/hyperlink" Target="https://artechnologie13.sharepoint.com/sites/Bureaud'tudeAR-TECHNOLOGIE/DOSSIER%20POI/Forms/AllItems.aspx?id=%2Fsites%2FBureaud%27tudeAR%2DTECHNOLOGIE%2FDOSSIER%20POI%2FMDM%2DDAX%2FARC500836%2FDT&amp;sortField=Modified&amp;isAscending=false&amp;viewid=ba243776%2Df837%2D4ace%2D8ee9%2D939a5753cc77&amp;view=0" TargetMode="External"/><Relationship Id="rId173" Type="http://schemas.openxmlformats.org/officeDocument/2006/relationships/hyperlink" Target="https://artechnologie13.sharepoint.com/sites/Bureaud'tudeAR-TECHNOLOGIE/DOSSIER%20POI/Forms/AllItems.aspx?id=%2Fsites%2FBureaud%27tudeAR%2DTECHNOLOGIE%2FDOSSIER%20POI%2FMEN%2FMEN400649%2FDT&amp;sortField=LinkFilename&amp;isAscending=false&amp;viewid=ba243776%2Df837%2D4ace%2D8ee9%2D939a5753cc77" TargetMode="External"/><Relationship Id="rId229" Type="http://schemas.openxmlformats.org/officeDocument/2006/relationships/hyperlink" Target="https://artechnologie13.sharepoint.com/sites/Bureaud'tudeAR-TECHNOLOGIE/DOSSIER%20POI/Forms/AllItems.aspx?id=%2Fsites%2FBureaud%27tudeAR%2DTECHNOLOGIE%2FDOSSIER%20POI%2FROD%2FROD501439%2FDT&amp;viewid=ba243776%2Df837%2D4ace%2D8ee9%2D939a5753cc77&amp;csf=1&amp;web=1&amp;e=mwIGqY&amp;CID=d7c06d6a%2Df42a%2D46e1%2D844a%2D4d46ccc00a8b&amp;FolderCTID=0x0120001BD1B7A29D5EA04EB7553F36EEAEE8D2" TargetMode="External"/><Relationship Id="rId380" Type="http://schemas.openxmlformats.org/officeDocument/2006/relationships/hyperlink" Target="https://artechnologie13.sharepoint.com/sites/Bureaud'tudeAR-TECHNOLOGIE/DOSSIER%20POI/Forms/AllItems.aspx?id=%2Fsites%2FBureaud%27tudeAR%2DTECHNOLOGIE%2FDOSSIER%20POI%2FROD%2FROD502023%2Fretour%20Vt%2FDT&amp;sortField=Modified&amp;isAscending=false&amp;viewid=ba243776%2Df837%2D4ace%2D8ee9%2D939a5753cc77&amp;csf=1&amp;web=1&amp;e=JhATME&amp;CID=028de158%2Dd4dc%2D48b6%2D89c4%2Ddb1f4163a833&amp;FolderCTID=0x0120001BD1B7A29D5EA04EB7553F36EEAEE8D2" TargetMode="External"/><Relationship Id="rId436" Type="http://schemas.openxmlformats.org/officeDocument/2006/relationships/hyperlink" Target="https://artechnologie13.sharepoint.com/sites/Bureaud'tudeAR-TECHNOLOGIE/DOSSIER%20POI/Forms/AllItems.aspx?id=%2Fsites%2FBureaud%27tudeAR%2DTECHNOLOGIE%2FDOSSIER%20POI%2FMDM%2DDAX%2FIMI%2DVA%2D40202%2D025J%2D1%2FDT&amp;viewid=ba243776%2Df837%2D4ace%2D8ee9%2D939a5753cc77&amp;FolderCTID=0x0120001BD1B7A29D5EA04EB7553F36EEAEE8D2" TargetMode="External"/><Relationship Id="rId240" Type="http://schemas.openxmlformats.org/officeDocument/2006/relationships/hyperlink" Target="https://artechnologie13.sharepoint.com/sites/Bureaud'tudeAR-TECHNOLOGIE/DOSSIER%20POI/Forms/AllItems.aspx?id=%2Fsites%2FBureaud%27tudeAR%2DTECHNOLOGIE%2FDOSSIER%20POI%2FROD%2FROD501312%2FDT&amp;viewid=ba243776%2Df837%2D4ace%2D8ee9%2D939a5753cc77&amp;csf=1&amp;web=1&amp;e=mWawD7&amp;CID=f2764994%2D7a57%2D4990%2D9bc4%2Dbb4b874d04b6&amp;FolderCTID=0x0120001BD1B7A29D5EA04EB7553F36EEAEE8D2" TargetMode="External"/><Relationship Id="rId478" Type="http://schemas.openxmlformats.org/officeDocument/2006/relationships/hyperlink" Target="https://artechnologie13.sharepoint.com/sites/Bureaud'tudeAR-TECHNOLOGIE/DOSSIER%20POI/Forms/AllItems.aspx?id=%2Fsites%2FBureaud%27tudeAR%2DTECHNOLOGIE%2FDOSSIER%20POI%2FROD%2FROD500124%2FDT2&amp;sortField=Modified&amp;isAscending=false&amp;viewid=ba243776%2Df837%2D4ace%2D8ee9%2D939a5753cc77" TargetMode="External"/><Relationship Id="rId35" Type="http://schemas.openxmlformats.org/officeDocument/2006/relationships/hyperlink" Target="https://artechnologie13.sharepoint.com/sites/Bureaud'tudeAR-TECHNOLOGIE/DOSSIER%20POI/Forms/AllItems.aspx?id=%2Fsites%2FBureaud%27tudeAR%2DTECHNOLOGIE%2FDOSSIER%20POI%2FQPR%20%2D%20CRO%2FQPR500782%2FDT&amp;viewid=ba243776%2Df837%2D4ace%2D8ee9%2D939a5753cc77&amp;csf=1&amp;web=1&amp;e=xs1wu1&amp;CID=f7ed81a4%2Defe7%2D4878%2Db1cd%2D48b2e0b8783c&amp;FolderCTID=0x0120001BD1B7A29D5EA04EB7553F36EEAEE8D2" TargetMode="External"/><Relationship Id="rId77" Type="http://schemas.openxmlformats.org/officeDocument/2006/relationships/hyperlink" Target="https://artechnologie13.sharepoint.com/sites/Bureaud'tudeAR-TECHNOLOGIE/DOSSIER%20POI/Forms/AllItems.aspx?id=%2Fsites%2FBureaud%27tudeAR%2DTECHNOLOGIE%2FDOSSIER%20POI%2FROD%2FROD501110%2FDT&amp;sortField=Modified&amp;isAscending=false&amp;viewid=ba243776%2Df837%2D4ace%2D8ee9%2D939a5753cc77&amp;view=7" TargetMode="External"/><Relationship Id="rId100" Type="http://schemas.openxmlformats.org/officeDocument/2006/relationships/hyperlink" Target="https://artechnologie13.sharepoint.com/sites/Bureaud'tudeAR-TECHNOLOGIE/DOSSIER%20POI/Forms/AllItems.aspx?id=%2Fsites%2FBureaud%27tudeAR%2DTECHNOLOGIE%2FDOSSIER%20POI%2FMDM%2DDAX%2FMDM500332%2FDT&amp;viewid=ba243776%2Df837%2D4ace%2D8ee9%2D939a5753cc77&amp;FolderCTID=0x0120001BD1B7A29D5EA04EB7553F36EEAEE8D2" TargetMode="External"/><Relationship Id="rId282" Type="http://schemas.openxmlformats.org/officeDocument/2006/relationships/hyperlink" Target="https://artechnologie13.sharepoint.com/sites/Bureaud%27tudeAR-TECHNOLOGIE/DOSSIER%20POI/Forms/AllItems.aspx?id=%2Fsites%2FBureaud%27tudeAR%2DTECHNOLOGIE%2FDOSSIER%20POI%2FMEN%2FROD501562%2FDT&amp;viewid=ba243776%2Df837%2D4ace%2D8ee9%2D939a5753cc77" TargetMode="External"/><Relationship Id="rId338" Type="http://schemas.openxmlformats.org/officeDocument/2006/relationships/hyperlink" Target="https://artechnologie13.sharepoint.com/sites/Bureaud'tudeAR-TECHNOLOGIE/DOSSIER%20POI/Forms/AllItems.aspx?id=%2Fsites%2FBureaud%27tudeAR%2DTECHNOLOGIE%2FDOSSIER%20POI%2FQPR%20%2D%20CRO%2FLOR501442%2FDT&amp;sortField=Modified&amp;isAscending=false&amp;viewid=ba243776%2Df837%2D4ace%2D8ee9%2D939a5753cc77&amp;FolderCTID=0x0120001BD1B7A29D5EA04EB7553F36EEAEE8D2" TargetMode="External"/><Relationship Id="rId503" Type="http://schemas.openxmlformats.org/officeDocument/2006/relationships/hyperlink" Target="https://artechnologie13.sharepoint.com/sites/Bureaud%27tudeAR-TECHNOLOGIE/DOSSIER%20POI/Forms/AllItems.aspx?id=%2Fsites%2FBureaud%27tudeAR%2DTECHNOLOGIE%2FDOSSIER%20POI%2FQPR%20%2D%20CRO%2FVAN502362%2FDT&amp;sortField=Modified&amp;isAscending=false&amp;viewid=ba243776%2Df837%2D4ace%2D8ee9%2D939a5753cc77&amp;csf=1&amp;CID=c5b168e7%2D67df%2D41af%2Db0d7%2D508a6306f4cd&amp;FolderCTID=0x0120001BD1B7A29D5EA04EB7553F36EEAEE8D2" TargetMode="External"/><Relationship Id="rId8" Type="http://schemas.openxmlformats.org/officeDocument/2006/relationships/hyperlink" Target="https://artechnologie13.sharepoint.com/sites/Bureaud'tudeAR-TECHNOLOGIE/DOSSIER%20POI/Forms/AllItems.aspx?FolderCTID=0x0120001BD1B7A29D5EA04EB7553F36EEAEE8D2&amp;id=%2Fsites%2FBureaud%27tudeAR%2DTECHNOLOGIE%2FDOSSIER%20POI%2FROD%2FROD500302" TargetMode="External"/><Relationship Id="rId142" Type="http://schemas.openxmlformats.org/officeDocument/2006/relationships/hyperlink" Target="https://artechnologie13.sharepoint.com/sites/Bureaud'tudeAR-TECHNOLOGIE/DOSSIER%20POI/Forms/AllItems.aspx?id=%2Fsites%2FBureaud%27tudeAR%2DTECHNOLOGIE%2FDOSSIER%20POI%2FMDM%2DDAX%2FIMI%2DVA%2D40320%20008P%2D1%2FDT&amp;viewid=ba243776%2Df837%2D4ace%2D8ee9%2D939a5753cc77&amp;FolderCTID=0x0120001BD1B7A29D5EA04EB7553F36EEAEE8D2" TargetMode="External"/><Relationship Id="rId184" Type="http://schemas.openxmlformats.org/officeDocument/2006/relationships/hyperlink" Target="https://artechnologie13.sharepoint.com/sites/Bureaud'tudeAR-TECHNOLOGIE/DOSSIER%20POI/Forms/AllItems.aspx?id=%2Fsites%2FBureaud%27tudeAR%2DTECHNOLOGIE%2FDOSSIER%20POI%2FROD%2FROD501103%2FDT&amp;sortField=Modified&amp;isAscending=false&amp;viewid=ba243776%2Df837%2D4ace%2D8ee9%2D939a5753cc77&amp;csf=1&amp;web=1&amp;e=kGBMXs&amp;CID=99ecfc67%2D50d1%2D470b%2Db438%2D40c98d69e2e2&amp;FolderCTID=0x0120001BD1B7A29D5EA04EB7553F36EEAEE8D2" TargetMode="External"/><Relationship Id="rId391" Type="http://schemas.openxmlformats.org/officeDocument/2006/relationships/hyperlink" Target="https://artechnologie13.sharepoint.com/sites/Bureaud'tudeAR-TECHNOLOGIE/DOSSIER%20POI/Forms/AllItems.aspx?id=%2Fsites%2FBureaud%27tudeAR%2DTECHNOLOGIE%2FDOSSIER%20POI%2FMDM%2DDAX%2FIMI%2DVA%2D64024%2D02RM%2D1%2FDT&amp;viewid=ba243776%2Df837%2D4ace%2D8ee9%2D939a5753cc77" TargetMode="External"/><Relationship Id="rId405" Type="http://schemas.openxmlformats.org/officeDocument/2006/relationships/hyperlink" Target="https://artechnologie13.sharepoint.com/sites/Bureaud'tudeAR-TECHNOLOGIE/DOSSIER%20POI/Forms/AllItems.aspx?id=%2Fsites%2FBureaud%27tudeAR%2DTECHNOLOGIE%2FDOSSIER%20POI%2FQPR%20%2D%20CRO%2FQPR502014%2FDT&amp;sortField=Modified&amp;isAscending=false&amp;viewid=ba243776%2Df837%2D4ace%2D8ee9%2D939a5753cc77" TargetMode="External"/><Relationship Id="rId447" Type="http://schemas.openxmlformats.org/officeDocument/2006/relationships/hyperlink" Target="https://artechnologie13.sharepoint.com/sites/Bureaud'tudeAR-TECHNOLOGIE/DOSSIER%20POI/Forms/AllItems.aspx?id=%2Fsites%2FBureaud%27tudeAR%2DTECHNOLOGIE%2FDOSSIER%20POI%2FROD%2FROD600120%2FDT&amp;sortField=Modified&amp;isAscending=false&amp;viewid=ba243776%2Df837%2D4ace%2D8ee9%2D939a5753cc77&amp;csf=1&amp;CID=028de158%2Dd4dc%2D48b6%2D89c4%2Ddb1f4163a833&amp;FolderCTID=0x0120001BD1B7A29D5EA04EB7553F36EEAEE8D2" TargetMode="External"/><Relationship Id="rId251" Type="http://schemas.openxmlformats.org/officeDocument/2006/relationships/hyperlink" Target="https://artechnologie13.sharepoint.com/sites/Bureaud'tudeAR-TECHNOLOGIE/DOSSIER%20POI/Forms/AllItems.aspx?id=%2Fsites%2FBureaud%27tudeAR%2DTECHNOLOGIE%2FDOSSIER%20POI%2FQPR%20%2D%20CRO%2FLOR501156%2FDT&amp;sortField=Modified&amp;isAscending=false&amp;viewid=ba243776%2Df837%2D4ace%2D8ee9%2D939a5753cc77&amp;csf=1&amp;web=1&amp;e=9WvHyN&amp;CID=36301bcb%2D5b9c%2D44bf%2D88d4%2D647a11855c95&amp;FolderCTID=0x0120001BD1B7A29D5EA04EB7553F36EEAEE8D2" TargetMode="External"/><Relationship Id="rId489" Type="http://schemas.openxmlformats.org/officeDocument/2006/relationships/hyperlink" Target="https://artechnologie13.sharepoint.com/sites/Bureaud%27tudeAR-TECHNOLOGIE/DOSSIER%20POI/Forms/AllItems.aspx?id=%2Fsites%2FBureaud%27tudeAR%2DTECHNOLOGIE%2FDOSSIER%20POI%2FMDM%2DDAX%2FIMI%2DVA%2D40123%2D01P6%2D1%2FDT&amp;sortField=Modified&amp;isAscending=false&amp;viewid=ba243776%2Df837%2D4ace%2D8ee9%2D939a5753cc77&amp;p=true" TargetMode="External"/><Relationship Id="rId46" Type="http://schemas.openxmlformats.org/officeDocument/2006/relationships/hyperlink" Target="https://artechnologie13.sharepoint.com/sites/Bureaud'tudeAR-TECHNOLOGIE/DOSSIER%20POI/Forms/AllItems.aspx?id=%2Fsites%2FBureaud%27tudeAR%2DTECHNOLOGIE%2FDOSSIER%20POI%2FROD%2FROD500924%2FDT&amp;viewid=ba243776%2Df837%2D4ace%2D8ee9%2D939a5753cc77&amp;FolderCTID=0x0120001BD1B7A29D5EA04EB7553F36EEAEE8D2" TargetMode="External"/><Relationship Id="rId293" Type="http://schemas.openxmlformats.org/officeDocument/2006/relationships/hyperlink" Target="https://artechnologie13.sharepoint.com/sites/Bureaud'tudeAR-TECHNOLOGIE/DOSSIER%20POI/Forms/AllItems.aspx?id=%2Fsites%2FBureaud%27tudeAR%2DTECHNOLOGIE%2FDOSSIER%20POI%2FMDM%2DDAX%2FIMI%2DVA%2D40114%2D018I%2D2%2FDT&amp;viewid=ba243776%2Df837%2D4ace%2D8ee9%2D939a5753cc77&amp;csf=1&amp;web=1&amp;e=iSjf18&amp;CID=417e0f30%2D04bc%2D4a4f%2D93dd%2D54152a9be1a5&amp;FolderCTID=0x0120001BD1B7A29D5EA04EB7553F36EEAEE8D2" TargetMode="External"/><Relationship Id="rId307" Type="http://schemas.openxmlformats.org/officeDocument/2006/relationships/hyperlink" Target="https://artechnologie13.sharepoint.com/sites/Bureaud'tudeAR-TECHNOLOGIE/DOSSIER%20POI/Forms/AllItems.aspx?id=%2Fsites%2FBureaud%27tudeAR%2DTECHNOLOGIE%2FDOSSIER%20POI%2FBAY%2FIMI%2DVA%2D64483%2D02AV%2D1%2FDT&amp;sortField=Modified&amp;isAscending=false&amp;viewid=ba243776%2Df837%2D4ace%2D8ee9%2D939a5753cc77&amp;csf=1&amp;web=1&amp;e=1pL25U&amp;CID=7fa624e0%2D4ca6%2D4998%2Dbd86%2D3b50407ce83c&amp;FolderCTID=0x0120001BD1B7A29D5EA04EB7553F36EEAEE8D2" TargetMode="External"/><Relationship Id="rId349" Type="http://schemas.openxmlformats.org/officeDocument/2006/relationships/hyperlink" Target="https://artechnologie13.sharepoint.com/sites/Bureaud'tudeAR-TECHNOLOGIE/DOSSIER%20POI/Forms/AllItems.aspx?id=%2Fsites%2FBureaud%27tudeAR%2DTECHNOLOGIE%2FDOSSIER%20POI%2FMDM%2DDAX%2FIMI%2DVA%2D40234%20007H%2D1%2FDT2&amp;sortField=Modified&amp;isAscending=false&amp;viewid=ba243776%2Df837%2D4ace%2D8ee9%2D939a5753cc77&amp;csf=1&amp;web=1&amp;e=y4OGff&amp;CID=ab2d9a8e%2Dee52%2D4631%2Dbe44%2Dd17830824ca2&amp;FolderCTID=0x0120001BD1B7A29D5EA04EB7553F36EEAEE8D2" TargetMode="External"/><Relationship Id="rId88" Type="http://schemas.openxmlformats.org/officeDocument/2006/relationships/hyperlink" Target="https://artechnologie13.sharepoint.com/sites/Bureaud'tudeAR-TECHNOLOGIE/DOSSIER%20POI/Forms/AllItems.aspx?id=%2Fsites%2FBureaud%27tudeAR%2DTECHNOLOGIE%2FDOSSIER%20POI%2FMEN%2FMEN500401%2FDT&amp;viewid=ba243776%2Df837%2D4ace%2D8ee9%2D939a5753cc77&amp;FolderCTID=0x0120001BD1B7A29D5EA04EB7553F36EEAEE8D2" TargetMode="External"/><Relationship Id="rId111" Type="http://schemas.openxmlformats.org/officeDocument/2006/relationships/hyperlink" Target="https://artechnologie13.sharepoint.com/sites/Bureaud'tudeAR-TECHNOLOGIE/DOSSIER%20POI/Forms/AllItems.aspx?id=%2Fsites%2FBureaud%27tudeAR%2DTECHNOLOGIE%2FDOSSIER%20POI%2FQPR%20%2D%20CRO%2FCRO500072%2FDT&amp;viewid=ba243776%2Df837%2D4ace%2D8ee9%2D939a5753cc77&amp;FolderCTID=0x0120001BD1B7A29D5EA04EB7553F36EEAEE8D2" TargetMode="External"/><Relationship Id="rId153" Type="http://schemas.openxmlformats.org/officeDocument/2006/relationships/hyperlink" Target="https://artechnologie13.sharepoint.com/sites/Bureaud'tudeAR-TECHNOLOGIE/DOSSIER%20POI/Forms/AllItems.aspx?id=%2Fsites%2FBureaud%27tudeAR%2DTECHNOLOGIE%2FDOSSIER%20POI%2FSPI%2040%2D64%2FIMI%2DVA%2D40192%20053X%2D2%2FDT&amp;viewid=ba243776%2Df837%2D4ace%2D8ee9%2D939a5753cc77&amp;FolderCTID=0x0120001BD1B7A29D5EA04EB7553F36EEAEE8D2" TargetMode="External"/><Relationship Id="rId195" Type="http://schemas.openxmlformats.org/officeDocument/2006/relationships/hyperlink" Target="https://artechnologie13.sharepoint.com/sites/Bureaud'tudeAR-TECHNOLOGIE/DOSSIER%20POI/Forms/AllItems.aspx?id=%2Fsites%2FBureaud%27tudeAR%2DTECHNOLOGIE%2FDOSSIER%20POI%2FROD%2FROD500499%2FDT&amp;viewid=ba243776%2Df837%2D4ace%2D8ee9%2D939a5753cc77&amp;csf=1&amp;web=1&amp;e=Vcnjo9&amp;CID=85108fa8%2Dfcfc%2D4ed7%2Db57a%2D0833235b518f&amp;FolderCTID=0x0120001BD1B7A29D5EA04EB7553F36EEAEE8D2" TargetMode="External"/><Relationship Id="rId209" Type="http://schemas.openxmlformats.org/officeDocument/2006/relationships/hyperlink" Target="https://artechnologie13.sharepoint.com/sites/Bureaud'tudeAR-TECHNOLOGIE/DOSSIER%20POI/Forms/AllItems.aspx?id=%2Fsites%2FBureaud%27tudeAR%2DTECHNOLOGIE%2FDOSSIER%20POI%2FROD%2FROD501346%2FDT&amp;viewid=ba243776%2Df837%2D4ace%2D8ee9%2D939a5753cc77&amp;csf=1&amp;web=1&amp;e=ywV4ci&amp;CID=1e63611a%2D24d3%2D4a9a%2D8460%2Db9a7decdcd4c&amp;FolderCTID=0x0120001BD1B7A29D5EA04EB7553F36EEAEE8D2" TargetMode="External"/><Relationship Id="rId360" Type="http://schemas.openxmlformats.org/officeDocument/2006/relationships/hyperlink" Target="https://artechnologie13.sharepoint.com/sites/Bureaud'tudeAR-TECHNOLOGIE/DOSSIER%20POI/Forms/AllItems.aspx?id=%2Fsites%2FBureaud%27tudeAR%2DTECHNOLOGIE%2FDOSSIER%20POI%2FROD%2FROD401264%2FDT&amp;viewid=ba243776%2Df837%2D4ace%2D8ee9%2D939a5753cc77&amp;FolderCTID=0x0120001BD1B7A29D5EA04EB7553F36EEAEE8D2" TargetMode="External"/><Relationship Id="rId416" Type="http://schemas.openxmlformats.org/officeDocument/2006/relationships/hyperlink" Target="https://artechnologie13.sharepoint.com/sites/Bureaud'tudeAR-TECHNOLOGIE/DOSSIER%20POI/Forms/AllItems.aspx?id=%2Fsites%2FBureaud%27tudeAR%2DTECHNOLOGIE%2FDOSSIER%20POI%2FSPI%2040%2D64%2FIMI%2DVA%2D40279%2D15O1%2D1%2FDT2&amp;viewid=ba243776%2Df837%2D4ace%2D8ee9%2D939a5753cc77&amp;csf=1&amp;web=1&amp;e=pPT8BZ&amp;CID=e252c9d0%2Dd66e%2D451a%2D98d4%2Dad3ce3f4a0e0&amp;FolderCTID=0x0120001BD1B7A29D5EA04EB7553F36EEAEE8D2" TargetMode="External"/><Relationship Id="rId220" Type="http://schemas.openxmlformats.org/officeDocument/2006/relationships/hyperlink" Target="https://artechnologie13.sharepoint.com/sites/Bureaud'tudeAR-TECHNOLOGIE/DOSSIER%20POI/Forms/AllItems.aspx?id=%2Fsites%2FBureaud%27tudeAR%2DTECHNOLOGIE%2FDOSSIER%20POI%2FQPR%20%2D%20CRO%2FQPR501381%2FDT&amp;sortField=Modified&amp;isAscending=false&amp;viewid=ba243776%2Df837%2D4ace%2D8ee9%2D939a5753cc77&amp;csf=1&amp;web=1&amp;e=owQXVh&amp;CID=c5b168e7%2D67df%2D41af%2Db0d7%2D508a6306f4cd&amp;FolderCTID=0x0120001BD1B7A29D5EA04EB7553F36EEAEE8D2" TargetMode="External"/><Relationship Id="rId458" Type="http://schemas.openxmlformats.org/officeDocument/2006/relationships/hyperlink" Target="https://artechnologie13.sharepoint.com/sites/Bureaud%27tudeAR-TECHNOLOGIE/DOSSIER%20POI/Forms/AllItems.aspx?id=%2Fsites%2FBureaud%27tudeAR%2DTECHNOLOGIE%2FDOSSIER%20POI%2FROD%2FROD600043%2FDT&amp;sortField=Modified&amp;isAscending=false&amp;viewid=ba243776%2Df837%2D4ace%2D8ee9%2D939a5753cc77&amp;csf=1&amp;CID=62f44cec%2D22a3%2D45af%2D97cb%2D96c2f484fdb6&amp;FolderCTID=0x0120001BD1B7A29D5EA04EB7553F36EEAEE8D2" TargetMode="External"/><Relationship Id="rId15" Type="http://schemas.openxmlformats.org/officeDocument/2006/relationships/hyperlink" Target="https://artechnologie13.sharepoint.com/sites/Bureaud'tudeAR-TECHNOLOGIE/DOSSIER%20POI/Forms/AllItems.aspx?id=%2Fsites%2FBureaud%27tudeAR%2DTECHNOLOGIE%2FDOSSIER%20POI%2FROD%2FROD500787%2FDT&amp;viewid=ba243776%2Df837%2D4ace%2D8ee9%2D939a5753cc77&amp;FolderCTID=0x0120001BD1B7A29D5EA04EB7553F36EEAEE8D2" TargetMode="External"/><Relationship Id="rId57" Type="http://schemas.openxmlformats.org/officeDocument/2006/relationships/hyperlink" Target="https://artechnologie13.sharepoint.com/sites/Bureaud'tudeAR-TECHNOLOGIE/DOSSIER%20POI/Forms/AllItems.aspx?id=%2Fsites%2FBureaud%27tudeAR%2DTECHNOLOGIE%2FDOSSIER%20POI%2FROD%2FROD401441%2FDT&amp;viewid=ba243776%2Df837%2D4ace%2D8ee9%2D939a5753cc77&amp;FolderCTID=0x0120001BD1B7A29D5EA04EB7553F36EEAEE8D2" TargetMode="External"/><Relationship Id="rId262" Type="http://schemas.openxmlformats.org/officeDocument/2006/relationships/hyperlink" Target="https://artechnologie13.sharepoint.com/sites/Bureaud'tudeAR-TECHNOLOGIE/DOSSIER%20POI/Forms/AllItems.aspx?id=%2Fsites%2FBureaud%27tudeAR%2DTECHNOLOGIE%2FDOSSIER%20POI%2FMDM%2DDAX%2FMDM300446%2FDT&amp;viewid=ba243776%2Df837%2D4ace%2D8ee9%2D939a5753cc77&amp;csf=1&amp;web=1&amp;e=iV2Yoj&amp;CID=4e31e7ae%2Dd866%2D4c9e%2Dbf24%2De0ab88c36e01&amp;FolderCTID=0x0120001BD1B7A29D5EA04EB7553F36EEAEE8D2" TargetMode="External"/><Relationship Id="rId318" Type="http://schemas.openxmlformats.org/officeDocument/2006/relationships/hyperlink" Target="https://artechnologie13.sharepoint.com/sites/Bureaud'tudeAR-TECHNOLOGIE/DOSSIER%20POI/Forms/AllItems.aspx?id=%2Fsites%2FBureaud%27tudeAR%2DTECHNOLOGIE%2FDOSSIER%20POI%2FQPR%20%2D%20CRO%2FRRE501198%2FDT&amp;viewid=ba243776%2Df837%2D4ace%2D8ee9%2D939a5753cc77&amp;csf=1&amp;web=1&amp;e=lEMPTZ&amp;CID=2f9b4f0b%2Da12f%2D452d%2Da309%2D49e0fdae5053&amp;FolderCTID=0x0120001BD1B7A29D5EA04EB7553F36EEAEE8D2" TargetMode="External"/><Relationship Id="rId99" Type="http://schemas.openxmlformats.org/officeDocument/2006/relationships/hyperlink" Target="https://artechnologie13.sharepoint.com/sites/Bureaud'tudeAR-TECHNOLOGIE/DOSSIER%20POI/Forms/AllItems.aspx?id=%2Fsites%2FBureaud%27tudeAR%2DTECHNOLOGIE%2FDOSSIER%20POI%2FROD%2FROD501148%2FDT&amp;viewid=ba243776%2Df837%2D4ace%2D8ee9%2D939a5753cc77&amp;FolderCTID=0x0120001BD1B7A29D5EA04EB7553F36EEAEE8D2" TargetMode="External"/><Relationship Id="rId122" Type="http://schemas.openxmlformats.org/officeDocument/2006/relationships/hyperlink" Target="https://artechnologie13.sharepoint.com/sites/Bureaud'tudeAR-TECHNOLOGIE/DOSSIER%20POI/Forms/AllItems.aspx?id=%2Fsites%2FBureaud%27tudeAR%2DTECHNOLOGIE%2FDOSSIER%20POI%2FBAY%2FBAY300739%2FDT&amp;viewid=ba243776%2Df837%2D4ace%2D8ee9%2D939a5753cc77&amp;csf=1&amp;web=1&amp;e=A4dR2k&amp;CID=3658f00c%2Dba0f%2D4c31%2D9745%2Dfc3fed795aaf&amp;FolderCTID=0x0120001BD1B7A29D5EA04EB7553F36EEAEE8D2" TargetMode="External"/><Relationship Id="rId164" Type="http://schemas.openxmlformats.org/officeDocument/2006/relationships/hyperlink" Target="https://artechnologie13.sharepoint.com/sites/Bureaud'tudeAR-TECHNOLOGIE/DOSSIER%20POI/Forms/AllItems.aspx?id=%2Fsites%2FBureaud%27tudeAR%2DTECHNOLOGIE%2FDOSSIER%20POI%2FMEN%2FMEN500038%2FDT&amp;viewid=ba243776%2Df837%2D4ace%2D8ee9%2D939a5753cc77&amp;FolderCTID=0x0120001BD1B7A29D5EA04EB7553F36EEAEE8D2" TargetMode="External"/><Relationship Id="rId371" Type="http://schemas.openxmlformats.org/officeDocument/2006/relationships/hyperlink" Target="https://artechnologie13.sharepoint.com/sites/Bureaud'tudeAR-TECHNOLOGIE/DOSSIER%20POI/Forms/AllItems.aspx?id=%2Fsites%2FBureaud%27tudeAR%2DTECHNOLOGIE%2FDOSSIER%20POI%2FMEN%2FMEN500659&amp;sortField=Modified&amp;isAscending=false&amp;viewid=ba243776%2Df837%2D4ace%2D8ee9%2D939a5753cc77&amp;csf=1&amp;web=1&amp;e=xJSWPp&amp;CID=834583a6%2D0b09%2D4127%2D93b5%2Dc71f4baa33f8&amp;FolderCTID=0x0120001BD1B7A29D5EA04EB7553F36EEAEE8D2" TargetMode="External"/><Relationship Id="rId427" Type="http://schemas.openxmlformats.org/officeDocument/2006/relationships/hyperlink" Target="https://artechnologie13.sharepoint.com/sites/Bureaud'tudeAR-TECHNOLOGIE/DOSSIER%20POI/Forms/AllItems.aspx?id=%2Fsites%2FBureaud%27tudeAR%2DTECHNOLOGIE%2FDOSSIER%20POI%2FQPR%20%2D%20CRO%2FCRO500295%2FDT&amp;sortField=Modified&amp;isAscending=false&amp;viewid=ba243776%2Df837%2D4ace%2D8ee9%2D939a5753cc77&amp;csf=1&amp;web=1&amp;e=owQXVh&amp;CID=c5b168e7%2D67df%2D41af%2Db0d7%2D508a6306f4cd&amp;FolderCTID=0x0120001BD1B7A29D5EA04EB7553F36EEAEE8D2&amp;view=7" TargetMode="External"/><Relationship Id="rId469" Type="http://schemas.openxmlformats.org/officeDocument/2006/relationships/hyperlink" Target="https://artechnologie13.sharepoint.com/sites/Bureaud'tudeAR-TECHNOLOGIE/DOSSIER%20POI/Forms/AllItems.aspx?id=%2Fsites%2FBureaud%27tudeAR%2DTECHNOLOGIE%2FDOSSIER%20POI%2FMEN%2FMEN600020%2FDT&amp;sortField=Modified&amp;isAscending=false&amp;viewid=ba243776%2Df837%2D4ace%2D8ee9%2D939a5753cc77&amp;FolderCTID=0x0120001BD1B7A29D5EA04EB7553F36EEAEE8D2" TargetMode="External"/><Relationship Id="rId26" Type="http://schemas.openxmlformats.org/officeDocument/2006/relationships/hyperlink" Target="https://artechnologie13.sharepoint.com/sites/Bureaud'tudeAR-TECHNOLOGIE/DOSSIER%20POI/Forms/AllItems.aspx?id=%2Fsites%2FBureaud%27tudeAR%2DTECHNOLOGIE%2FDOSSIER%20POI%2FMDM%2DDAX%2FIMI%2DVA%2D40114%20018J%2D2%2FDT&amp;viewid=ba243776%2Df837%2D4ace%2D8ee9%2D939a5753cc77&amp;FolderCTID=0x0120001BD1B7A29D5EA04EB7553F36EEAEE8D2" TargetMode="External"/><Relationship Id="rId231" Type="http://schemas.openxmlformats.org/officeDocument/2006/relationships/hyperlink" Target="https://artechnologie13.sharepoint.com/sites/Bureaud'tudeAR-TECHNOLOGIE/DT1/Forms/AllItems.aspx?id=%2Fsites%2FBureaud%27tudeAR%2DTECHNOLOGIE%2FDT1%2FDEMANDES%2FMEN500465%2FDT&amp;viewid=4a761c62%2Dc0e3%2D4ad1%2D9b90%2Daa69488d2e0e&amp;FolderCTID=0x012000D43E1045C1E5A24BB65CD5B8CBCFE3FF" TargetMode="External"/><Relationship Id="rId273" Type="http://schemas.openxmlformats.org/officeDocument/2006/relationships/hyperlink" Target="https://artechnologie13.sharepoint.com/sites/Bureaud'tudeAR-TECHNOLOGIE/DOSSIER%20POI/Forms/AllItems.aspx?id=%2Fsites%2FBureaud%27tudeAR%2DTECHNOLOGIE%2FDOSSIER%20POI%2FMEN%2FMEN400033%2FDT&amp;viewid=ba243776%2Df837%2D4ace%2D8ee9%2D939a5753cc77&amp;FolderCTID=0x0120001BD1B7A29D5EA04EB7553F36EEAEE8D2" TargetMode="External"/><Relationship Id="rId329" Type="http://schemas.openxmlformats.org/officeDocument/2006/relationships/hyperlink" Target="https://artechnologie13.sharepoint.com/sites/Bureaud'tudeAR-TECHNOLOGIE/DOSSIER%20POI/Forms/AllItems.aspx?id=%2Fsites%2FBureaud%27tudeAR%2DTECHNOLOGIE%2FDOSSIER%20POI%2FMDM%2DDAX%2FMDM201114%2FDT2&amp;viewid=ba243776%2Df837%2D4ace%2D8ee9%2D939a5753cc77&amp;csf=1&amp;web=1&amp;e=HeEQEc&amp;CID=a96151a7%2D2d79%2D4c67%2Db960%2D6e3ea806ecdc&amp;FolderCTID=0x0120001BD1B7A29D5EA04EB7553F36EEAEE8D2" TargetMode="External"/><Relationship Id="rId480" Type="http://schemas.openxmlformats.org/officeDocument/2006/relationships/hyperlink" Target="https://artechnologie13.sharepoint.com/sites/Bureaud%27tudeAR-TECHNOLOGIE/DOSSIER%20POI/Forms/AllItems.aspx?id=%2Fsites%2FBureaud%27tudeAR%2DTECHNOLOGIE%2FDOSSIER%20POI%2FQPR%20%2D%20CRO%2FVAN600185%2FRETOUR%20VT%20VAN600185%2FDT&amp;sortField=Modified&amp;isAscending=false&amp;viewid=ba243776%2Df837%2D4ace%2D8ee9%2D939a5753cc77&amp;FolderCTID=0x0120001BD1B7A29D5EA04EB7553F36EEAEE8D2" TargetMode="External"/><Relationship Id="rId68" Type="http://schemas.openxmlformats.org/officeDocument/2006/relationships/hyperlink" Target="https://artechnologie13.sharepoint.com/sites/Bureaud'tudeAR-TECHNOLOGIE/DOSSIER%20POI/Forms/AllItems.aspx?id=%2Fsites%2FBureaud%27tudeAR%2DTECHNOLOGIE%2FDOSSIER%20POI%2FQPR%20%2D%20CRO%2FVAN501000%2FRetour%20VT%2FDT%20VAN501000&amp;viewid=ba243776%2Df837%2D4ace%2D8ee9%2D939a5753cc77&amp;csf=1&amp;web=1&amp;e=kkodIe&amp;CID=69bfc05b%2D5e6b%2D48bf%2Dbe1e%2D3e686ec23a98&amp;FolderCTID=0x0120001BD1B7A29D5EA04EB7553F36EEAEE8D2" TargetMode="External"/><Relationship Id="rId133" Type="http://schemas.openxmlformats.org/officeDocument/2006/relationships/hyperlink" Target="https://artechnologie13.sharepoint.com/sites/Bureaud'tudeAR-TECHNOLOGIE/DOSSIER%20POI/Forms/AllItems.aspx?id=%2Fsites%2FBureaud%27tudeAR%2DTECHNOLOGIE%2FDOSSIER%20POI%2FBAY%2FBAY400289%2FDT&amp;viewid=ba243776%2Df837%2D4ace%2D8ee9%2D939a5753cc77&amp;FolderCTID=0x0120001BD1B7A29D5EA04EB7553F36EEAEE8D2" TargetMode="External"/><Relationship Id="rId175" Type="http://schemas.openxmlformats.org/officeDocument/2006/relationships/hyperlink" Target="https://artechnologie13.sharepoint.com/sites/Bureaud'tudeAR-TECHNOLOGIE/DOSSIER%20POI/Forms/AllItems.aspx?id=%2Fsites%2FBureaud%27tudeAR%2DTECHNOLOGIE%2FDOSSIER%20POI%2FROD%2FROD500369%2FDT&amp;viewid=ba243776%2Df837%2D4ace%2D8ee9%2D939a5753cc77&amp;FolderCTID=0x0120001BD1B7A29D5EA04EB7553F36EEAEE8D2" TargetMode="External"/><Relationship Id="rId340" Type="http://schemas.openxmlformats.org/officeDocument/2006/relationships/hyperlink" Target="https://artechnologie13.sharepoint.com/sites/Bureaud'tudeAR-TECHNOLOGIE/DOSSIER%20POI/Forms/AllItems.aspx?id=%2Fsites%2FBureaud%27tudeAR%2DTECHNOLOGIE%2FDOSSIER%20POI%2FMDM%2DDAX%2FIMI%2DVA%2D64024%2D02Y4%2D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200" Type="http://schemas.openxmlformats.org/officeDocument/2006/relationships/hyperlink" Target="https://artechnologie13.sharepoint.com/sites/Bureaud'tudeAR-TECHNOLOGIE/DOSSIER%20POI/Forms/AllItems.aspx?id=%2Fsites%2FBureaud%27tudeAR%2DTECHNOLOGIE%2FDOSSIER%20POI%2FROD%2FROD501302%2FDT&amp;viewid=ba243776%2Df837%2D4ace%2D8ee9%2D939a5753cc77&amp;csf=1&amp;web=1&amp;e=gbYf7c&amp;CID=4e556f2e%2D30a8%2D4731%2Da2db%2D550ed2548a49&amp;FolderCTID=0x0120001BD1B7A29D5EA04EB7553F36EEAEE8D2" TargetMode="External"/><Relationship Id="rId382" Type="http://schemas.openxmlformats.org/officeDocument/2006/relationships/hyperlink" Target="https://artechnologie13.sharepoint.com/sites/Bureaud'tudeAR-TECHNOLOGIE/DOSSIER%20POI/Forms/AllItems.aspx?id=%2Fsites%2FBureaud%27tudeAR%2DTECHNOLOGIE%2FDOSSIER%20POI%2FMEN%2FMEN500653%2FDT&amp;sortField=Modified&amp;isAscending=false&amp;viewid=ba243776%2Df837%2D4ace%2D8ee9%2D939a5753cc77" TargetMode="External"/><Relationship Id="rId438" Type="http://schemas.openxmlformats.org/officeDocument/2006/relationships/hyperlink" Target="https://artechnologie13.sharepoint.com/sites/Bureaud'tudeAR-TECHNOLOGIE/DOSSIER%20POI/Forms/AllItems.aspx?id=%2Fsites%2FBureaud%27tudeAR%2DTECHNOLOGIE%2FDOSSIER%20POI%2FMEN%2FMEN600010%2FDT&amp;sortField=Modified&amp;isAscending=false&amp;viewid=ba243776%2Df837%2D4ace%2D8ee9%2D939a5753cc77" TargetMode="External"/><Relationship Id="rId242" Type="http://schemas.openxmlformats.org/officeDocument/2006/relationships/hyperlink" Target="https://artechnologie13.sharepoint.com/sites/Bureaud'tudeAR-TECHNOLOGIE/DOSSIER%20POI/Forms/AllItems.aspx?id=%2Fsites%2FBureaud%27tudeAR%2DTECHNOLOGIE%2FDOSSIER%20POI%2FSPI%2040%2D64%2FIMI%2DVA%2D40234%2D009R%2D1%2FDT&amp;viewid=ba243776%2Df837%2D4ace%2D8ee9%2D939a5753cc77" TargetMode="External"/><Relationship Id="rId284" Type="http://schemas.openxmlformats.org/officeDocument/2006/relationships/hyperlink" Target="https://artechnologie13.sharepoint.com/sites/Bureaud'tudeAR-TECHNOLOGIE/DOSSIER%20POI/Forms/AllItems.aspx?id=%2Fsites%2FBureaud%27tudeAR%2DTECHNOLOGIE%2FDOSSIER%20POI%2FROD%2FROD501579%2FDT&amp;viewid=ba243776%2Df837%2D4ace%2D8ee9%2D939a5753cc77&amp;FolderCTID=0x0120001BD1B7A29D5EA04EB7553F36EEAEE8D2" TargetMode="External"/><Relationship Id="rId491" Type="http://schemas.openxmlformats.org/officeDocument/2006/relationships/hyperlink" Target="https://artechnologie13.sharepoint.com/sites/Bureaud'tudeAR-TECHNOLOGIE/DOSSIER%20POI/Forms/AllItems.aspx?id=%2Fsites%2FBureaud%27tudeAR%2DTECHNOLOGIE%2FDOSSIER%20POI%2FMEN%2FMEN300841%2FDT2&amp;viewid=ba243776%2Df837%2D4ace%2D8ee9%2D939a5753cc77&amp;csf=1&amp;CID=ab9cb373%2Dae24%2D40d9%2D8776%2Db478fe2948df&amp;FolderCTID=0x0120001BD1B7A29D5EA04EB7553F36EEAEE8D2" TargetMode="External"/><Relationship Id="rId505" Type="http://schemas.openxmlformats.org/officeDocument/2006/relationships/hyperlink" Target="https://artechnologie13.sharepoint.com/sites/Bureaud'tudeAR-TECHNOLOGIE/DOSSIER%20POI/Forms/AllItems.aspx?id=%2Fsites%2FBureaud%27tudeAR%2DTECHNOLOGIE%2FDOSSIER%20POI%2FQPR%20%2D%20CRO%2FLOR401756%2FDT&amp;viewid=ba243776%2Df837%2D4ace%2D8ee9%2D939a5753cc77&amp;FolderCTID=0x0120001BD1B7A29D5EA04EB7553F36EEAEE8D2" TargetMode="External"/><Relationship Id="rId37" Type="http://schemas.openxmlformats.org/officeDocument/2006/relationships/hyperlink" Target="https://artechnologie13.sharepoint.com/sites/Bureaud'tudeAR-TECHNOLOGIE/DOSSIER%20POI/Forms/AllItems.aspx?id=%2Fsites%2FBureaud%27tudeAR%2DTECHNOLOGIE%2FDOSSIER%20POI%2FMEN%2FMEN400643%2FDT&amp;viewid=ba243776%2Df837%2D4ace%2D8ee9%2D939a5753cc77&amp;FolderCTID=0x0120001BD1B7A29D5EA04EB7553F36EEAEE8D2" TargetMode="External"/><Relationship Id="rId79" Type="http://schemas.openxmlformats.org/officeDocument/2006/relationships/hyperlink" Target="https://artechnologie13.sharepoint.com/sites/Bureaud'tudeAR-TECHNOLOGIE/DOSSIER%20POI/Forms/AllItems.aspx?id=%2Fsites%2FBureaud%27tudeAR%2DTECHNOLOGIE%2FDOSSIER%20POI%2FROD%2FROD500918%2FDT&amp;sortField=Modified&amp;isAscending=false&amp;viewid=ba243776%2Df837%2D4ace%2D8ee9%2D939a5753cc77&amp;csf=1&amp;web=1&amp;e=xUPcuK&amp;CID=e382a5b9%2D168f%2D4447%2D9601%2D78fc7bfb7038&amp;FolderCTID=0x0120001BD1B7A29D5EA04EB7553F36EEAEE8D2" TargetMode="External"/><Relationship Id="rId102" Type="http://schemas.openxmlformats.org/officeDocument/2006/relationships/hyperlink" Target="https://artechnologie13.sharepoint.com/sites/Bureaud'tudeAR-TECHNOLOGIE/DOSSIER%20POI/Forms/AllItems.aspx?id=%2Fsites%2FBureaud%27tudeAR%2DTECHNOLOGIE%2FDOSSIER%20POI%2FROD%2FROD501175%2FDT&amp;viewid=ba243776%2Df837%2D4ace%2D8ee9%2D939a5753cc77&amp;FolderCTID=0x0120001BD1B7A29D5EA04EB7553F36EEAEE8D2" TargetMode="External"/><Relationship Id="rId144" Type="http://schemas.openxmlformats.org/officeDocument/2006/relationships/hyperlink" Target="https://artechnologie13.sharepoint.com/sites/Bureaud'tudeAR-TECHNOLOGIE/DOSSIER%20POI/Forms/AllItems.aspx?id=%2Fsites%2FBureaud%27tudeAR%2DTECHNOLOGIE%2FDOSSIER%20POI%2FROD%2FROD501264%2FDT&amp;viewid=ba243776%2Df837%2D4ace%2D8ee9%2D939a5753cc77&amp;csf=1&amp;web=1&amp;e=74hfsH&amp;CID=b4be41c5%2D6c5c%2D45f2%2D96e1%2D4e1cba5722e6&amp;FolderCTID=0x0120001BD1B7A29D5EA04EB7553F36EEAEE8D2" TargetMode="External"/><Relationship Id="rId90" Type="http://schemas.openxmlformats.org/officeDocument/2006/relationships/hyperlink" Target="https://artechnologie13.sharepoint.com/sites/Bureaud'tudeAR-TECHNOLOGIE/DOSSIER%20POI/Forms/AllItems.aspx?id=%2Fsites%2FBureaud%27tudeAR%2DTECHNOLOGIE%2FDOSSIER%20POI%2FMEN%2FMEN500412%2FDT&amp;viewid=ba243776%2Df837%2D4ace%2D8ee9%2D939a5753cc77&amp;FolderCTID=0x0120001BD1B7A29D5EA04EB7553F36EEAEE8D2" TargetMode="External"/><Relationship Id="rId186" Type="http://schemas.openxmlformats.org/officeDocument/2006/relationships/hyperlink" Target="https://artechnologie13.sharepoint.com/sites/Bureaud'tudeAR-TECHNOLOGIE/DOSSIER%20POI/Forms/AllItems.aspx?id=%2Fsites%2FBureaud%27tudeAR%2DTECHNOLOGIE%2FDOSSIER%20POI%2FPAU%2FPAU103623%2FDT&amp;viewid=ba243776%2Df837%2D4ace%2D8ee9%2D939a5753cc77&amp;FolderCTID=0x0120001BD1B7A29D5EA04EB7553F36EEAEE8D2" TargetMode="External"/><Relationship Id="rId351" Type="http://schemas.openxmlformats.org/officeDocument/2006/relationships/hyperlink" Target="https://artechnologie13.sharepoint.com/sites/Bureaud'tudeAR-TECHNOLOGIE/DOSSIER%20POI/Forms/AllItems.aspx?id=%2Fsites%2FBureaud%27tudeAR%2DTECHNOLOGIE%2FDOSSIER%20POI%2FMDM%2DDAX%2FIMI%2DVA%2D40123%2D01KO%2D1%2FDT2&amp;viewid=ba243776%2Df837%2D4ace%2D8ee9%2D939a5753cc77&amp;FolderCTID=0x0120001BD1B7A29D5EA04EB7553F36EEAEE8D2" TargetMode="External"/><Relationship Id="rId393" Type="http://schemas.openxmlformats.org/officeDocument/2006/relationships/hyperlink" Target="https://artechnologie13.sharepoint.com/sites/Bureaud'tudeAR-TECHNOLOGIE/DOSSIER%20POI/Forms/AllItems.aspx?id=%2Fsites%2FBureaud%27tudeAR%2DTECHNOLOGIE%2FDOSSIER%20POI%2FMDM%2DDAX%2FIMI%2DVA%2D40050%2D0017%2D1%2FDT&amp;sortField=Modified&amp;isAscending=false&amp;viewid=ba243776%2Df837%2D4ace%2D8ee9%2D939a5753cc77" TargetMode="External"/><Relationship Id="rId407" Type="http://schemas.openxmlformats.org/officeDocument/2006/relationships/hyperlink" Target="https://artechnologie13.sharepoint.com/sites/Bureaud'tudeAR-TECHNOLOGIE/DOSSIER%20POI/Forms/AllItems.aspx?id=%2Fsites%2FBureaud%27tudeAR%2DTECHNOLOGIE%2FDOSSIER%20POI%2FMEN%2FMEN500679%2FDT&amp;sortField=Modified&amp;isAscending=false&amp;viewid=ba243776%2Df837%2D4ace%2D8ee9%2D939a5753cc77&amp;csf=1&amp;web=1&amp;e=xJSWPp&amp;CID=834583a6%2D0b09%2D4127%2D93b5%2Dc71f4baa33f8&amp;FolderCTID=0x0120001BD1B7A29D5EA04EB7553F36EEAEE8D2" TargetMode="External"/><Relationship Id="rId449" Type="http://schemas.openxmlformats.org/officeDocument/2006/relationships/hyperlink" Target="https://artechnologie13.sharepoint.com/sites/Bureaud'tudeAR-TECHNOLOGIE/DOSSIER%20POI/Forms/AllItems.aspx?id=%2Fsites%2FBureaud%27tudeAR%2DTECHNOLOGIE%2FDOSSIER%20POI%2FROD%2FROD501926%2FDT&amp;sortField=Modified&amp;isAscending=false&amp;viewid=ba243776%2Df837%2D4ace%2D8ee9%2D939a5753cc77" TargetMode="External"/><Relationship Id="rId211" Type="http://schemas.openxmlformats.org/officeDocument/2006/relationships/hyperlink" Target="https://artechnologie13.sharepoint.com/sites/Bureaud'tudeAR-TECHNOLOGIE/DOSSIER%20POI/Forms/AllItems.aspx?id=%2Fsites%2FBureaud%27tudeAR%2DTECHNOLOGIE%2FDOSSIER%20POI%2FQPR%20%2D%20CRO%2FLOR501142%2FDT&amp;sortField=Modified&amp;isAscending=false&amp;viewid=ba243776%2Df837%2D4ace%2D8ee9%2D939a5753cc77&amp;csf=1&amp;web=1&amp;e=9WvHyN&amp;CID=36301bcb%2D5b9c%2D44bf%2D88d4%2D647a11855c95&amp;FolderCTID=0x0120001BD1B7A29D5EA04EB7553F36EEAEE8D2" TargetMode="External"/><Relationship Id="rId253" Type="http://schemas.openxmlformats.org/officeDocument/2006/relationships/hyperlink" Target="https://artechnologie13.sharepoint.com/sites/Bureaud'tudeAR-TECHNOLOGIE/DOSSIER%20POI/Forms/AllItems.aspx?id=%2Fsites%2FBureaud%27tudeAR%2DTECHNOLOGIE%2FDOSSIER%20POI%2FMEN%2FMEN400115%2FDT&amp;viewid=ba243776%2Df837%2D4ace%2D8ee9%2D939a5753cc77&amp;FolderCTID=0x0120001BD1B7A29D5EA04EB7553F36EEAEE8D2" TargetMode="External"/><Relationship Id="rId295" Type="http://schemas.openxmlformats.org/officeDocument/2006/relationships/hyperlink" Target="https://artechnologie13.sharepoint.com/sites/Bureaud'tudeAR-TECHNOLOGIE/DOSSIER%20POI/Forms/AllItems.aspx?id=%2Fsites%2FBureaud%27tudeAR%2DTECHNOLOGIE%2FDOSSIER%20POI%2FQPR%20%2D%20CRO%2FVAN501432%2FDT&amp;sortField=Modified&amp;isAscending=false&amp;viewid=ba243776%2Df837%2D4ace%2D8ee9%2D939a5753cc77&amp;csf=1&amp;web=1&amp;e=owQXVh&amp;CID=c5b168e7%2D67df%2D41af%2Db0d7%2D508a6306f4cd&amp;FolderCTID=0x0120001BD1B7A29D5EA04EB7553F36EEAEE8D2&amp;view=7" TargetMode="External"/><Relationship Id="rId309" Type="http://schemas.openxmlformats.org/officeDocument/2006/relationships/hyperlink" Target="https://artechnologie13.sharepoint.com/sites/Bureaud'tudeAR-TECHNOLOGIE/DOSSIER%20POI/Forms/AllItems.aspx?id=%2Fsites%2FBureaud%27tudeAR%2DTECHNOLOGIE%2FDOSSIER%20POI%2FMDM%2DDAX%2FIMI%2DVA%2D40123%2D01PN%2D1%2FDT&amp;viewid=ba243776%2Df837%2D4ace%2D8ee9%2D939a5753cc77&amp;view=0" TargetMode="External"/><Relationship Id="rId460" Type="http://schemas.openxmlformats.org/officeDocument/2006/relationships/hyperlink" Target="https://artechnologie13.sharepoint.com/sites/Bureaud'tudeAR-TECHNOLOGIE/DOSSIER%20POI/Forms/AllItems.aspx?id=%2Fsites%2FBureaud%27tudeAR%2DTECHNOLOGIE%2FDOSSIER%20POI%2FMDM%2DDAX%2FMDM500477%2FDT&amp;viewid=ba243776%2Df837%2D4ace%2D8ee9%2D939a5753cc77&amp;csf=1&amp;CID=907ed7a3%2De9dd%2D4f79%2D86ee%2D2d0bd98bc2c8&amp;FolderCTID=0x0120001BD1B7A29D5EA04EB7553F36EEAEE8D2" TargetMode="External"/><Relationship Id="rId48" Type="http://schemas.openxmlformats.org/officeDocument/2006/relationships/hyperlink" Target="https://artechnologie13.sharepoint.com/sites/Bureaud'tudeAR-TECHNOLOGIE/DOSSIER%20POI/Forms/AllItems.aspx?id=%2Fsites%2FBureaud%27tudeAR%2DTECHNOLOGIE%2FDOSSIER%20POI%2FSPI%2040%2D64%2FIMI%2DVA%2D40123%2D01MN%2D1%2FDT&amp;viewid=ba243776%2Df837%2D4ace%2D8ee9%2D939a5753cc77&amp;FolderCTID=0x0120001BD1B7A29D5EA04EB7553F36EEAEE8D2" TargetMode="External"/><Relationship Id="rId113" Type="http://schemas.openxmlformats.org/officeDocument/2006/relationships/hyperlink" Target="https://artechnologie13.sharepoint.com/sites/Bureaud'tudeAR-TECHNOLOGIE/DOSSIER%20POI/Forms/AllItems.aspx?id=%2Fsites%2FBureaud%27tudeAR%2DTECHNOLOGIE%2FDOSSIER%20POI%2FMEN%2FMEN500440%2FDT&amp;viewid=ba243776%2Df837%2D4ace%2D8ee9%2D939a5753cc77&amp;FolderCTID=0x0120001BD1B7A29D5EA04EB7553F36EEAEE8D2" TargetMode="External"/><Relationship Id="rId320" Type="http://schemas.openxmlformats.org/officeDocument/2006/relationships/hyperlink" Target="https://artechnologie13.sharepoint.com/sites/Bureaud'tudeAR-TECHNOLOGIE/DOSSIER%20POI/Forms/AllItems.aspx?id=%2Fsites%2FBureaud%27tudeAR%2DTECHNOLOGIE%2FDOSSIER%20POI%2FROD%2FROD501726%2FROD501726%2FDT&amp;viewid=ba243776%2Df837%2D4ace%2D8ee9%2D939a5753cc77&amp;FolderCTID=0x0120001BD1B7A29D5EA04EB7553F36EEAEE8D2" TargetMode="External"/><Relationship Id="rId155" Type="http://schemas.openxmlformats.org/officeDocument/2006/relationships/hyperlink" Target="https://artechnologie13.sharepoint.com/sites/Bureaud'tudeAR-TECHNOLOGIE/DOSSIER%20POI/Forms/AllItems.aspx?FolderCTID=0x0120001BD1B7A29D5EA04EB7553F36EEAEE8D2&amp;id=%2Fsites%2FBureaud%27tudeAR%2DTECHNOLOGIE%2FDOSSIER%20POI%2FSPI%2040%2D64%2FIMI%2DVA%2D64122%20048T%2D1%2FDT" TargetMode="External"/><Relationship Id="rId197" Type="http://schemas.openxmlformats.org/officeDocument/2006/relationships/hyperlink" Target="https://artechnologie13.sharepoint.com/sites/Bureaud'tudeAR-TECHNOLOGIE/DOSSIER%20POI/Forms/AllItems.aspx?id=%2Fsites%2FBureaud%27tudeAR%2DTECHNOLOGIE%2FDOSSIER%20POI%2FROD%2FROD500290%2FDT&amp;viewid=ba243776%2Df837%2D4ace%2D8ee9%2D939a5753cc77&amp;FolderCTID=0x0120001BD1B7A29D5EA04EB7553F36EEAEE8D2" TargetMode="External"/><Relationship Id="rId362" Type="http://schemas.openxmlformats.org/officeDocument/2006/relationships/hyperlink" Target="https://artechnologie13.sharepoint.com/sites/Bureaud'tudeAR-TECHNOLOGIE/DOSSIER%20POI/Forms/AllItems.aspx?id=%2Fsites%2FBureaud%27tudeAR%2DTECHNOLOGIE%2FDOSSIER%20POI%2FQPR%20%2D%20CRO%2FQPR501949%2FDT&amp;sortField=Modified&amp;isAscending=false&amp;viewid=ba243776%2Df837%2D4ace%2D8ee9%2D939a5753cc77&amp;FolderCTID=0x0120001BD1B7A29D5EA04EB7553F36EEAEE8D2&amp;view=7" TargetMode="External"/><Relationship Id="rId418" Type="http://schemas.openxmlformats.org/officeDocument/2006/relationships/hyperlink" Target="https://artechnologie13.sharepoint.com/sites/Bureaud'tudeAR-TECHNOLOGIE/DOSSIER%20POI/Forms/AllItems.aspx?id=%2Fsites%2FBureaud%27tudeAR%2DTECHNOLOGIE%2FDOSSIER%20POI%2FROD%2FROD502024%2FDT&amp;sortField=Modified&amp;isAscending=false&amp;viewid=ba243776%2Df837%2D4ace%2D8ee9%2D939a5753cc77&amp;csf=1&amp;web=1&amp;e=JhATME&amp;CID=028de158%2Dd4dc%2D48b6%2D89c4%2Ddb1f4163a833&amp;FolderCTID=0x0120001BD1B7A29D5EA04EB7553F36EEAEE8D2" TargetMode="External"/><Relationship Id="rId222" Type="http://schemas.openxmlformats.org/officeDocument/2006/relationships/hyperlink" Target="https://artechnologie13.sharepoint.com/sites/Bureaud'tudeAR-TECHNOLOGIE/DOSSIER%20POI/Forms/AllItems.aspx?id=%2Fsites%2FBureaud%27tudeAR%2DTECHNOLOGIE%2FDOSSIER%20POI%2FQPR%20%2D%20CRO%2FCRO500021%2FDT&amp;sortField=Modified&amp;isAscending=false&amp;viewid=ba243776%2Df837%2D4ace%2D8ee9%2D939a5753cc77&amp;csf=1&amp;web=1&amp;e=owQXVh&amp;CID=c5b168e7%2D67df%2D41af%2Db0d7%2D508a6306f4cd&amp;FolderCTID=0x0120001BD1B7A29D5EA04EB7553F36EEAEE8D2" TargetMode="External"/><Relationship Id="rId264" Type="http://schemas.openxmlformats.org/officeDocument/2006/relationships/hyperlink" Target="https://artechnologie13.sharepoint.com/sites/Bureaud'tudeAR-TECHNOLOGIE/DOSSIER%20POI/Forms/AllItems.aspx?id=%2Fsites%2FBureaud%27tudeAR%2DTECHNOLOGIE%2FDOSSIER%20POI%2FROD%2FROD500004%2FDT&amp;viewid=ba243776%2Df837%2D4ace%2D8ee9%2D939a5753cc77&amp;csf=1&amp;web=1&amp;e=6tREmc&amp;CID=9a0a5551%2D48af%2D4f33%2D953a%2D62c69c615b1f&amp;FolderCTID=0x0120001BD1B7A29D5EA04EB7553F36EEAEE8D2" TargetMode="External"/><Relationship Id="rId471" Type="http://schemas.openxmlformats.org/officeDocument/2006/relationships/hyperlink" Target="https://artechnologie13.sharepoint.com/sites/Bureaud%27tudeAR-TECHNOLOGIE/DOSSIER%20POI/Forms/AllItems.aspx?id=%2Fsites%2FBureaud%27tudeAR%2DTECHNOLOGIE%2FDOSSIER%20POI%2FMDM%2DDAX%2FIMI%2DVA%2D40139%2D0072%2D1%2FDT&amp;sortField=Modified&amp;isAscending=false&amp;viewid=ba243776%2Df837%2D4ace%2D8ee9%2D939a5753cc77&amp;p=true" TargetMode="External"/><Relationship Id="rId17" Type="http://schemas.openxmlformats.org/officeDocument/2006/relationships/hyperlink" Target="https://artechnologie13.sharepoint.com/sites/Bureaud'tudeAR-TECHNOLOGIE/DOSSIER%20POI/Forms/AllItems.aspx?id=%2Fsites%2FBureaud%27tudeAR%2DTECHNOLOGIE%2FDOSSIER%20POI%2FROD%2FROD500727&amp;FolderCTID=0x0120001BD1B7A29D5EA04EB7553F36EEAEE8D2" TargetMode="External"/><Relationship Id="rId59" Type="http://schemas.openxmlformats.org/officeDocument/2006/relationships/hyperlink" Target="https://artechnologie13.sharepoint.com/sites/Bureaud'tudeAR-TECHNOLOGIE/DOSSIER%20POI/Forms/AllItems.aspx?id=%2Fsites%2FBureaud%27tudeAR%2DTECHNOLOGIE%2FDOSSIER%20POI%2FQPR%20%2D%20CRO%2FQPR500654%2FRetour%20VT%2FDT&amp;sortField=Modified&amp;isAscending=false&amp;viewid=ba243776%2Df837%2D4ace%2D8ee9%2D939a5753cc77&amp;csf=1&amp;web=1&amp;e=rpmcna&amp;CID=89330d6f%2D3a99%2D424b%2D8f70%2Dcdd687054232&amp;FolderCTID=0x0120001BD1B7A29D5EA04EB7553F36EEAEE8D2" TargetMode="External"/><Relationship Id="rId124" Type="http://schemas.openxmlformats.org/officeDocument/2006/relationships/hyperlink" Target="https://artechnologie13.sharepoint.com/sites/Bureaud'tudeAR-TECHNOLOGIE/DOSSIER%20POI/Forms/AllItems.aspx?id=%2Fsites%2FBureaud%27tudeAR%2DTECHNOLOGIE%2FDOSSIER%20POI%2FSPI%2040%2D64%2FIMI%2DVA%2D40123%2D01L0%2D1%2FDT&amp;viewid=ba243776%2Df837%2D4ace%2D8ee9%2D939a5753cc77&amp;csf=1&amp;web=1&amp;e=kRZwD3&amp;CID=f07de698%2D2993%2D4d3f%2D9896%2D132e804c0629&amp;FolderCTID=0x0120001BD1B7A29D5EA04EB7553F36EEAEE8D2" TargetMode="External"/><Relationship Id="rId70" Type="http://schemas.openxmlformats.org/officeDocument/2006/relationships/hyperlink" Target="https://artechnologie13.sharepoint.com/sites/Bureaud'tudeAR-TECHNOLOGIE/DOSSIER%20POI/Forms/AllItems.aspx?id=%2Fsites%2FBureaud%27tudeAR%2DTECHNOLOGIE%2FDOSSIER%20POI%2FMDM%2DDAX%2FIMI%2DVA%2D40088%200B6T%2D1%2FDT&amp;sortField=Modified&amp;isAscending=false&amp;viewid=ba243776%2Df837%2D4ace%2D8ee9%2D939a5753cc77&amp;newTargetListUrl=%2Fsites%2FBureaud%27tudeAR%2DTECHNOLOGIE%2FDOSSIER%20POI&amp;viewpath=%2Fsites%2FBureaud%27tudeAR%2DTECHNOLOGIE%2FDOSSIER%20POI%2FForms%2FAllItems%2Easpx" TargetMode="External"/><Relationship Id="rId166" Type="http://schemas.openxmlformats.org/officeDocument/2006/relationships/hyperlink" Target="https://artechnologie13.sharepoint.com/sites/Bureaud'tudeAR-TECHNOLOGIE/DOSSIER%20POI/Forms/AllItems.aspx?id=%2Fsites%2FBureaud%27tudeAR%2DTECHNOLOGIE%2FDOSSIER%20POI%2FMEN%2FMEN300841%2FDT&amp;viewid=ba243776%2Df837%2D4ace%2D8ee9%2D939a5753cc77&amp;csf=1&amp;web=1&amp;e=X3gll6&amp;CID=57369dbf%2Da73d%2D400d%2D9de5%2Dbc8d17d801ec&amp;FolderCTID=0x0120001BD1B7A29D5EA04EB7553F36EEAEE8D2" TargetMode="External"/><Relationship Id="rId331" Type="http://schemas.openxmlformats.org/officeDocument/2006/relationships/hyperlink" Target="https://artechnologie13.sharepoint.com/sites/Bureaud'tudeAR-TECHNOLOGIE/DOSSIER%20POI/Forms/AllItems.aspx?id=%2Fsites%2FBureaud%27tudeAR%2DTECHNOLOGIE%2FDOSSIER%20POI%2FMDM%2DDAX%2FARC500728%2FDT&amp;viewid=ba243776%2Df837%2D4ace%2D8ee9%2D939a5753cc77&amp;csf=1&amp;web=1&amp;e=98Hg4j&amp;CID=329fc542%2D0cb9%2D4966%2Da85e%2D72853ef79d09&amp;FolderCTID=0x0120001BD1B7A29D5EA04EB7553F36EEAEE8D2" TargetMode="External"/><Relationship Id="rId373" Type="http://schemas.openxmlformats.org/officeDocument/2006/relationships/hyperlink" Target="https://artechnologie13.sharepoint.com/sites/Bureaud'tudeAR-TECHNOLOGIE/DOSSIER%20POI/Forms/AllItems.aspx?id=%2Fsites%2FBureaud%27tudeAR%2DTECHNOLOGIE%2FDOSSIER%20POI%2FQPR%20%2D%20CRO%2FQPR502001%2FDT&amp;sortField=Modified&amp;isAscending=false&amp;viewid=ba243776%2Df837%2D4ace%2D8ee9%2D939a5753cc77" TargetMode="External"/><Relationship Id="rId429" Type="http://schemas.openxmlformats.org/officeDocument/2006/relationships/hyperlink" Target="https://artechnologie13.sharepoint.com/sites/Bureaud'tudeAR-TECHNOLOGIE/DOSSIER%20POI/Forms/AllItems.aspx?id=%2Fsites%2FBureaud%27tudeAR%2DTECHNOLOGIE%2FDOSSIER%20POI%2FMDM%2DDAX%2FARC500847%2Fdt&amp;sortField=Modified&amp;isAscending=false&amp;viewid=ba243776%2Df837%2D4ace%2D8ee9%2D939a5753cc77" TargetMode="External"/><Relationship Id="rId1" Type="http://schemas.openxmlformats.org/officeDocument/2006/relationships/hyperlink" Target="https://artechnologie13.sharepoint.com/sites/Bureaud'tudeAR-TECHNOLOGIE/DOSSIER%20POI/Forms/AllItems.aspx?id=%2Fsites%2FBureaud%27tudeAR%2DTECHNOLOGIE%2FDOSSIER%20POI%2FBAY%2FIMI%2DVA%2D64125%2002AH%2D1%2FDT&amp;viewid=ba243776%2Df837%2D4ace%2D8ee9%2D939a5753cc77&amp;FolderCTID=0x0120001BD1B7A29D5EA04EB7553F36EEAEE8D2" TargetMode="External"/><Relationship Id="rId233" Type="http://schemas.openxmlformats.org/officeDocument/2006/relationships/hyperlink" Target="https://artechnologie13.sharepoint.com/sites/Bureaud'tudeAR-TECHNOLOGIE/DOSSIER%20POI/Forms/AllItems.aspx?id=%2Fsites%2FBureaud%27tudeAR%2DTECHNOLOGIE%2FDOSSIER%20POI%2FQPR%20%2D%20CRO%2FLOR501073%2FDT&amp;sortField=Modified&amp;isAscending=false&amp;viewid=ba243776%2Df837%2D4ace%2D8ee9%2D939a5753cc77&amp;csf=1&amp;web=1&amp;e=owQXVh&amp;CID=c5b168e7%2D67df%2D41af%2Db0d7%2D508a6306f4cd&amp;FolderCTID=0x0120001BD1B7A29D5EA04EB7553F36EEAEE8D2" TargetMode="External"/><Relationship Id="rId440" Type="http://schemas.openxmlformats.org/officeDocument/2006/relationships/hyperlink" Target="https://artechnologie13.sharepoint.com/sites/Bureaud%27tudeAR-TECHNOLOGIE/DOSSIER%20POI/Forms/AllItems.aspx?id=%2Fsites%2FBureaud%27tudeAR%2DTECHNOLOGIE%2FDOSSIER%20POI%2FMDM%2DDAX%2FARC600025%2FDT&amp;sortField=Modified&amp;isAscending=false&amp;viewid=ba243776%2Df837%2D4ace%2D8ee9%2D939a5753cc77&amp;csf=1&amp;CID=c5b168e7%2D67df%2D41af%2Db0d7%2D508a6306f4cd&amp;FolderCTID=0x0120001BD1B7A29D5EA04EB7553F36EEAEE8D2" TargetMode="External"/><Relationship Id="rId28" Type="http://schemas.openxmlformats.org/officeDocument/2006/relationships/hyperlink" Target="https://artechnologie13.sharepoint.com/sites/Bureaud'tudeAR-TECHNOLOGIE/DOSSIER%20POI/Forms/AllItems.aspx?id=%2Fsites%2FBureaud%27tudeAR%2DTECHNOLOGIE%2FDOSSIER%20POI%2FMEN%2FMEN500190%2FDT&amp;viewid=ba243776%2Df837%2D4ace%2D8ee9%2D939a5753cc77" TargetMode="External"/><Relationship Id="rId275" Type="http://schemas.openxmlformats.org/officeDocument/2006/relationships/hyperlink" Target="https://artechnologie13.sharepoint.com/sites/Bureaud'tudeAR-TECHNOLOGIE/DOSSIER%20POI/Forms/AllItems.aspx?id=%2Fsites%2FBureaud%27tudeAR%2DTECHNOLOGIE%2FDOSSIER%20POI%2FROD%2FROD501498%2FDT&amp;viewid=ba243776%2Df837%2D4ace%2D8ee9%2D939a5753cc77&amp;FolderCTID=0x0120001BD1B7A29D5EA04EB7553F36EEAEE8D2" TargetMode="External"/><Relationship Id="rId300" Type="http://schemas.openxmlformats.org/officeDocument/2006/relationships/hyperlink" Target="https://artechnologie13.sharepoint.com/sites/Bureaud%27tudeAR-TECHNOLOGIE/DOSSIER%20POI/Forms/AllItems.aspx?id=%2Fsites%2FBureaud%27tudeAR%2DTECHNOLOGIE%2FDOSSIER%20POI%2FROD%2FROD402014%2FDT&amp;sortField=Modified&amp;isAscending=false&amp;viewid=ba243776%2Df837%2D4ace%2D8ee9%2D939a5753cc77&amp;FolderCTID=0x0120001BD1B7A29D5EA04EB7553F36EEAEE8D2" TargetMode="External"/><Relationship Id="rId482" Type="http://schemas.openxmlformats.org/officeDocument/2006/relationships/hyperlink" Target="https://artechnologie13.sharepoint.com/sites/Bureaud%27tudeAR-TECHNOLOGIE/DOSSIER%20POI/Forms/AllItems.aspx?id=%2Fsites%2FBureaud%27tudeAR%2DTECHNOLOGIE%2FDOSSIER%20POI%2FMDM%2DDAX%2FIMI%2DVA%2D40114%2D017F%2FDT&amp;sortField=Modified&amp;isAscending=false&amp;viewid=ba243776%2Df837%2D4ace%2D8ee9%2D939a5753cc77&amp;p=true" TargetMode="External"/><Relationship Id="rId81" Type="http://schemas.openxmlformats.org/officeDocument/2006/relationships/hyperlink" Target="https://artechnologie13.sharepoint.com/sites/Bureaud'tudeAR-TECHNOLOGIE/DOSSIER%20POI/Forms/AllItems.aspx?id=%2Fsites%2FBureaud%27tudeAR%2DTECHNOLOGIE%2FDOSSIER%20POI%2FQPR%20%2D%20CRO%2FQPR501049%2FDT&amp;viewid=ba243776%2Df837%2D4ace%2D8ee9%2D939a5753cc77&amp;FolderCTID=0x0120001BD1B7A29D5EA04EB7553F36EEAEE8D2" TargetMode="External"/><Relationship Id="rId135" Type="http://schemas.openxmlformats.org/officeDocument/2006/relationships/hyperlink" Target="https://artechnologie13.sharepoint.com/sites/Bureaud'tudeAR-TECHNOLOGIE/DOSSIER%20POI/Forms/AllItems.aspx?id=%2Fsites%2FBureaud%27tudeAR%2DTECHNOLOGIE%2FDOSSIER%20POI%2FQPR%20%2D%20CRO%2FRRE501518%2FDT&amp;viewid=ba243776%2Df837%2D4ace%2D8ee9%2D939a5753cc77&amp;FolderCTID=0x0120001BD1B7A29D5EA04EB7553F36EEAEE8D2" TargetMode="External"/><Relationship Id="rId177" Type="http://schemas.openxmlformats.org/officeDocument/2006/relationships/hyperlink" Target="https://artechnologie13.sharepoint.com/sites/Bureaud'tudeAR-TECHNOLOGIE/DOSSIER%20POI/Forms/AllItems.aspx?id=%2Fsites%2FBureaud%27tudeAR%2DTECHNOLOGIE%2FDOSSIER%20POI%2FROD%2FROD402079%2FDT&amp;viewid=ba243776%2Df837%2D4ace%2D8ee9%2D939a5753cc77&amp;FolderCTID=0x0120001BD1B7A29D5EA04EB7553F36EEAEE8D2" TargetMode="External"/><Relationship Id="rId342" Type="http://schemas.openxmlformats.org/officeDocument/2006/relationships/hyperlink" Target="https://artechnologie13.sharepoint.com/sites/Bureaud'tudeAR-TECHNOLOGIE/DOSSIER%20POI/Forms/AllItems.aspx?id=%2Fsites%2FBureaud%27tudeAR%2DTECHNOLOGIE%2FDOSSIER%20POI%2FQPR%20%2D%20CRO%2FQPR501919%2FDT&amp;sortField=Modified&amp;isAscending=false&amp;viewid=ba243776%2Df837%2D4ace%2D8ee9%2D939a5753cc77&amp;csf=1&amp;web=1&amp;e=Hzs091&amp;CID=04134872%2Df162%2D4f8b%2Dab49%2D5cbfb7288b16&amp;FolderCTID=0x0120001BD1B7A29D5EA04EB7553F36EEAEE8D2" TargetMode="External"/><Relationship Id="rId384" Type="http://schemas.openxmlformats.org/officeDocument/2006/relationships/hyperlink" Target="https://artechnologie13.sharepoint.com/sites/Bureaud'tudeAR-TECHNOLOGIE/DOSSIER%20POI/Forms/AllItems.aspx?id=%2Fsites%2FBureaud%27tudeAR%2DTECHNOLOGIE%2FDOSSIER%20POI%2FMDM%2DDAX%2FARC500862%2FDT&amp;viewid=ba243776%2Df837%2D4ace%2D8ee9%2D939a5753cc77&amp;FolderCTID=0x0120001BD1B7A29D5EA04EB7553F36EEAEE8D2" TargetMode="External"/><Relationship Id="rId202" Type="http://schemas.openxmlformats.org/officeDocument/2006/relationships/hyperlink" Target="https://artechnologie13.sharepoint.com/sites/Bureaud'tudeAR-TECHNOLOGIE/DOSSIER%20POI/Forms/AllItems.aspx?id=%2Fsites%2FBureaud%27tudeAR%2DTECHNOLOGIE%2FDOSSIER%20POI%2FROD%2FROD400681%2FDT&amp;viewid=ba243776%2Df837%2D4ace%2D8ee9%2D939a5753cc77&amp;FolderCTID=0x0120001BD1B7A29D5EA04EB7553F36EEAEE8D2" TargetMode="External"/><Relationship Id="rId244" Type="http://schemas.openxmlformats.org/officeDocument/2006/relationships/hyperlink" Target="https://artechnologie13.sharepoint.com/sites/Bureaud'tudeAR-TECHNOLOGIE/DOSSIER%20POI/Forms/AllItems.aspx?id=%2Fsites%2FBureaud%27tudeAR%2DTECHNOLOGIE%2FDOSSIER%20POI%2FMDM%2DDAX%2FMDM500500%2FDT&amp;viewid=ba243776%2Df837%2D4ace%2D8ee9%2D939a5753cc77" TargetMode="External"/><Relationship Id="rId39" Type="http://schemas.openxmlformats.org/officeDocument/2006/relationships/hyperlink" Target="https://artechnologie13.sharepoint.com/sites/Bureaud'tudeAR-TECHNOLOGIE/DOSSIER%20POI/Forms/AllItems.aspx?id=%2Fsites%2FBureaud%27tudeAR%2DTECHNOLOGIE%2FDOSSIER%20POI%2FQPR%20%2D%20CRO%2FQPR500797%2FDT&amp;viewid=ba243776%2Df837%2D4ace%2D8ee9%2D939a5753cc77&amp;FolderCTID=0x0120001BD1B7A29D5EA04EB7553F36EEAEE8D2" TargetMode="External"/><Relationship Id="rId286" Type="http://schemas.openxmlformats.org/officeDocument/2006/relationships/hyperlink" Target="https://artechnologie13.sharepoint.com/sites/Bureaud'tudeAR-TECHNOLOGIE/DOSSIER%20POI/Forms/AllItems.aspx?FolderCTID=0x0120001BD1B7A29D5EA04EB7553F36EEAEE8D2&amp;id=%2Fsites%2FBureaud%27tudeAR%2DTECHNOLOGIE%2FDOSSIER%20POI%2FQPR%20%2D%20CRO%2FQPR501501" TargetMode="External"/><Relationship Id="rId451" Type="http://schemas.openxmlformats.org/officeDocument/2006/relationships/hyperlink" Target="https://artechnologie13.sharepoint.com/sites/Bureaud'tudeAR-TECHNOLOGIE/DOSSIER%20POI/Forms/AllItems.aspx?id=%2Fsites%2FBureaud%27tudeAR%2DTECHNOLOGIE%2FDOSSIER%20POI%2FROD%2FROD501953%2FDT&amp;sortField=Modified&amp;isAscending=false&amp;viewid=ba243776%2Df837%2D4ace%2D8ee9%2D939a5753cc77" TargetMode="External"/><Relationship Id="rId493" Type="http://schemas.openxmlformats.org/officeDocument/2006/relationships/hyperlink" Target="https://artechnologie13.sharepoint.com/sites/Bureaud%27tudeAR-TECHNOLOGIE/DOSSIER%20POI/Forms/AllItems.aspx?id=%2Fsites%2FBureaud%27tudeAR%2DTECHNOLOGIE%2FDOSSIER%20POI%2FQPR%20%2D%20CRO%2FQPR600199%2FDT&amp;sortField=Modified&amp;isAscending=false&amp;viewid=ba243776%2Df837%2D4ace%2D8ee9%2D939a5753cc77&amp;FolderCTID=0x0120001BD1B7A29D5EA04EB7553F36EEAEE8D2" TargetMode="External"/><Relationship Id="rId507" Type="http://schemas.openxmlformats.org/officeDocument/2006/relationships/hyperlink" Target="https://artechnologie13.sharepoint.com/sites/Bureaud'tudeAR-TECHNOLOGIE/DOSSIER%20POI/Forms/AllItems.aspx?id=%2Fsites%2FBureaud%27tudeAR%2DTECHNOLOGIE%2FDOSSIER%20POI%2FROD%2FROD600281%2FDT&amp;sortField=Modified&amp;isAscending=false&amp;viewid=ba243776%2Df837%2D4ace%2D8ee9%2D939a5753cc77" TargetMode="External"/><Relationship Id="rId50" Type="http://schemas.openxmlformats.org/officeDocument/2006/relationships/hyperlink" Target="https://artechnologie13.sharepoint.com/sites/Bureaud'tudeAR-TECHNOLOGIE/DOSSIER%20POI/Forms/AllItems.aspx?id=%2Fsites%2FBureaud%27tudeAR%2DTECHNOLOGIE%2FDOSSIER%20POI%2FBAY%2FIMI%2DVA%2D640240%2D4RO%2D2%2FDT&amp;viewid=ba243776%2Df837%2D4ace%2D8ee9%2D939a5753cc77" TargetMode="External"/><Relationship Id="rId104" Type="http://schemas.openxmlformats.org/officeDocument/2006/relationships/hyperlink" Target="https://artechnologie13.sharepoint.com/sites/Bureaud'tudeAR-TECHNOLOGIE/DOSSIER%20POI/Forms/AllItems.aspx?id=%2Fsites%2FBureaud%27tudeAR%2DTECHNOLOGIE%2FDOSSIER%20POI%2FQPR%20%2D%20CRO%2FQPR500963%2FDT&amp;viewid=ba243776%2Df837%2D4ace%2D8ee9%2D939a5753cc77&amp;FolderCTID=0x0120001BD1B7A29D5EA04EB7553F36EEAEE8D2" TargetMode="External"/><Relationship Id="rId146" Type="http://schemas.openxmlformats.org/officeDocument/2006/relationships/hyperlink" Target="https://artechnologie13.sharepoint.com/sites/Bureaud'tudeAR-TECHNOLOGIE/DOSSIER%20POI/Forms/AllItems.aspx?id=%2Fsites%2FBureaud%27tudeAR%2DTECHNOLOGIE%2FDOSSIER%20POI%2FQPR%20%2D%20CRO%2FQPR501010%2FDT&amp;sortField=Modified&amp;isAscending=false&amp;viewid=ba243776%2Df837%2D4ace%2D8ee9%2D939a5753cc77&amp;csf=1&amp;web=1&amp;e=owQXVh&amp;CID=c5b168e7%2D67df%2D41af%2Db0d7%2D508a6306f4cd&amp;FolderCTID=0x0120001BD1B7A29D5EA04EB7553F36EEAEE8D2" TargetMode="External"/><Relationship Id="rId188" Type="http://schemas.openxmlformats.org/officeDocument/2006/relationships/hyperlink" Target="https://artechnologie13.sharepoint.com/sites/Bureaud'tudeAR-TECHNOLOGIE/DOSSIER%20POI/Forms/AllItems.aspx?id=%2Fsites%2FBureaud%27tudeAR%2DTECHNOLOGIE%2FDOSSIER%20POI%2FROD%2FROD501323%2FDT&amp;viewid=ba243776%2Df837%2D4ace%2D8ee9%2D939a5753cc77&amp;csf=1&amp;web=1&amp;e=WbHq2F&amp;CID=0a693fa3%2D0ddf%2D44ae%2D8d70%2D17fd56147300&amp;FolderCTID=0x0120001BD1B7A29D5EA04EB7553F36EEAEE8D2" TargetMode="External"/><Relationship Id="rId311" Type="http://schemas.openxmlformats.org/officeDocument/2006/relationships/hyperlink" Target="https://artechnologie13.sharepoint.com/sites/Bureaud'tudeAR-TECHNOLOGIE/DOSSIER%20POI/Forms/AllItems.aspx?id=%2Fsites%2FBureaud%27tudeAR%2DTECHNOLOGIE%2FDOSSIER%20POI%2FROD%2FROD501705%2FDT&amp;viewid=ba243776%2Df837%2D4ace%2D8ee9%2D939a5753cc77" TargetMode="External"/><Relationship Id="rId353" Type="http://schemas.openxmlformats.org/officeDocument/2006/relationships/hyperlink" Target="https://artechnologie13.sharepoint.com/sites/Bureaud'tudeAR-TECHNOLOGIE/DOSSIER%20POI/Forms/AllItems.aspx?id=%2Fsites%2FBureaud%27tudeAR%2DTECHNOLOGIE%2FDOSSIER%20POI%2FSPI%2040%2D64%2FIMI%2DVA%2D40123%2D01KM%2D1%2FDT2&amp;viewid=ba243776%2Df837%2D4ace%2D8ee9%2D939a5753cc77&amp;FolderCTID=0x0120001BD1B7A29D5EA04EB7553F36EEAEE8D2" TargetMode="External"/><Relationship Id="rId395" Type="http://schemas.openxmlformats.org/officeDocument/2006/relationships/hyperlink" Target="https://artechnologie13.sharepoint.com/sites/Bureaud'tudeAR-TECHNOLOGIE/DOSSIER%20POI/Forms/AllItems.aspx?id=%2Fsites%2FBureaud%27tudeAR%2DTECHNOLOGIE%2FDOSSIER%20POI%2FQPR%20%2D%20CRO%2FQPR501965%2FDT&amp;sortField=Modified&amp;isAscending=false&amp;viewid=ba243776%2Df837%2D4ace%2D8ee9%2D939a5753cc77&amp;FolderCTID=0x0120001BD1B7A29D5EA04EB7553F36EEAEE8D2" TargetMode="External"/><Relationship Id="rId409" Type="http://schemas.openxmlformats.org/officeDocument/2006/relationships/hyperlink" Target="https://artechnologie13.sharepoint.com/sites/Bureaud'tudeAR-TECHNOLOGIE/DOSSIER%20POI/Forms/AllItems.aspx?id=%2Fsites%2FBureaud%27tudeAR%2DTECHNOLOGIE%2FDOSSIER%20POI%2FROD%2FROD501917%2FDT&amp;sortField=Modified&amp;isAscending=false&amp;viewid=ba243776%2Df837%2D4ace%2D8ee9%2D939a5753cc77" TargetMode="External"/><Relationship Id="rId92" Type="http://schemas.openxmlformats.org/officeDocument/2006/relationships/hyperlink" Target="https://artechnologie13.sharepoint.com/sites/Bureaud'tudeAR-TECHNOLOGIE/DOSSIER%20POI/Forms/AllItems.aspx?id=%2Fsites%2FBureaud%27tudeAR%2DTECHNOLOGIE%2FDOSSIER%20POI%2FBAY%2FIMI%2DVA%2D64102049N%2D2%2FDT&amp;viewid=ba243776%2Df837%2D4ace%2D8ee9%2D939a5753cc77&amp;FolderCTID=0x0120001BD1B7A29D5EA04EB7553F36EEAEE8D2" TargetMode="External"/><Relationship Id="rId213" Type="http://schemas.openxmlformats.org/officeDocument/2006/relationships/hyperlink" Target="https://artechnologie13.sharepoint.com/sites/Bureaud'tudeAR-TECHNOLOGIE/DOSSIER%20POI/Forms/AllItems.aspx?id=%2Fsites%2FBureaud%27tudeAR%2DTECHNOLOGIE%2FDOSSIER%20POI%2FQPR%20%2D%20CRO%2FQPR501235%2FDT&amp;sortField=Modified&amp;isAscending=false&amp;viewid=ba243776%2Df837%2D4ace%2D8ee9%2D939a5753cc77&amp;csf=1&amp;web=1&amp;e=owQXVh&amp;CID=c5b168e7%2D67df%2D41af%2Db0d7%2D508a6306f4cd&amp;FolderCTID=0x0120001BD1B7A29D5EA04EB7553F36EEAEE8D2" TargetMode="External"/><Relationship Id="rId420" Type="http://schemas.openxmlformats.org/officeDocument/2006/relationships/hyperlink" Target="https://artechnologie13.sharepoint.com/sites/Bureaud'tudeAR-TECHNOLOGIE/DOSSIER%20POI/Forms/AllItems.aspx?id=%2Fsites%2FBureaud%27tudeAR%2DTECHNOLOGIE%2FDOSSIER%20POI%2FMEN%2FMEN500658%2FDT&amp;sortField=Modified&amp;isAscending=false&amp;viewid=ba243776%2Df837%2D4ace%2D8ee9%2D939a5753cc77" TargetMode="External"/><Relationship Id="rId255" Type="http://schemas.openxmlformats.org/officeDocument/2006/relationships/hyperlink" Target="https://artechnologie13.sharepoint.com/sites/Bureaud'tudeAR-TECHNOLOGIE/DOSSIER%20POI/Forms/AllItems.aspx?id=%2Fsites%2FBureaud%27tudeAR%2DTECHNOLOGIE%2FDOSSIER%20POI%2FQPR%20%2D%20CRO%2FQPR402367%2FDT&amp;sortField=Modified&amp;isAscending=false&amp;viewid=ba243776%2Df837%2D4ace%2D8ee9%2D939a5753cc77&amp;csf=1&amp;web=1&amp;e=rpmcna&amp;CID=89330d6f%2D3a99%2D424b%2D8f70%2Dcdd687054232&amp;FolderCTID=0x0120001BD1B7A29D5EA04EB7553F36EEAEE8D2" TargetMode="External"/><Relationship Id="rId297" Type="http://schemas.openxmlformats.org/officeDocument/2006/relationships/hyperlink" Target="https://artechnologie13.sharepoint.com/sites/Bureaud'tudeAR-TECHNOLOGIE/DOSSIER%20POI/Forms/AllItems.aspx?id=%2Fsites%2FBureaud%27tudeAR%2DTECHNOLOGIE%2FDOSSIER%20POI%2FQPR%20%2D%20CRO%2FLOR500237%2FDT&amp;sortField=Modified&amp;isAscending=false&amp;viewid=ba243776%2Df837%2D4ace%2D8ee9%2D939a5753cc77&amp;csf=1&amp;web=1&amp;e=owQXVh&amp;CID=c5b168e7%2D67df%2D41af%2Db0d7%2D508a6306f4cd&amp;FolderCTID=0x0120001BD1B7A29D5EA04EB7553F36EEAEE8D2" TargetMode="External"/><Relationship Id="rId462" Type="http://schemas.openxmlformats.org/officeDocument/2006/relationships/hyperlink" Target="https://artechnologie13.sharepoint.com/sites/Bureaud%27tudeAR-TECHNOLOGIE/DOSSIER%20POI/Forms/AllItems.aspx?id=%2Fsites%2FBureaud%27tudeAR%2DTECHNOLOGIE%2FDOSSIER%20POI%2FMDM%2DDAX%2FIMI%2DVA%2D40320%2D004A%2D1%2FDT&amp;sortField=Modified&amp;isAscending=false&amp;viewid=ba243776%2Df837%2D4ace%2D8ee9%2D939a5753cc77&amp;p=true" TargetMode="External"/><Relationship Id="rId115" Type="http://schemas.openxmlformats.org/officeDocument/2006/relationships/hyperlink" Target="https://artechnologie13.sharepoint.com/sites/Bureaud'tudeAR-TECHNOLOGIE/DOSSIER%20POI/Forms/AllItems.aspx?id=%2Fsites%2FBureaud%27tudeAR%2DTECHNOLOGIE%2FDOSSIER%20POI%2FQPR%20%2D%20CRO%2FRRE501416%2FDT&amp;viewid=ba243776%2Df837%2D4ace%2D8ee9%2D939a5753cc77&amp;FolderCTID=0x0120001BD1B7A29D5EA04EB7553F36EEAEE8D2" TargetMode="External"/><Relationship Id="rId157" Type="http://schemas.openxmlformats.org/officeDocument/2006/relationships/hyperlink" Target="https://artechnologie13.sharepoint.com/sites/Bureaud%27tudeAR-TECHNOLOGIE/DOSSIER%20POI/Forms/AllItems.aspx?id=%2Fsites%2FBureaud%27tudeAR%2DTECHNOLOGIE%2FDOSSIER%20POI%2FMDM%2DDAX%2FMDM202158%2FDT&amp;viewid=ba243776%2Df837%2D4ace%2D8ee9%2D939a5753cc77" TargetMode="External"/><Relationship Id="rId322" Type="http://schemas.openxmlformats.org/officeDocument/2006/relationships/hyperlink" Target="https://artechnologie13.sharepoint.com/sites/Bureaud'tudeAR-TECHNOLOGIE/DOSSIER%20POI/Forms/AllItems.aspx?id=%2Fsites%2FBureaud%27tudeAR%2DTECHNOLOGIE%2FDOSSIER%20POI%2FROD%2FROD501767%2FDT&amp;sortField=Modified&amp;isAscending=false&amp;viewid=ba243776%2Df837%2D4ace%2D8ee9%2D939a5753cc77&amp;csf=1&amp;web=1&amp;e=gs979d&amp;CID=62f44cec%2D22a3%2D45af%2D97cb%2D96c2f484fdb6&amp;FolderCTID=0x0120001BD1B7A29D5EA04EB7553F36EEAEE8D2" TargetMode="External"/><Relationship Id="rId364" Type="http://schemas.openxmlformats.org/officeDocument/2006/relationships/hyperlink" Target="https://artechnologie13.sharepoint.com/sites/Bureaud'tudeAR-TECHNOLOGIE/DOSSIER%20POI/Forms/AllItems.aspx?id=%2Fsites%2FBureaud%27tudeAR%2DTECHNOLOGIE%2FDOSSIER%20POI%2FQPR%20%2D%20CRO%2FCRO500249%2FDT&amp;sortField=Modified&amp;isAscending=false&amp;viewid=ba243776%2Df837%2D4ace%2D8ee9%2D939a5753cc77" TargetMode="External"/><Relationship Id="rId61" Type="http://schemas.openxmlformats.org/officeDocument/2006/relationships/hyperlink" Target="https://artechnologie13.sharepoint.com/sites/Bureaud'tudeAR-TECHNOLOGIE/DOSSIER%20POI/Forms/AllItems.aspx?id=%2Fsites%2FBureaud%27tudeAR%2DTECHNOLOGIE%2FDOSSIER%20POI%2FQPR%20%2D%20CRO%2FCRO500018%2FDT&amp;sortField=Modified&amp;isAscending=false&amp;viewid=ba243776%2Df837%2D4ace%2D8ee9%2D939a5753cc77&amp;csf=1&amp;web=1&amp;e=rpmcna&amp;CID=89330d6f%2D3a99%2D424b%2D8f70%2Dcdd687054232&amp;FolderCTID=0x0120001BD1B7A29D5EA04EB7553F36EEAEE8D2" TargetMode="External"/><Relationship Id="rId199" Type="http://schemas.openxmlformats.org/officeDocument/2006/relationships/hyperlink" Target="https://artechnologie13.sharepoint.com/sites/Bureaud'tudeAR-TECHNOLOGIE/DOSSIER%20POI/Forms/AllItems.aspx?id=%2Fsites%2FBureaud%27tudeAR%2DTECHNOLOGIE%2FDOSSIER%20POI%2FROD%2FROD500990%2FDT&amp;sortField=Modified&amp;isAscending=false&amp;viewid=ba243776%2Df837%2D4ace%2D8ee9%2D939a5753cc77" TargetMode="External"/><Relationship Id="rId19" Type="http://schemas.openxmlformats.org/officeDocument/2006/relationships/hyperlink" Target="https://artechnologie13.sharepoint.com/sites/Bureaud'tudeAR-TECHNOLOGIE/DOSSIER%20POI/Forms/AllItems.aspx?id=%2Fsites%2FBureaud%27tudeAR%2DTECHNOLOGIE%2FDOSSIER%20POI%2FMDM%2DDAX%2FIMI%2DVA%2D40279%2015Q0%2D1&amp;viewid=ba243776%2Df837%2D4ace%2D8ee9%2D939a5753cc77&amp;FolderCTID=0x0120001BD1B7A29D5EA04EB7553F36EEAEE8D2" TargetMode="External"/><Relationship Id="rId224" Type="http://schemas.openxmlformats.org/officeDocument/2006/relationships/hyperlink" Target="https://artechnologie13.sharepoint.com/sites/Bureaud'tudeAR-TECHNOLOGIE/DOSSIER%20POI/Forms/AllItems.aspx?id=%2Fsites%2FBureaud%27tudeAR%2DTECHNOLOGIE%2FDOSSIER%20POI%2FQPR%20%2D%20CRO%2FVAN500875%2FDT&amp;viewid=ba243776%2Df837%2D4ace%2D8ee9%2D939a5753cc77&amp;csf=1&amp;web=1&amp;e=sHafPV&amp;CID=a8738e76%2D66ac%2D442e%2D9d78%2D581a3bc1987a&amp;FolderCTID=0x0120001BD1B7A29D5EA04EB7553F36EEAEE8D2" TargetMode="External"/><Relationship Id="rId266" Type="http://schemas.openxmlformats.org/officeDocument/2006/relationships/hyperlink" Target="https://artechnologie13.sharepoint.com/sites/Bureaud'tudeAR-TECHNOLOGIE/DOSSIER%20POI/Forms/AllItems.aspx?id=%2Fsites%2FBureaud%27tudeAR%2DTECHNOLOGIE%2FDOSSIER%20POI%2FROD%2FROD501535%2FDT&amp;viewid=ba243776%2Df837%2D4ace%2D8ee9%2D939a5753cc77&amp;csf=1&amp;web=1&amp;e=1TEbm0&amp;CID=bcdc8a4b%2D9964%2D4eb4%2Dafbd%2Df48b6cc950a6&amp;FolderCTID=0x0120001BD1B7A29D5EA04EB7553F36EEAEE8D2" TargetMode="External"/><Relationship Id="rId431" Type="http://schemas.openxmlformats.org/officeDocument/2006/relationships/hyperlink" Target="https://artechnologie13.sharepoint.com/sites/Bureaud'tudeAR-TECHNOLOGIE/DOSSIER%20POI/Forms/AllItems.aspx?id=%2Fsites%2FBureaud%27tudeAR%2DTECHNOLOGIE%2FDOSSIER%20POI%2FROD%2FROD600027%2FDT&amp;sortField=Modified&amp;isAscending=false&amp;viewid=ba243776%2Df837%2D4ace%2D8ee9%2D939a5753cc77" TargetMode="External"/><Relationship Id="rId473" Type="http://schemas.openxmlformats.org/officeDocument/2006/relationships/hyperlink" Target="https://artechnologie13.sharepoint.com/sites/Bureaud%27tudeAR-TECHNOLOGIE/DOSSIER%20POI/Forms/AllItems.aspx?id=%2Fsites%2FBureaud%27tudeAR%2DTECHNOLOGIE%2FDOSSIER%20POI%2FMDM%2DDAX%2FARC600065%2FDT&amp;sortField=Modified&amp;isAscending=false&amp;viewid=ba243776%2Df837%2D4ace%2D8ee9%2D939a5753cc77&amp;csf=1&amp;CID=c5b168e7%2D67df%2D41af%2Db0d7%2D508a6306f4cd&amp;FolderCTID=0x0120001BD1B7A29D5EA04EB7553F36EEAEE8D2" TargetMode="External"/><Relationship Id="rId30" Type="http://schemas.openxmlformats.org/officeDocument/2006/relationships/hyperlink" Target="https://artechnologie13.sharepoint.com/sites/Bureaud'tudeAR-TECHNOLOGIE/DOSSIER%20POI/Forms/AllItems.aspx?id=%2Fsites%2FBureaud%27tudeAR%2DTECHNOLOGIE%2FDOSSIER%20POI%2FSPI%2040%2D64%2FIMI%2DVA%2D640240881%2D1%2FDT&amp;viewid=ba243776%2Df837%2D4ace%2D8ee9%2D939a5753cc77&amp;view=0" TargetMode="External"/><Relationship Id="rId126" Type="http://schemas.openxmlformats.org/officeDocument/2006/relationships/hyperlink" Target="https://artechnologie13.sharepoint.com/sites/Bureaud'tudeAR-TECHNOLOGIE/DOSSIER%20POI/Forms/AllItems.aspx?id=%2Fsites%2FBureaud%27tudeAR%2DTECHNOLOGIE%2FDOSSIER%20POI%2FPAU%2FPAU400195%2FDT&amp;viewid=ba243776%2Df837%2D4ace%2D8ee9%2D939a5753cc77&amp;FolderCTID=0x0120001BD1B7A29D5EA04EB7553F36EEAEE8D2" TargetMode="External"/><Relationship Id="rId168" Type="http://schemas.openxmlformats.org/officeDocument/2006/relationships/hyperlink" Target="https://artechnologie13.sharepoint.com/sites/Bureaud'tudeAR-TECHNOLOGIE/DOSSIER%20POI/Forms/AllItems.aspx?id=%2Fsites%2FBureaud%27tudeAR%2DTECHNOLOGIE%2FDOSSIER%20POI%2FMEN%2FMEN500221%2FDT&amp;viewid=ba243776%2Df837%2D4ace%2D8ee9%2D939a5753cc77&amp;csf=1&amp;web=1&amp;e=rvvt3Y&amp;CID=2652dc0b%2Dec84%2D4f04%2D98a6%2De72fca3e5e45&amp;FolderCTID=0x0120001BD1B7A29D5EA04EB7553F36EEAEE8D2" TargetMode="External"/><Relationship Id="rId333" Type="http://schemas.openxmlformats.org/officeDocument/2006/relationships/hyperlink" Target="https://artechnologie13.sharepoint.com/sites/Bureaud'tudeAR-TECHNOLOGIE/DOSSIER%20POI/Forms/AllItems.aspx?id=%2Fsites%2FBureaud%27tudeAR%2DTECHNOLOGIE%2FDOSSIER%20POI%2FPAU%2FPAU400195%2FDT2&amp;viewid=ba243776%2Df837%2D4ace%2D8ee9%2D939a5753cc77&amp;csf=1&amp;web=1&amp;e=mJbmwF&amp;CID=2b943652%2D08d8%2D4db4%2D8c2a%2D35370032cf01&amp;FolderCTID=0x0120001BD1B7A29D5EA04EB7553F36EEAEE8D2" TargetMode="External"/><Relationship Id="rId72" Type="http://schemas.openxmlformats.org/officeDocument/2006/relationships/hyperlink" Target="https://artechnologie13.sharepoint.com/sites/Bureaud'tudeAR-TECHNOLOGIE/DOSSIER%20POI/Forms/AllItems.aspx?id=%2Fsites%2FBureaud%27tudeAR%2DTECHNOLOGIE%2FDOSSIER%20POI%2FQPR%20%2D%20CRO%2FQPR500419%2FDT&amp;viewid=ba243776%2Df837%2D4ace%2D8ee9%2D939a5753cc77&amp;csf=1&amp;web=1&amp;e=1C38d8&amp;CID=3e3b8932%2D5af9%2D44f9%2Db181%2D1a014a87505d&amp;FolderCTID=0x0120001BD1B7A29D5EA04EB7553F36EEAEE8D2" TargetMode="External"/><Relationship Id="rId375" Type="http://schemas.openxmlformats.org/officeDocument/2006/relationships/hyperlink" Target="https://artechnologie13.sharepoint.com/sites/Bureaud'tudeAR-TECHNOLOGIE/DOSSIER%20POI/Forms/AllItems.aspx?FolderCTID=0x0120001BD1B7A29D5EA04EB7553F36EEAEE8D2&amp;id=%2Fsites%2FBureaud%27tudeAR%2DTECHNOLOGIE%2FDOSSIER%20POI%2FQPR%20%2D%20CRO%2FQPR502002%2FDT" TargetMode="External"/><Relationship Id="rId3" Type="http://schemas.openxmlformats.org/officeDocument/2006/relationships/hyperlink" Target="https://artechnologie13.sharepoint.com/sites/Bureaud'tudeAR-TECHNOLOGIE/DOSSIER%20POI/Forms/AllItems.aspx?id=%2Fsites%2FBureaud%27tudeAR%2DTECHNOLOGIE%2FDOSSIER%20POI%2FSPI%2040%2D64%2FIMI%2DVA%2D64125%2D01NO%2D1%2FDT&amp;viewid=ba243776%2Df837%2D4ace%2D8ee9%2D939a5753cc77&amp;csf=1&amp;web=1&amp;e=fonasw&amp;CID=20887e4a%2Dbd7c%2D49f1%2Daa12%2D784ca6ce9ac7&amp;FolderCTID=0x0120001BD1B7A29D5EA04EB7553F36EEAEE8D2" TargetMode="External"/><Relationship Id="rId235" Type="http://schemas.openxmlformats.org/officeDocument/2006/relationships/hyperlink" Target="https://artechnologie13.sharepoint.com/sites/Bureaud'tudeAR-TECHNOLOGIE/DOSSIER%20POI/Forms/AllItems.aspx?id=%2Fsites%2FBureaud%27tudeAR%2DTECHNOLOGIE%2FDOSSIER%20POI%2FMDM%2DDAX%2FMDM400279%2FDT&amp;viewid=ba243776%2Df837%2D4ace%2D8ee9%2D939a5753cc77&amp;FolderCTID=0x0120001BD1B7A29D5EA04EB7553F36EEAEE8D2" TargetMode="External"/><Relationship Id="rId277" Type="http://schemas.openxmlformats.org/officeDocument/2006/relationships/hyperlink" Target="https://artechnologie13.sharepoint.com/sites/Bureaud'tudeAR-TECHNOLOGIE/DOSSIER%20POI/Forms/AllItems.aspx?id=%2Fsites%2FBureaud%27tudeAR%2DTECHNOLOGIE%2FDOSSIER%20POI%2FROD%2FROD501593%2FDT&amp;viewid=ba243776%2Df837%2D4ace%2D8ee9%2D939a5753cc77&amp;FolderCTID=0x0120001BD1B7A29D5EA04EB7553F36EEAEE8D2" TargetMode="External"/><Relationship Id="rId400" Type="http://schemas.openxmlformats.org/officeDocument/2006/relationships/hyperlink" Target="https://artechnologie13.sharepoint.com/sites/Bureaud%27tudeAR-TECHNOLOGIE/DOSSIER%20POI/Forms/AllItems.aspx?id=%2Fsites%2FBureaud%27tudeAR%2DTECHNOLOGIE%2FDOSSIER%20POI%2FQPR%20%2D%20CRO%2FQPR502092%2FDT&amp;viewid=ba243776%2Df837%2D4ace%2D8ee9%2D939a5753cc77" TargetMode="External"/><Relationship Id="rId442" Type="http://schemas.openxmlformats.org/officeDocument/2006/relationships/hyperlink" Target="https://artechnologie13.sharepoint.com/sites/Bureaud'tudeAR-TECHNOLOGIE/DOSSIER%20POI/Forms/AllItems.aspx?id=%2Fsites%2FBureaud%27tudeAR%2DTECHNOLOGIE%2FDOSSIER%20POI%2FROD%2FROD600112%2FDT&amp;sortField=Modified&amp;isAscending=false&amp;viewid=ba243776%2Df837%2D4ace%2D8ee9%2D939a5753cc77&amp;csf=1&amp;CID=028de158%2Dd4dc%2D48b6%2D89c4%2Ddb1f4163a833&amp;FolderCTID=0x0120001BD1B7A29D5EA04EB7553F36EEAEE8D2" TargetMode="External"/><Relationship Id="rId484" Type="http://schemas.openxmlformats.org/officeDocument/2006/relationships/hyperlink" Target="https://artechnologie13.sharepoint.com/sites/Bureaud%27tudeAR-TECHNOLOGIE/DOSSIER%20POI/Forms/AllItems.aspx?id=%2Fsites%2FBureaud%27tudeAR%2DTECHNOLOGIE%2FDOSSIER%20POI%2FMDM%2DDAX%2FARC600091%2FDT&amp;sortField=Modified&amp;isAscending=false&amp;viewid=ba243776%2Df837%2D4ace%2D8ee9%2D939a5753cc77&amp;csf=1&amp;CID=c5b168e7%2D67df%2D41af%2Db0d7%2D508a6306f4cd&amp;FolderCTID=0x0120001BD1B7A29D5EA04EB7553F36EEAEE8D2" TargetMode="External"/><Relationship Id="rId137" Type="http://schemas.openxmlformats.org/officeDocument/2006/relationships/hyperlink" Target="https://artechnologie13.sharepoint.com/sites/Bureaud'tudeAR-TECHNOLOGIE/DOSSIER%20POI/Forms/AllItems.aspx?id=%2Fsites%2FBureaud%27tudeAR%2DTECHNOLOGIE%2FDOSSIER%20POI%2FROD%2FROD501190%2FDT&amp;viewid=ba243776%2Df837%2D4ace%2D8ee9%2D939a5753cc77&amp;FolderCTID=0x0120001BD1B7A29D5EA04EB7553F36EEAEE8D2" TargetMode="External"/><Relationship Id="rId302" Type="http://schemas.openxmlformats.org/officeDocument/2006/relationships/hyperlink" Target="https://artechnologie13.sharepoint.com/sites/Bureaud'tudeAR-TECHNOLOGIE/DOSSIER%20POI/Forms/AllItems.aspx?id=%2Fsites%2FBureaud%27tudeAR%2DTECHNOLOGIE%2FDOSSIER%20POI%2FMDM%2DDAX%2FIMI%2DVA%2D40123%2001KZ%2D1%2FDT2&amp;viewid=ba243776%2Df837%2D4ace%2D8ee9%2D939a5753cc77&amp;FolderCTID=0x0120001BD1B7A29D5EA04EB7553F36EEAEE8D2" TargetMode="External"/><Relationship Id="rId344" Type="http://schemas.openxmlformats.org/officeDocument/2006/relationships/hyperlink" Target="https://artechnologie13.sharepoint.com/sites/Bureaud'tudeAR-TECHNOLOGIE/DOSSIER%20POI/Forms/AllItems.aspx?id=%2Fsites%2FBureaud%27tudeAR%2DTECHNOLOGIE%2FDOSSIER%20POI%2FROD%2FROD501808%2FROD501808%2FDT&amp;sortField=Modified&amp;isAscending=false&amp;viewid=ba243776%2Df837%2D4ace%2D8ee9%2D939a5753cc77&amp;csf=1&amp;web=1&amp;e=gs979d&amp;CID=62f44cec%2D22a3%2D45af%2D97cb%2D96c2f484fdb6&amp;FolderCTID=0x0120001BD1B7A29D5EA04EB7553F36EEAEE8D2" TargetMode="External"/><Relationship Id="rId41" Type="http://schemas.openxmlformats.org/officeDocument/2006/relationships/hyperlink" Target="https://artechnologie13.sharepoint.com/sites/Bureaud'tudeAR-TECHNOLOGIE/DOSSIER%20POI/Forms/AllItems.aspx?id=%2Fsites%2FBureaud%27tudeAR%2DTECHNOLOGIE%2FDOSSIER%20POI%2FMEN%2FMEN500104%2FDT&amp;viewid=ba243776%2Df837%2D4ace%2D8ee9%2D939a5753cc77&amp;FolderCTID=0x0120001BD1B7A29D5EA04EB7553F36EEAEE8D2" TargetMode="External"/><Relationship Id="rId83" Type="http://schemas.openxmlformats.org/officeDocument/2006/relationships/hyperlink" Target="https://artechnologie13.sharepoint.com/sites/Bureaud'tudeAR-TECHNOLOGIE/DOSSIER%20POI/Forms/AllItems.aspx?id=%2Fsites%2FBureaud%27tudeAR%2DTECHNOLOGIE%2FDOSSIER%20POI%2FROD%2FROD500992%2FDT&amp;viewid=ba243776%2Df837%2D4ace%2D8ee9%2D939a5753cc77&amp;csf=1&amp;web=1&amp;e=shfALf&amp;CID=b7f1076e%2D3bac%2D420b%2Db5c0%2D476da3d57646&amp;FolderCTID=0x0120001BD1B7A29D5EA04EB7553F36EEAEE8D2" TargetMode="External"/><Relationship Id="rId179" Type="http://schemas.openxmlformats.org/officeDocument/2006/relationships/hyperlink" Target="https://artechnologie13.sharepoint.com/sites/Bureaud'tudeAR-TECHNOLOGIE/DOSSIER%20POI/Forms/AllItems.aspx?id=%2Fsites%2FBureaud%27tudeAR%2DTECHNOLOGIE%2FDOSSIER%20POI%2FROD%2FROD500610%2FDT&amp;viewid=ba243776%2Df837%2D4ace%2D8ee9%2D939a5753cc77&amp;csf=1&amp;web=1&amp;e=YqRygV&amp;CID=fc6f1f6e%2Db8fc%2D4797%2D8a74%2D570045c8c174&amp;FolderCTID=0x0120001BD1B7A29D5EA04EB7553F36EEAEE8D2" TargetMode="External"/><Relationship Id="rId386" Type="http://schemas.openxmlformats.org/officeDocument/2006/relationships/hyperlink" Target="https://artechnologie13.sharepoint.com/sites/Bureaud%27tudeAR-TECHNOLOGIE/DOSSIER%20POI/Forms/AllItems.aspx?id=%2Fsites%2FBureaud%27tudeAR%2DTECHNOLOGIE%2FDOSSIER%20POI%2FMDM%2DDAX%2FARC500872%2FDT&amp;sortField=Modified&amp;isAscending=false&amp;viewid=ba243776%2Df837%2D4ace%2D8ee9%2D939a5753cc77&amp;csf=1&amp;web=1&amp;e=owQXVh&amp;CID=c5b168e7%2D67df%2D41af%2Db0d7%2D508a6306f4cd&amp;FolderCTID=0x0120001BD1B7A29D5EA04EB7553F36EEAEE8D2" TargetMode="External"/><Relationship Id="rId190" Type="http://schemas.openxmlformats.org/officeDocument/2006/relationships/hyperlink" Target="https://artechnologie13.sharepoint.com/sites/Bureaud'tudeAR-TECHNOLOGIE/DOSSIER%20POI/Forms/AllItems.aspx?id=%2Fsites%2FBureaud%27tudeAR%2DTECHNOLOGIE%2FDOSSIER%20POI%2FQPR%20%2D%20CRO%2FCRO500184%2FDT&amp;viewid=ba243776%2Df837%2D4ace%2D8ee9%2D939a5753cc77&amp;csf=1&amp;web=1&amp;e=XUKkQg&amp;CID=5b9fc10a%2D3b26%2D4a84%2Db2a4%2Dffc7e68b144f&amp;FolderCTID=0x0120001BD1B7A29D5EA04EB7553F36EEAEE8D2" TargetMode="External"/><Relationship Id="rId204" Type="http://schemas.openxmlformats.org/officeDocument/2006/relationships/hyperlink" Target="https://artechnologie13.sharepoint.com/sites/Bureaud'tudeAR-TECHNOLOGIE/DOSSIER%20POI/Forms/AllItems.aspx?id=%2Fsites%2FBureaud%27tudeAR%2DTECHNOLOGIE%2FDOSSIER%20POI%2FROD%2FROD400503%2FDT&amp;viewid=ba243776%2Df837%2D4ace%2D8ee9%2D939a5753cc77&amp;FolderCTID=0x0120001BD1B7A29D5EA04EB7553F36EEAEE8D2" TargetMode="External"/><Relationship Id="rId246" Type="http://schemas.openxmlformats.org/officeDocument/2006/relationships/hyperlink" Target="https://artechnologie13.sharepoint.com/sites/Bureaud'tudeAR-TECHNOLOGIE/DOSSIER%20POI/Forms/AllItems.aspx?id=%2Fsites%2FBureaud%27tudeAR%2DTECHNOLOGIE%2FDOSSIER%20POI%2FBAY%2FIMI%2DVA%2D64140%2D023B%2D1%2FDT&amp;viewid=ba243776%2Df837%2D4ace%2D8ee9%2D939a5753cc77" TargetMode="External"/><Relationship Id="rId288" Type="http://schemas.openxmlformats.org/officeDocument/2006/relationships/hyperlink" Target="https://artechnologie13.sharepoint.com/sites/Bureaud'tudeAR-TECHNOLOGIE/DOSSIER%20POI/Forms/AllItems.aspx?id=%2Fsites%2FBureaud%27tudeAR%2DTECHNOLOGIE%2FDOSSIER%20POI%2FMEN%2FMEN500541%2FDT&amp;viewid=ba243776%2Df837%2D4ace%2D8ee9%2D939a5753cc77&amp;csf=1&amp;web=1&amp;e=xJSWPp&amp;CID=230a6cef%2D3eb1%2D4d23%2Dbbae%2Db6fb2c14bd1f&amp;FolderCTID=0x0120001BD1B7A29D5EA04EB7553F36EEAEE8D2" TargetMode="External"/><Relationship Id="rId411" Type="http://schemas.openxmlformats.org/officeDocument/2006/relationships/hyperlink" Target="https://artechnologie13.sharepoint.com/sites/Bureaud'tudeAR-TECHNOLOGIE/DOSSIER%20POI/Forms/AllItems.aspx?id=%2Fsites%2FBureaud%27tudeAR%2DTECHNOLOGIE%2FDOSSIER%20POI%2FMDM%2DDAX%2FARC500960%2FDT&amp;sortField=Modified&amp;isAscending=false&amp;viewid=ba243776%2Df837%2D4ace%2D8ee9%2D939a5753cc77" TargetMode="External"/><Relationship Id="rId453" Type="http://schemas.openxmlformats.org/officeDocument/2006/relationships/hyperlink" Target="https://artechnologie13.sharepoint.com/sites/Bureaud'tudeAR-TECHNOLOGIE/DOSSIER%20POI/Forms/AllItems.aspx?id=%2Fsites%2FBureaud%27tudeAR%2DTECHNOLOGIE%2FDOSSIER%20POI%2FROD%2FROD502118%2FDT&amp;sortField=Modified&amp;isAscending=false&amp;viewid=ba243776%2Df837%2D4ace%2D8ee9%2D939a5753cc77" TargetMode="External"/><Relationship Id="rId509" Type="http://schemas.openxmlformats.org/officeDocument/2006/relationships/hyperlink" Target="https://artechnologie13.sharepoint.com/sites/Bureaud%27tudeAR-TECHNOLOGIE/DOSSIER%20POI/Forms/AllItems.aspx?id=%2Fsites%2FBureaud%27tudeAR%2DTECHNOLOGIE%2FDOSSIER%20POI%2FQPR%20%2D%20CRO%2FLOR600174%2FDT&amp;sortField=Modified&amp;isAscending=false&amp;viewid=ba243776%2Df837%2D4ace%2D8ee9%2D939a5753cc77&amp;csf=1&amp;CID=c5b168e7%2D67df%2D41af%2Db0d7%2D508a6306f4cd&amp;FolderCTID=0x0120001BD1B7A29D5EA04EB7553F36EEAEE8D2" TargetMode="External"/><Relationship Id="rId106" Type="http://schemas.openxmlformats.org/officeDocument/2006/relationships/hyperlink" Target="https://artechnologie13.sharepoint.com/sites/Bureaud'tudeAR-TECHNOLOGIE/DOSSIER%20POI/Forms/AllItems.aspx?id=%2Fsites%2FBureaud%27tudeAR%2DTECHNOLOGIE%2FDOSSIER%20POI%2FQPR%20%2D%20CRO%2FLOR500657%2FDT&amp;viewid=ba243776%2Df837%2D4ace%2D8ee9%2D939a5753cc77&amp;csf=1&amp;web=1&amp;e=C08lWA&amp;CID=3aff3771%2D1eb9%2D4824%2D9a42%2D38af63806c0f&amp;FolderCTID=0x0120001BD1B7A29D5EA04EB7553F36EEAEE8D2" TargetMode="External"/><Relationship Id="rId313" Type="http://schemas.openxmlformats.org/officeDocument/2006/relationships/hyperlink" Target="https://artechnologie13.sharepoint.com/sites/Bureaud'tudeAR-TECHNOLOGIE/DOSSIER%20POI/Forms/AllItems.aspx?id=%2Fsites%2FBureaud%27tudeAR%2DTECHNOLOGIE%2FDOSSIER%20POI%2FROD%2FROD500565%2FRetour%20VT%20%C2%A0ROD500830%2FDT&amp;viewid=ba243776%2Df837%2D4ace%2D8ee9%2D939a5753cc77&amp;csf=1&amp;web=1&amp;e=Hzs091&amp;CID=48465d24%2D3958%2D4c65%2D8d18%2Dfe1fd05229f6&amp;FolderCTID=0x0120001BD1B7A29D5EA04EB7553F36EEAEE8D2" TargetMode="External"/><Relationship Id="rId495" Type="http://schemas.openxmlformats.org/officeDocument/2006/relationships/hyperlink" Target="https://artechnologie13.sharepoint.com/sites/Bureaud%27tudeAR-TECHNOLOGIE/DOSSIER%20POI/Forms/AllItems.aspx?id=%2Fsites%2FBureaud%27tudeAR%2DTECHNOLOGIE%2FDOSSIER%20POI%2FQPR%20%2D%20CRO%2FRRE600409%2FDT&amp;sortField=Modified&amp;isAscending=false&amp;viewid=ba243776%2Df837%2D4ace%2D8ee9%2D939a5753cc77&amp;csf=1&amp;CID=c5b168e7%2D67df%2D41af%2Db0d7%2D508a6306f4cd&amp;FolderCTID=0x0120001BD1B7A29D5EA04EB7553F36EEAEE8D2" TargetMode="External"/><Relationship Id="rId10" Type="http://schemas.openxmlformats.org/officeDocument/2006/relationships/hyperlink" Target="https://artechnologie13.sharepoint.com/sites/Bureaud'tudeAR-TECHNOLOGIE/DOSSIER%20POI/Forms/AllItems.aspx?id=%2Fsites%2FBureaud%27tudeAR%2DTECHNOLOGIE%2FDOSSIER%20POI%2FMDM%2DDAX%2FMDM201114%2FDT2&amp;viewid=ba243776%2Df837%2D4ace%2D8ee9%2D939a5753cc77&amp;csf=1&amp;web=1&amp;e=HeEQEc&amp;CID=a96151a7%2D2d79%2D4c67%2Db960%2D6e3ea806ecdc&amp;FolderCTID=0x0120001BD1B7A29D5EA04EB7553F36EEAEE8D2" TargetMode="External"/><Relationship Id="rId52" Type="http://schemas.openxmlformats.org/officeDocument/2006/relationships/hyperlink" Target="https://artechnologie13.sharepoint.com/sites/Bureaud'tudeAR-TECHNOLOGIE/DOSSIER%20POI/Forms/AllItems.aspx?id=%2Fsites%2FBureaud%27tudeAR%2DTECHNOLOGIE%2FDOSSIER%20POI%2FQPR%20%2D%20CRO%2FQPR500752%2FDT&amp;viewid=ba243776%2Df837%2D4ace%2D8ee9%2D939a5753cc77&amp;FolderCTID=0x0120001BD1B7A29D5EA04EB7553F36EEAEE8D2" TargetMode="External"/><Relationship Id="rId94" Type="http://schemas.openxmlformats.org/officeDocument/2006/relationships/hyperlink" Target="https://artechnologie13.sharepoint.com/sites/Bureaud'tudeAR-TECHNOLOGIE/DOSSIER%20POI/Forms/AllItems.aspx?id=%2Fsites%2FBureaud%27tudeAR%2DTECHNOLOGIE%2FDOSSIER%20POI%2FMDM%2DDAX%2FIMI%2DVA%2D40139%20006Y%2D1%2FDT&amp;viewid=ba243776%2Df837%2D4ace%2D8ee9%2D939a5753cc77&amp;FolderCTID=0x0120001BD1B7A29D5EA04EB7553F36EEAEE8D2" TargetMode="External"/><Relationship Id="rId148" Type="http://schemas.openxmlformats.org/officeDocument/2006/relationships/hyperlink" Target="https://artechnologie13.sharepoint.com/sites/Bureaud'tudeAR-TECHNOLOGIE/DOSSIER%20POI/Forms/AllItems.aspx?id=%2Fsites%2FBureaud%27tudeAR%2DTECHNOLOGIE%2FDOSSIER%20POI%2FQPR%20%2D%20CRO%2FVAN501004%2FDT&amp;viewid=ba243776%2Df837%2D4ace%2D8ee9%2D939a5753cc77&amp;csf=1&amp;web=1&amp;e=Y57LJm&amp;CID=30f85af4%2Dad3b%2D4cdd%2D888a%2D2f2688a3bd9b&amp;FolderCTID=0x0120001BD1B7A29D5EA04EB7553F36EEAEE8D2" TargetMode="External"/><Relationship Id="rId355" Type="http://schemas.openxmlformats.org/officeDocument/2006/relationships/hyperlink" Target="https://artechnologie13.sharepoint.com/sites/Bureaud'tudeAR-TECHNOLOGIE/DOSSIER%20POI/Forms/AllItems.aspx?id=%2Fsites%2FBureaud%27tudeAR%2DTECHNOLOGIE%2FDOSSIER%20POI%2FMEN%2FMEN500455%2FDT&amp;viewid=ba243776%2Df837%2D4ace%2D8ee9%2D939a5753cc77&amp;csf=1&amp;web=1&amp;e=Obwr9G&amp;CID=91a9424f%2Ded3c%2D45eb%2D872a%2Dd365c25eb278&amp;FolderCTID=0x0120001BD1B7A29D5EA04EB7553F36EEAEE8D2" TargetMode="External"/><Relationship Id="rId397" Type="http://schemas.openxmlformats.org/officeDocument/2006/relationships/hyperlink" Target="https://artechnologie13.sharepoint.com/sites/Bureaud'tudeAR-TECHNOLOGIE/DOSSIER%20POI/Forms/AllItems.aspx?id=%2Fsites%2FBureaud%27tudeAR%2DTECHNOLOGIE%2FDOSSIER%20POI%2FMDM%2DDAX%2FIMI%2DVA%2D64125%2D00AP%2D1%2FDT&amp;viewid=ba243776%2Df837%2D4ace%2D8ee9%2D939a5753cc77&amp;FolderCTID=0x0120001BD1B7A29D5EA04EB7553F36EEAEE8D2" TargetMode="External"/><Relationship Id="rId215" Type="http://schemas.openxmlformats.org/officeDocument/2006/relationships/hyperlink" Target="https://artechnologie13.sharepoint.com/sites/Bureaud'tudeAR-TECHNOLOGIE/DOSSIER%20POI/Forms/AllItems.aspx?id=%2Fsites%2FBureaud%27tudeAR%2DTECHNOLOGIE%2FDOSSIER%20POI%2FQPR%20%2D%20CRO%2FQPR500964&amp;sortField=Modified&amp;isAscending=false&amp;viewid=ba243776%2Df837%2D4ace%2D8ee9%2D939a5753cc77&amp;csf=1&amp;web=1&amp;e=owQXVh&amp;CID=c5b168e7%2D67df%2D41af%2Db0d7%2D508a6306f4cd&amp;FolderCTID=0x0120001BD1B7A29D5EA04EB7553F36EEAEE8D2" TargetMode="External"/><Relationship Id="rId257" Type="http://schemas.openxmlformats.org/officeDocument/2006/relationships/hyperlink" Target="https://artechnologie13.sharepoint.com/sites/Bureaud'tudeAR-TECHNOLOGIE/DOSSIER%20POI/Forms/AllItems.aspx?id=%2Fsites%2FBureaud%27tudeAR%2DTECHNOLOGIE%2FDOSSIER%20POI%2FQPR%20%2D%20CRO%2FQPR500707%2FDT&amp;sortField=Modified&amp;isAscending=false&amp;viewid=ba243776%2Df837%2D4ace%2D8ee9%2D939a5753cc77&amp;csf=1&amp;web=1&amp;e=owQXVh&amp;CID=c5b168e7%2D67df%2D41af%2Db0d7%2D508a6306f4cd&amp;FolderCTID=0x0120001BD1B7A29D5EA04EB7553F36EEAEE8D2" TargetMode="External"/><Relationship Id="rId422" Type="http://schemas.openxmlformats.org/officeDocument/2006/relationships/hyperlink" Target="https://artechnologie13.sharepoint.com/sites/Bureaud'tudeAR-TECHNOLOGIE/DOSSIER%20POI/Forms/AllItems.aspx?id=%2Fsites%2FBureaud%27tudeAR%2DTECHNOLOGIE%2FDOSSIER%20POI%2FROD%2FROD501946%2FDT&amp;sortField=Modified&amp;isAscending=false&amp;viewid=ba243776%2Df837%2D4ace%2D8ee9%2D939a5753cc77" TargetMode="External"/><Relationship Id="rId464" Type="http://schemas.openxmlformats.org/officeDocument/2006/relationships/hyperlink" Target="https://artechnologie13.sharepoint.com/sites/Bureaud%27tudeAR-TECHNOLOGIE/DOSSIER%20POI/Forms/AllItems.aspx?id=%2Fsites%2FBureaud%27tudeAR%2DTECHNOLOGIE%2FDOSSIER%20POI%2FQPR%20%2D%20CRO%2FQPR600095%2FDT&amp;sortField=Modified&amp;isAscending=false&amp;viewid=ba243776%2Df837%2D4ace%2D8ee9%2D939a5753cc77&amp;FolderCTID=0x0120001BD1B7A29D5EA04EB7553F36EEAEE8D2" TargetMode="External"/><Relationship Id="rId299" Type="http://schemas.openxmlformats.org/officeDocument/2006/relationships/hyperlink" Target="https://artechnologie13.sharepoint.com/sites/Bureaud'tudeAR-TECHNOLOGIE/DOSSIER%20POI/Forms/AllItems.aspx?id=%2Fsites%2FBureaud%27tudeAR%2DTECHNOLOGIE%2FDOSSIER%20POI%2FROD%2FROD501725%2FDT&amp;viewid=ba243776%2Df837%2D4ace%2D8ee9%2D939a5753cc77&amp;view=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3C81-652A-4E6D-BC69-B1519CE55347}">
  <sheetPr>
    <tabColor rgb="FFFFFF00"/>
  </sheetPr>
  <dimension ref="A1:T20"/>
  <sheetViews>
    <sheetView zoomScaleNormal="100" workbookViewId="0">
      <selection activeCell="I21" sqref="I21"/>
    </sheetView>
  </sheetViews>
  <sheetFormatPr defaultColWidth="11.42578125" defaultRowHeight="12"/>
  <cols>
    <col min="1" max="1" width="19.5703125" style="199" customWidth="1"/>
    <col min="2" max="2" width="16.85546875" style="181" bestFit="1" customWidth="1"/>
    <col min="3" max="3" width="8" style="181" bestFit="1" customWidth="1"/>
    <col min="4" max="4" width="10.28515625" style="181" bestFit="1" customWidth="1"/>
    <col min="5" max="5" width="11.42578125" style="181" customWidth="1"/>
    <col min="6" max="6" width="10.85546875" style="181" bestFit="1" customWidth="1"/>
    <col min="7" max="7" width="12.28515625" style="181" bestFit="1" customWidth="1"/>
    <col min="8" max="8" width="12.28515625" style="181" customWidth="1"/>
    <col min="9" max="9" width="14.140625" style="181" bestFit="1" customWidth="1"/>
    <col min="10" max="10" width="15.85546875" style="181" bestFit="1" customWidth="1"/>
    <col min="11" max="11" width="16.85546875" style="181" bestFit="1" customWidth="1"/>
    <col min="12" max="12" width="14" style="181" bestFit="1" customWidth="1"/>
    <col min="13" max="13" width="7" style="181" bestFit="1" customWidth="1"/>
    <col min="14" max="14" width="8.5703125" style="181" bestFit="1" customWidth="1"/>
    <col min="15" max="15" width="14.42578125" style="181" bestFit="1" customWidth="1"/>
    <col min="16" max="16" width="10.140625" style="181" bestFit="1" customWidth="1"/>
    <col min="17" max="17" width="15.7109375" style="181" bestFit="1" customWidth="1"/>
    <col min="18" max="18" width="15.28515625" style="181" bestFit="1" customWidth="1"/>
    <col min="19" max="19" width="14" style="181" customWidth="1"/>
    <col min="20" max="20" width="11.140625" style="181" bestFit="1" customWidth="1"/>
    <col min="21" max="16384" width="11.42578125" style="181"/>
  </cols>
  <sheetData>
    <row r="1" spans="1:20" ht="23.25">
      <c r="A1" s="172" t="s">
        <v>0</v>
      </c>
      <c r="B1" s="173" t="s">
        <v>1</v>
      </c>
      <c r="C1" s="174" t="s">
        <v>2</v>
      </c>
      <c r="D1" s="175" t="s">
        <v>3</v>
      </c>
      <c r="E1" s="176" t="s">
        <v>4</v>
      </c>
      <c r="F1" s="177" t="s">
        <v>5</v>
      </c>
      <c r="G1" s="176" t="s">
        <v>6</v>
      </c>
      <c r="H1" s="177" t="s">
        <v>7</v>
      </c>
      <c r="I1" s="175" t="s">
        <v>8</v>
      </c>
      <c r="J1" s="175" t="s">
        <v>9</v>
      </c>
      <c r="K1" s="175" t="s">
        <v>10</v>
      </c>
      <c r="L1" s="178" t="s">
        <v>11</v>
      </c>
      <c r="M1" s="175" t="s">
        <v>12</v>
      </c>
      <c r="N1" s="175" t="s">
        <v>13</v>
      </c>
      <c r="O1" s="175" t="s">
        <v>14</v>
      </c>
      <c r="P1" s="175" t="s">
        <v>15</v>
      </c>
      <c r="Q1" s="175" t="s">
        <v>16</v>
      </c>
      <c r="R1" s="175" t="s">
        <v>17</v>
      </c>
      <c r="S1" s="179"/>
      <c r="T1" s="180" t="s">
        <v>18</v>
      </c>
    </row>
    <row r="2" spans="1:20">
      <c r="A2" s="185" t="s">
        <v>19</v>
      </c>
      <c r="B2" s="186">
        <f>'MEN-ROD'!E1</f>
        <v>445</v>
      </c>
      <c r="C2" s="187">
        <f ca="1">COUNTIF('MEN-ROD'!C:C,"&lt;="&amp;TODAY())</f>
        <v>55</v>
      </c>
      <c r="D2" s="188">
        <f>COUNTIF('MEN-ROD'!D:D,"*01 AT VT*")</f>
        <v>19</v>
      </c>
      <c r="E2" s="188">
        <f>COUNTIF('MEN-ROD'!D:D,"*01.2 A REMONTER*")</f>
        <v>9</v>
      </c>
      <c r="F2" s="188">
        <f>COUNTIF('MEN-ROD'!D:D,"*02 RETOUR VT*")</f>
        <v>29</v>
      </c>
      <c r="G2" s="188">
        <f>COUNTIF('MEN-ROD'!D:D,"*03 DOSSIER A REPRENDRE*")</f>
        <v>5</v>
      </c>
      <c r="H2" s="187">
        <f>COUNTIF('MEN-ROD'!D:D,"*04 DOSSIER A MONTER*")</f>
        <v>13</v>
      </c>
      <c r="I2" s="187">
        <f>COUNTIF('MEN-ROD'!D:D,"*05 AT INFO CAF REF*")</f>
        <v>26</v>
      </c>
      <c r="J2" s="187">
        <f>COUNTIF('MEN-ROD'!D:D,"*09 AT DEVIS ORANGE/RIP*")</f>
        <v>67</v>
      </c>
      <c r="K2" s="187">
        <f>COUNTIF('MEN-ROD'!D:D,"*06 AT DEVIS CLIENT*")</f>
        <v>10</v>
      </c>
      <c r="L2" s="187">
        <f>COUNTIF('MEN-ROD'!D:D,"*07 AT TRVX CLIENT*")</f>
        <v>86</v>
      </c>
      <c r="M2" s="187">
        <f>COUNTIF('MEN-ROD'!D:D,"*10 AT PV*")</f>
        <v>15</v>
      </c>
      <c r="N2" s="187">
        <f>COUNTIF('MEN-ROD'!D:D,"*11 AT DTA*")</f>
        <v>4</v>
      </c>
      <c r="O2" s="187">
        <f>COUNTIF('MEN-ROD'!D:D,"*08 AT COMAC/CAPFT*")</f>
        <v>0</v>
      </c>
      <c r="P2" s="187">
        <f>COUNTIF('MEN-ROD'!D:D,"*12 AT MAJ SI*")</f>
        <v>6</v>
      </c>
      <c r="Q2" s="187">
        <f>COUNTIF('MEN-ROD'!D:D,"*14 POI EN TRAVAUX*")</f>
        <v>146</v>
      </c>
      <c r="R2" s="188">
        <f>COUNTIF('MEN-ROD'!D:D,"*14.1 AT RETOUR DOE*")</f>
        <v>0</v>
      </c>
      <c r="S2" s="189"/>
      <c r="T2" s="190">
        <f>COUNTIF('MEN-ROD'!D:D,"*13 ETAT 5*")</f>
        <v>6</v>
      </c>
    </row>
    <row r="3" spans="1:20">
      <c r="A3" s="191" t="s">
        <v>20</v>
      </c>
      <c r="B3" s="182">
        <f>'GDP AQ'!E1</f>
        <v>106</v>
      </c>
      <c r="C3" s="182">
        <f ca="1">COUNTIF('GDP AQ'!C:C,"&lt;="&amp;TODAY())</f>
        <v>8</v>
      </c>
      <c r="D3" s="182">
        <f>COUNTIF('GDP AQ'!D:D,"*01 AT VT*")</f>
        <v>11</v>
      </c>
      <c r="E3" s="182">
        <f>COUNTIF('GDP AQ'!D:D, "*01.2 A REMONTER*")</f>
        <v>3</v>
      </c>
      <c r="F3" s="182">
        <f>COUNTIF('GDP AQ'!D:D,"*02 RETOUR VT*")</f>
        <v>5</v>
      </c>
      <c r="G3" s="182">
        <f>COUNTIF('GDP AQ'!D:D,"*03 DOSSIER A REPRENDRE*")</f>
        <v>2</v>
      </c>
      <c r="H3" s="182">
        <f>COUNTIF('GDP AQ'!D:D,"*04 DOSSIER A MONTER*")</f>
        <v>5</v>
      </c>
      <c r="I3" s="182">
        <f>COUNTIF('GDP AQ'!D:D,"*5 AT INFO CAF REF*")</f>
        <v>12</v>
      </c>
      <c r="J3" s="182">
        <f>COUNTIF('GDP AQ'!D:D,"*09 AT DEVIS ORANGE/RIP*")</f>
        <v>2</v>
      </c>
      <c r="K3" s="182">
        <f>COUNTIF('GDP AQ'!D:D,"*06 AT DEVIS CLIENT*")</f>
        <v>1</v>
      </c>
      <c r="L3" s="182">
        <f>COUNTIF('GDP AQ'!D:D,"*07 AT TRVX CLIENT*")</f>
        <v>26</v>
      </c>
      <c r="M3" s="182">
        <f>COUNTIF('GDP AQ'!D:D,"*10 AT PV*")</f>
        <v>9</v>
      </c>
      <c r="N3" s="182">
        <f>COUNTIF('GDP AQ'!D:D,"*11 AT DTA*")</f>
        <v>2</v>
      </c>
      <c r="O3" s="182">
        <f>COUNTIF('GDP AQ'!D:D,"*08 AT COMAC/CAPFT*")</f>
        <v>0</v>
      </c>
      <c r="P3" s="182">
        <f>COUNTIF('GDP AQ'!D:D,"*12 AT MAJ SI*")</f>
        <v>1</v>
      </c>
      <c r="Q3" s="182">
        <f>COUNTIF('GDP AQ'!D:D,"*14 POI EN TRAVAUX*")</f>
        <v>20</v>
      </c>
      <c r="R3" s="182">
        <f>COUNTIF('GDP AQ'!D:D,"*14.1 AT RETOUR DOE*")</f>
        <v>5</v>
      </c>
      <c r="S3" s="183"/>
      <c r="T3" s="184">
        <f>COUNTIF('GDP AQ'!D:D,"*13 ETAT 5*")</f>
        <v>0</v>
      </c>
    </row>
    <row r="4" spans="1:20">
      <c r="A4" s="192" t="s">
        <v>21</v>
      </c>
      <c r="B4" s="182">
        <f>'QPR-CRO'!E1</f>
        <v>347</v>
      </c>
      <c r="C4" s="182">
        <f ca="1">COUNTIF('QPR-CRO'!C:C,"&lt;="&amp;TODAY())</f>
        <v>48</v>
      </c>
      <c r="D4" s="182">
        <f>COUNTIF('QPR-CRO'!D:D,"*01 AT VT*")</f>
        <v>40</v>
      </c>
      <c r="E4" s="182">
        <f>COUNTIF('QPR-CRO'!D:D,"*01.2 A REMONTER*")</f>
        <v>26</v>
      </c>
      <c r="F4" s="182">
        <f>COUNTIF('QPR-CRO'!D:D,"*02 RETOUR VT*")</f>
        <v>29</v>
      </c>
      <c r="G4" s="182">
        <f>COUNTIF('QPR-CRO'!D:D,"*03 DOSSIER A REPRENDRE*")</f>
        <v>0</v>
      </c>
      <c r="H4" s="182">
        <f>COUNTIF('QPR-CRO'!D:D,"*04 DOSSIER A MONTER*")</f>
        <v>13</v>
      </c>
      <c r="I4" s="182">
        <f>COUNTIF('QPR-CRO'!D:D,"*05 AT INFO CAF REF*")</f>
        <v>24</v>
      </c>
      <c r="J4" s="182">
        <f>COUNTIF('QPR-CRO'!D:D,"*09 AT DEVIS ORANGE/RIP*")</f>
        <v>14</v>
      </c>
      <c r="K4" s="182">
        <f>COUNTIF('QPR-CRO'!D:D,"*06 AT DEVIS CLIENT*")</f>
        <v>6</v>
      </c>
      <c r="L4" s="182">
        <f>COUNTIF('QPR-CRO'!D:D,"*07 AT TRVX CLIENT*")</f>
        <v>46</v>
      </c>
      <c r="M4" s="182">
        <f>COUNTIF('QPR-CRO'!D:D,"*10 AT PV*")</f>
        <v>6</v>
      </c>
      <c r="N4" s="182">
        <f>COUNTIF('QPR-CRO'!D:D,"*11 AT DTA*")</f>
        <v>0</v>
      </c>
      <c r="O4" s="182">
        <f>COUNTIF('QPR-CRO'!D:D,"*08 AT COMAC/CAPFT*")</f>
        <v>0</v>
      </c>
      <c r="P4" s="182">
        <f>COUNTIF('QPR-CRO'!D:D,"*12 AT MAJ SI*")</f>
        <v>10</v>
      </c>
      <c r="Q4" s="182">
        <f>COUNTIF('QPR-CRO'!D:D,"*14 POI EN TRAVAUX*")</f>
        <v>56</v>
      </c>
      <c r="R4" s="182">
        <f>COUNTIF('QPR-CRO'!D:D,"*14.1 AT RETOUR DOE*")</f>
        <v>65</v>
      </c>
      <c r="S4" s="183"/>
      <c r="T4" s="184">
        <f>COUNTIF('QPR-CRO'!D:D,"*13 ETAT 5*")</f>
        <v>1</v>
      </c>
    </row>
    <row r="5" spans="1:20" ht="23.25">
      <c r="A5" s="308" t="s">
        <v>0</v>
      </c>
      <c r="B5" s="173" t="s">
        <v>1</v>
      </c>
      <c r="C5" s="174" t="s">
        <v>2</v>
      </c>
      <c r="D5" s="175" t="s">
        <v>3</v>
      </c>
      <c r="E5" s="176" t="s">
        <v>4</v>
      </c>
      <c r="F5" s="177" t="s">
        <v>5</v>
      </c>
      <c r="G5" s="176" t="s">
        <v>6</v>
      </c>
      <c r="H5" s="177" t="s">
        <v>7</v>
      </c>
      <c r="I5" s="175" t="s">
        <v>8</v>
      </c>
      <c r="J5" s="175" t="s">
        <v>9</v>
      </c>
      <c r="K5" s="175"/>
      <c r="L5" s="175"/>
      <c r="M5" s="175" t="s">
        <v>12</v>
      </c>
      <c r="N5" s="178"/>
      <c r="O5" s="178"/>
      <c r="P5" s="175" t="s">
        <v>15</v>
      </c>
      <c r="Q5" s="175" t="s">
        <v>16</v>
      </c>
      <c r="R5" s="175" t="s">
        <v>17</v>
      </c>
      <c r="S5" s="178" t="s">
        <v>22</v>
      </c>
      <c r="T5" s="193"/>
    </row>
    <row r="6" spans="1:20">
      <c r="A6" s="308" t="s">
        <v>23</v>
      </c>
      <c r="B6" s="187">
        <f>'SPI AQ'!B1</f>
        <v>73</v>
      </c>
      <c r="C6" s="187"/>
      <c r="D6" s="187">
        <f ca="1">COUNTIF('SPI AQ'!A:A,"*01 VT A FAIRE*")</f>
        <v>4</v>
      </c>
      <c r="E6" s="194">
        <f ca="1">COUNTIF('SPI AQ'!A:A, "*1.2 A REMONTER*")</f>
        <v>1</v>
      </c>
      <c r="F6" s="195">
        <f ca="1">COUNTIF('SPI AQ'!A:A,"*02 RETOUR VT*")</f>
        <v>2</v>
      </c>
      <c r="G6" s="195">
        <f ca="1">COUNTIF('SPI AQ'!A:A,"*03 DOSSIER A REPRENDRE*")</f>
        <v>0</v>
      </c>
      <c r="H6" s="195">
        <f ca="1">COUNTIF('SPI AQ'!A:A,"*04 DOSSIER A MONTER*")</f>
        <v>0</v>
      </c>
      <c r="I6" s="196">
        <f ca="1">COUNTIF('SPI AQ'!A:A,"*07 AT INFO CAF REF*")</f>
        <v>15</v>
      </c>
      <c r="J6" s="196">
        <f ca="1">COUNTIF('SPI AQ'!A:A,"*08 AT DEVIS ORANGE/RIP*")</f>
        <v>5</v>
      </c>
      <c r="K6" s="187"/>
      <c r="L6" s="187"/>
      <c r="M6" s="187">
        <f ca="1">COUNTIF('SPI AQ'!A:A,"*05 AT PV*")</f>
        <v>13</v>
      </c>
      <c r="N6" s="187"/>
      <c r="O6" s="187"/>
      <c r="P6" s="187">
        <f ca="1">COUNTIF('SPI AQ'!A:A,"*06 AT MAJ SI*")</f>
        <v>1</v>
      </c>
      <c r="Q6" s="187">
        <f ca="1">COUNTIF('SPI AQ'!A:A,"*09 POI EN TRAVAUX*")</f>
        <v>15</v>
      </c>
      <c r="R6" s="187">
        <f ca="1">COUNTIF('SPI AQ'!A:A,"*09.1 ATT DOE*")</f>
        <v>8</v>
      </c>
      <c r="S6" s="189">
        <f ca="1">COUNTIF('SPI AQ'!A:A,"*11 RECOL A FAIRE*")</f>
        <v>0</v>
      </c>
      <c r="T6" s="190"/>
    </row>
    <row r="7" spans="1:20">
      <c r="A7" s="401"/>
      <c r="B7" s="402"/>
      <c r="C7" s="402"/>
      <c r="D7" s="402"/>
      <c r="E7" s="402"/>
      <c r="F7" s="402"/>
      <c r="G7" s="402"/>
      <c r="H7" s="402"/>
      <c r="I7" s="402"/>
      <c r="J7" s="402"/>
      <c r="K7" s="402"/>
      <c r="L7" s="402"/>
      <c r="M7" s="402"/>
      <c r="N7" s="402"/>
      <c r="O7" s="402"/>
      <c r="P7" s="402"/>
      <c r="Q7" s="402"/>
      <c r="R7" s="402"/>
      <c r="S7" s="402"/>
      <c r="T7" s="403"/>
    </row>
    <row r="8" spans="1:20">
      <c r="A8" s="197" t="s">
        <v>24</v>
      </c>
      <c r="B8" s="198">
        <f>B2+B3+B4+B6</f>
        <v>971</v>
      </c>
      <c r="C8" s="198">
        <f ca="1">C2+C3+C4+C6</f>
        <v>111</v>
      </c>
      <c r="D8" s="198">
        <f ca="1">D2+D3+D4+D6</f>
        <v>74</v>
      </c>
      <c r="E8" s="198">
        <f ca="1">E2+E3+E4+E6</f>
        <v>39</v>
      </c>
      <c r="F8" s="198">
        <f ca="1">F2+F3+F4+F6</f>
        <v>65</v>
      </c>
      <c r="G8" s="198">
        <f ca="1">G2+G3+G4+G6</f>
        <v>7</v>
      </c>
      <c r="H8" s="198">
        <f ca="1">H2+H3+H4+H6</f>
        <v>31</v>
      </c>
      <c r="I8" s="198">
        <f ca="1">I2+I3+I4+I6</f>
        <v>77</v>
      </c>
      <c r="J8" s="198">
        <f ca="1">J2+J3+J4+J6</f>
        <v>88</v>
      </c>
      <c r="K8" s="198">
        <f>K2+K3+K4+K6</f>
        <v>17</v>
      </c>
      <c r="L8" s="198">
        <f>L2+L3+L4+L6</f>
        <v>158</v>
      </c>
      <c r="M8" s="198">
        <f ca="1">M2+M3+M4+M6</f>
        <v>43</v>
      </c>
      <c r="N8" s="198">
        <f>N2+N3+N4+N6</f>
        <v>6</v>
      </c>
      <c r="O8" s="198">
        <f>O2+O3+O4+O6</f>
        <v>0</v>
      </c>
      <c r="P8" s="198">
        <f ca="1">P2+P3+P4+P6</f>
        <v>18</v>
      </c>
      <c r="Q8" s="198">
        <f ca="1">Q2+Q3+Q4+Q6</f>
        <v>237</v>
      </c>
      <c r="R8" s="198">
        <f ca="1">R2+R3+R4+R6</f>
        <v>78</v>
      </c>
      <c r="S8" s="198">
        <f ca="1">S2+S3+S4+S6</f>
        <v>0</v>
      </c>
      <c r="T8" s="198">
        <f>T2+T3+T4+T6</f>
        <v>7</v>
      </c>
    </row>
    <row r="10" spans="1:20">
      <c r="A10" s="404" t="s">
        <v>25</v>
      </c>
      <c r="B10" s="405">
        <f ca="1">G8/F8</f>
        <v>0.1076923076923077</v>
      </c>
    </row>
    <row r="11" spans="1:20">
      <c r="A11" s="404"/>
      <c r="B11" s="405"/>
    </row>
    <row r="12" spans="1:20">
      <c r="A12" s="404"/>
      <c r="B12" s="405"/>
    </row>
    <row r="14" spans="1:20">
      <c r="A14" s="382" t="s">
        <v>26</v>
      </c>
      <c r="B14" s="382" t="s">
        <v>27</v>
      </c>
      <c r="D14" s="199"/>
    </row>
    <row r="15" spans="1:20">
      <c r="A15" s="382">
        <f>E2+G2</f>
        <v>14</v>
      </c>
      <c r="B15" s="382">
        <f>F2+H2</f>
        <v>42</v>
      </c>
      <c r="C15" s="185" t="s">
        <v>19</v>
      </c>
    </row>
    <row r="16" spans="1:20">
      <c r="A16" s="382">
        <f>E3+G3</f>
        <v>5</v>
      </c>
      <c r="B16" s="382">
        <f>F3+H3</f>
        <v>10</v>
      </c>
      <c r="C16" s="383" t="s">
        <v>20</v>
      </c>
    </row>
    <row r="17" spans="1:3">
      <c r="A17" s="382">
        <f>E4+G4</f>
        <v>26</v>
      </c>
      <c r="B17" s="382">
        <f>F4+H4</f>
        <v>42</v>
      </c>
      <c r="C17" s="384" t="s">
        <v>21</v>
      </c>
    </row>
    <row r="18" spans="1:3">
      <c r="A18" s="382">
        <f ca="1">E6+G6</f>
        <v>1</v>
      </c>
      <c r="B18" s="382">
        <f ca="1">F6+H6</f>
        <v>2</v>
      </c>
      <c r="C18" s="385" t="s">
        <v>23</v>
      </c>
    </row>
    <row r="19" spans="1:3">
      <c r="A19" s="382"/>
      <c r="B19" s="382"/>
    </row>
    <row r="20" spans="1:3">
      <c r="A20" s="382">
        <f ca="1">SUM(A15:A18)</f>
        <v>46</v>
      </c>
      <c r="B20" s="382">
        <f ca="1">SUM(B15:B18)</f>
        <v>96</v>
      </c>
    </row>
  </sheetData>
  <mergeCells count="3">
    <mergeCell ref="A7:T7"/>
    <mergeCell ref="A10:A12"/>
    <mergeCell ref="B10:B12"/>
  </mergeCells>
  <phoneticPr fontId="10" type="noConversion"/>
  <conditionalFormatting sqref="C6:D6 F3:H3 C3:D3 C4 O6 F6:M6 M2:M3 O2:O3 C2:H2 S6">
    <cfRule type="cellIs" dxfId="1890" priority="58" operator="greaterThan">
      <formula>0</formula>
    </cfRule>
  </conditionalFormatting>
  <conditionalFormatting sqref="F3:H3 C6:D6 C3:D3 C4 F6:L6 C2:G2 S6">
    <cfRule type="cellIs" dxfId="1889" priority="57" operator="equal">
      <formula>0</formula>
    </cfRule>
  </conditionalFormatting>
  <conditionalFormatting sqref="M6 M2:M4 H2">
    <cfRule type="cellIs" dxfId="1888" priority="53" operator="equal">
      <formula>0</formula>
    </cfRule>
  </conditionalFormatting>
  <conditionalFormatting sqref="O6 O2:O4">
    <cfRule type="cellIs" dxfId="1887" priority="49" operator="equal">
      <formula>0</formula>
    </cfRule>
  </conditionalFormatting>
  <conditionalFormatting sqref="E3 E6">
    <cfRule type="cellIs" dxfId="1886" priority="36" operator="greaterThan">
      <formula>0</formula>
    </cfRule>
  </conditionalFormatting>
  <conditionalFormatting sqref="E3 E6">
    <cfRule type="cellIs" dxfId="1885" priority="35" operator="equal">
      <formula>0</formula>
    </cfRule>
  </conditionalFormatting>
  <conditionalFormatting sqref="N6">
    <cfRule type="cellIs" dxfId="1884" priority="34" operator="greaterThan">
      <formula>0</formula>
    </cfRule>
  </conditionalFormatting>
  <conditionalFormatting sqref="N6">
    <cfRule type="cellIs" dxfId="1883" priority="33" operator="equal">
      <formula>0</formula>
    </cfRule>
  </conditionalFormatting>
  <conditionalFormatting sqref="O6">
    <cfRule type="cellIs" dxfId="1882" priority="32" operator="equal">
      <formula>0</formula>
    </cfRule>
  </conditionalFormatting>
  <conditionalFormatting sqref="P6">
    <cfRule type="cellIs" dxfId="1881" priority="31" operator="greaterThan">
      <formula>0</formula>
    </cfRule>
  </conditionalFormatting>
  <conditionalFormatting sqref="P6">
    <cfRule type="cellIs" dxfId="1880" priority="30" operator="equal">
      <formula>0</formula>
    </cfRule>
  </conditionalFormatting>
  <conditionalFormatting sqref="Q6">
    <cfRule type="cellIs" dxfId="1879" priority="29" operator="greaterThan">
      <formula>0</formula>
    </cfRule>
  </conditionalFormatting>
  <conditionalFormatting sqref="Q6">
    <cfRule type="cellIs" dxfId="1878" priority="28" operator="equal">
      <formula>0</formula>
    </cfRule>
  </conditionalFormatting>
  <conditionalFormatting sqref="T6">
    <cfRule type="cellIs" dxfId="1877" priority="25" operator="greaterThan">
      <formula>0</formula>
    </cfRule>
  </conditionalFormatting>
  <conditionalFormatting sqref="T6">
    <cfRule type="cellIs" dxfId="1876" priority="24" operator="equal">
      <formula>0</formula>
    </cfRule>
  </conditionalFormatting>
  <conditionalFormatting sqref="H3">
    <cfRule type="cellIs" dxfId="1875" priority="19" operator="equal">
      <formula>0</formula>
    </cfRule>
  </conditionalFormatting>
  <conditionalFormatting sqref="M4">
    <cfRule type="cellIs" dxfId="1874" priority="16" operator="greaterThan">
      <formula>0</formula>
    </cfRule>
  </conditionalFormatting>
  <conditionalFormatting sqref="O4">
    <cfRule type="cellIs" dxfId="1873" priority="13" operator="greaterThan">
      <formula>0</formula>
    </cfRule>
  </conditionalFormatting>
  <conditionalFormatting sqref="F4:G4">
    <cfRule type="cellIs" dxfId="1872" priority="12" operator="greaterThan">
      <formula>0</formula>
    </cfRule>
  </conditionalFormatting>
  <conditionalFormatting sqref="F4:G4">
    <cfRule type="cellIs" dxfId="1871" priority="11" operator="equal">
      <formula>0</formula>
    </cfRule>
  </conditionalFormatting>
  <conditionalFormatting sqref="D4:E4">
    <cfRule type="cellIs" dxfId="1870" priority="10" operator="greaterThan">
      <formula>0</formula>
    </cfRule>
  </conditionalFormatting>
  <conditionalFormatting sqref="D4:E4">
    <cfRule type="cellIs" dxfId="1869" priority="9" operator="equal">
      <formula>0</formula>
    </cfRule>
  </conditionalFormatting>
  <conditionalFormatting sqref="H4">
    <cfRule type="cellIs" dxfId="1868" priority="8" operator="greaterThan">
      <formula>0</formula>
    </cfRule>
  </conditionalFormatting>
  <conditionalFormatting sqref="H4">
    <cfRule type="cellIs" dxfId="1867" priority="7" operator="equal">
      <formula>0</formula>
    </cfRule>
  </conditionalFormatting>
  <conditionalFormatting sqref="R6">
    <cfRule type="cellIs" dxfId="1866" priority="2" operator="greaterThan">
      <formula>0</formula>
    </cfRule>
  </conditionalFormatting>
  <conditionalFormatting sqref="R6">
    <cfRule type="cellIs" dxfId="1865" priority="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5E6A2"/>
  </sheetPr>
  <dimension ref="A1:O447"/>
  <sheetViews>
    <sheetView workbookViewId="0">
      <pane ySplit="2" topLeftCell="A396" activePane="bottomLeft" state="frozen"/>
      <selection pane="bottomLeft" activeCell="E190" sqref="E190"/>
    </sheetView>
  </sheetViews>
  <sheetFormatPr defaultColWidth="9.140625" defaultRowHeight="19.5" customHeight="1" outlineLevelCol="1"/>
  <cols>
    <col min="1" max="1" width="12.5703125" style="36" customWidth="1" outlineLevel="1"/>
    <col min="2" max="2" width="13.5703125" style="36" customWidth="1" outlineLevel="1"/>
    <col min="3" max="3" width="15.7109375" style="38" bestFit="1" customWidth="1"/>
    <col min="4" max="4" width="29.140625" style="36" bestFit="1" customWidth="1"/>
    <col min="5" max="5" width="14.28515625" style="36" bestFit="1" customWidth="1"/>
    <col min="6" max="6" width="9.140625" style="36" bestFit="1" customWidth="1"/>
    <col min="7" max="7" width="8" style="36" customWidth="1"/>
    <col min="8" max="8" width="42.5703125" style="36" customWidth="1"/>
    <col min="9" max="9" width="33.42578125" style="36" bestFit="1" customWidth="1"/>
    <col min="10" max="10" width="40" style="36" bestFit="1" customWidth="1"/>
    <col min="11" max="11" width="18.42578125" style="146" customWidth="1"/>
    <col min="12" max="12" width="88.85546875" style="146" customWidth="1"/>
    <col min="13" max="13" width="36.5703125" style="36" customWidth="1"/>
    <col min="14" max="16384" width="9.140625" style="226"/>
  </cols>
  <sheetData>
    <row r="1" spans="1:13" ht="19.5" customHeight="1">
      <c r="A1" s="58"/>
      <c r="C1" s="394">
        <f ca="1">TODAY()</f>
        <v>46076</v>
      </c>
      <c r="E1" s="36">
        <f>COUNTA(E3:E602)</f>
        <v>445</v>
      </c>
      <c r="K1" s="406" t="s">
        <v>28</v>
      </c>
      <c r="L1" s="407"/>
    </row>
    <row r="2" spans="1:13" ht="19.5" customHeight="1">
      <c r="A2" s="37" t="s">
        <v>29</v>
      </c>
      <c r="B2" s="37" t="s">
        <v>30</v>
      </c>
      <c r="C2" s="395" t="s">
        <v>30</v>
      </c>
      <c r="D2" s="37" t="s">
        <v>31</v>
      </c>
      <c r="E2" s="148" t="s">
        <v>32</v>
      </c>
      <c r="F2" s="37" t="s">
        <v>33</v>
      </c>
      <c r="G2" s="37" t="s">
        <v>34</v>
      </c>
      <c r="H2" s="37" t="s">
        <v>35</v>
      </c>
      <c r="I2" s="37" t="s">
        <v>36</v>
      </c>
      <c r="J2" s="37" t="s">
        <v>37</v>
      </c>
      <c r="K2" s="227" t="s">
        <v>38</v>
      </c>
      <c r="L2" s="227" t="s">
        <v>39</v>
      </c>
      <c r="M2" s="37" t="s">
        <v>40</v>
      </c>
    </row>
    <row r="3" spans="1:13" ht="19.5" customHeight="1">
      <c r="A3" s="305" t="s">
        <v>41</v>
      </c>
      <c r="B3" s="391">
        <v>46091</v>
      </c>
      <c r="C3" s="396" t="e">
        <f xml:space="preserve"> VLOOKUP(E3, $A$2:$E$822, 2, FALSE)</f>
        <v>#N/A</v>
      </c>
      <c r="D3" s="36" t="s">
        <v>42</v>
      </c>
      <c r="E3" s="36" t="s">
        <v>43</v>
      </c>
      <c r="F3" s="36" t="s">
        <v>44</v>
      </c>
      <c r="G3" s="36" t="s">
        <v>45</v>
      </c>
      <c r="H3" s="36" t="s">
        <v>46</v>
      </c>
      <c r="I3" s="36" t="s">
        <v>47</v>
      </c>
      <c r="J3" s="36" t="s">
        <v>48</v>
      </c>
      <c r="K3" s="276">
        <v>45680</v>
      </c>
      <c r="L3" s="146" t="s">
        <v>49</v>
      </c>
      <c r="M3" s="36">
        <v>682776141</v>
      </c>
    </row>
    <row r="4" spans="1:13" ht="19.5" customHeight="1">
      <c r="A4" s="305" t="s">
        <v>50</v>
      </c>
      <c r="B4" s="391">
        <v>46286</v>
      </c>
      <c r="C4" s="396" t="e">
        <f xml:space="preserve"> VLOOKUP(E4, $A$2:$E$822, 2, FALSE)</f>
        <v>#N/A</v>
      </c>
      <c r="D4" s="36" t="s">
        <v>42</v>
      </c>
      <c r="E4" s="36" t="s">
        <v>51</v>
      </c>
      <c r="F4" s="36" t="s">
        <v>52</v>
      </c>
      <c r="G4" s="36" t="s">
        <v>45</v>
      </c>
      <c r="I4" s="36" t="s">
        <v>53</v>
      </c>
      <c r="J4" s="36" t="s">
        <v>54</v>
      </c>
      <c r="K4" s="276"/>
    </row>
    <row r="5" spans="1:13" ht="19.5" customHeight="1">
      <c r="A5" s="305" t="s">
        <v>55</v>
      </c>
      <c r="B5" s="391">
        <v>46097</v>
      </c>
      <c r="C5" s="396" t="e">
        <f xml:space="preserve"> VLOOKUP(E5, $A$2:$E$822, 2, FALSE)</f>
        <v>#N/A</v>
      </c>
      <c r="D5" s="36" t="s">
        <v>42</v>
      </c>
      <c r="E5" s="36" t="s">
        <v>56</v>
      </c>
      <c r="F5" s="36" t="s">
        <v>57</v>
      </c>
      <c r="I5" s="36" t="s">
        <v>58</v>
      </c>
      <c r="J5" s="36" t="s">
        <v>59</v>
      </c>
      <c r="K5" s="276">
        <v>45672</v>
      </c>
    </row>
    <row r="6" spans="1:13" ht="19.5" customHeight="1">
      <c r="A6" s="305" t="s">
        <v>60</v>
      </c>
      <c r="B6" s="391">
        <v>46090</v>
      </c>
      <c r="C6" s="396" t="e">
        <f xml:space="preserve"> VLOOKUP(E6, $A$2:$E$822, 2, FALSE)</f>
        <v>#N/A</v>
      </c>
      <c r="D6" s="36" t="s">
        <v>42</v>
      </c>
      <c r="E6" s="36" t="s">
        <v>61</v>
      </c>
      <c r="F6" s="36" t="s">
        <v>62</v>
      </c>
      <c r="G6" s="36" t="s">
        <v>45</v>
      </c>
      <c r="I6" s="36" t="s">
        <v>58</v>
      </c>
      <c r="J6" s="36" t="s">
        <v>63</v>
      </c>
      <c r="K6" s="276"/>
    </row>
    <row r="7" spans="1:13" ht="19.5" customHeight="1">
      <c r="A7" s="305" t="s">
        <v>64</v>
      </c>
      <c r="B7" s="391">
        <v>46286</v>
      </c>
      <c r="C7" s="396" t="e">
        <f xml:space="preserve"> VLOOKUP(E7, $A$2:$E$822, 2, FALSE)</f>
        <v>#N/A</v>
      </c>
      <c r="D7" s="36" t="s">
        <v>42</v>
      </c>
      <c r="E7" s="36" t="s">
        <v>65</v>
      </c>
      <c r="F7" s="36" t="s">
        <v>66</v>
      </c>
      <c r="G7" s="36" t="s">
        <v>45</v>
      </c>
      <c r="I7" s="36" t="s">
        <v>67</v>
      </c>
      <c r="J7" s="36" t="s">
        <v>68</v>
      </c>
      <c r="K7" s="276"/>
    </row>
    <row r="8" spans="1:13" ht="19.5" customHeight="1">
      <c r="A8" s="305" t="s">
        <v>69</v>
      </c>
      <c r="B8" s="391">
        <v>46111</v>
      </c>
      <c r="C8" s="396" t="e">
        <f xml:space="preserve"> VLOOKUP(E8, $A$2:$E$822, 2, FALSE)</f>
        <v>#N/A</v>
      </c>
      <c r="D8" s="36" t="s">
        <v>42</v>
      </c>
      <c r="E8" s="36" t="s">
        <v>70</v>
      </c>
      <c r="F8" s="36" t="s">
        <v>71</v>
      </c>
      <c r="I8" s="36" t="s">
        <v>72</v>
      </c>
      <c r="J8" s="36" t="s">
        <v>73</v>
      </c>
      <c r="K8" s="276"/>
      <c r="L8" s="146" t="s">
        <v>74</v>
      </c>
    </row>
    <row r="9" spans="1:13" ht="19.5" customHeight="1">
      <c r="A9" s="305" t="s">
        <v>75</v>
      </c>
      <c r="B9" s="391">
        <v>46076</v>
      </c>
      <c r="C9" s="396" t="e">
        <f xml:space="preserve"> VLOOKUP(E9, $A$2:$E$822, 2, FALSE)</f>
        <v>#N/A</v>
      </c>
      <c r="D9" s="36" t="s">
        <v>42</v>
      </c>
      <c r="E9" s="36" t="s">
        <v>76</v>
      </c>
      <c r="F9" s="36" t="s">
        <v>52</v>
      </c>
      <c r="I9" s="36" t="s">
        <v>77</v>
      </c>
      <c r="J9" s="36" t="s">
        <v>78</v>
      </c>
      <c r="K9" s="276">
        <v>45771</v>
      </c>
    </row>
    <row r="10" spans="1:13" ht="19.5" customHeight="1">
      <c r="A10" s="305" t="s">
        <v>79</v>
      </c>
      <c r="B10" s="391">
        <v>46035</v>
      </c>
      <c r="C10" s="396" t="e">
        <f xml:space="preserve"> VLOOKUP(E10, $A$2:$E$822, 2, FALSE)</f>
        <v>#N/A</v>
      </c>
      <c r="D10" s="36" t="s">
        <v>42</v>
      </c>
      <c r="E10" s="36" t="s">
        <v>80</v>
      </c>
      <c r="F10" s="36" t="s">
        <v>81</v>
      </c>
      <c r="I10" s="36" t="s">
        <v>82</v>
      </c>
      <c r="J10" s="36" t="s">
        <v>83</v>
      </c>
      <c r="K10" s="276">
        <v>45785</v>
      </c>
    </row>
    <row r="11" spans="1:13" ht="19.5" customHeight="1">
      <c r="A11" s="305" t="s">
        <v>84</v>
      </c>
      <c r="B11" s="391">
        <v>46079</v>
      </c>
      <c r="C11" s="396" t="e">
        <f xml:space="preserve"> VLOOKUP(E11, $A$2:$E$822, 2, FALSE)</f>
        <v>#N/A</v>
      </c>
      <c r="D11" s="36" t="s">
        <v>42</v>
      </c>
      <c r="E11" s="36" t="s">
        <v>85</v>
      </c>
      <c r="F11" s="36" t="s">
        <v>86</v>
      </c>
      <c r="I11" s="36" t="s">
        <v>72</v>
      </c>
      <c r="J11" s="36" t="s">
        <v>87</v>
      </c>
      <c r="K11" s="276"/>
    </row>
    <row r="12" spans="1:13" ht="19.5" customHeight="1">
      <c r="A12" s="305" t="s">
        <v>88</v>
      </c>
      <c r="B12" s="391">
        <v>45994</v>
      </c>
      <c r="C12" s="396" t="e">
        <f xml:space="preserve"> VLOOKUP(E12, $A$2:$E$822, 2, FALSE)</f>
        <v>#N/A</v>
      </c>
      <c r="D12" s="36" t="s">
        <v>42</v>
      </c>
      <c r="E12" s="36" t="s">
        <v>89</v>
      </c>
      <c r="F12" s="36" t="s">
        <v>90</v>
      </c>
      <c r="I12" s="36" t="s">
        <v>91</v>
      </c>
      <c r="J12" s="36" t="s">
        <v>92</v>
      </c>
      <c r="K12" s="276">
        <v>45780</v>
      </c>
    </row>
    <row r="13" spans="1:13" ht="19.5" customHeight="1">
      <c r="A13" s="305" t="s">
        <v>93</v>
      </c>
      <c r="B13" s="391">
        <v>46072</v>
      </c>
      <c r="C13" s="396" t="e">
        <f xml:space="preserve"> VLOOKUP(E13, $A$2:$E$822, 2, FALSE)</f>
        <v>#N/A</v>
      </c>
      <c r="D13" s="36" t="s">
        <v>42</v>
      </c>
      <c r="E13" s="36" t="s">
        <v>94</v>
      </c>
      <c r="F13" s="36" t="s">
        <v>95</v>
      </c>
      <c r="G13" s="36" t="s">
        <v>45</v>
      </c>
      <c r="I13" s="36" t="s">
        <v>96</v>
      </c>
      <c r="J13" s="36" t="s">
        <v>97</v>
      </c>
      <c r="K13" s="276"/>
    </row>
    <row r="14" spans="1:13" ht="19.5" customHeight="1">
      <c r="A14" s="305" t="s">
        <v>98</v>
      </c>
      <c r="B14" s="391">
        <v>46252</v>
      </c>
      <c r="C14" s="396" t="e">
        <f xml:space="preserve"> VLOOKUP(E14, $A$2:$E$822, 2, FALSE)</f>
        <v>#N/A</v>
      </c>
      <c r="D14" s="36" t="s">
        <v>42</v>
      </c>
      <c r="E14" s="36" t="s">
        <v>99</v>
      </c>
      <c r="F14" s="36" t="s">
        <v>100</v>
      </c>
      <c r="G14" s="36" t="s">
        <v>45</v>
      </c>
      <c r="I14" s="36" t="s">
        <v>101</v>
      </c>
      <c r="J14" s="36" t="s">
        <v>102</v>
      </c>
      <c r="K14" s="276" t="s">
        <v>103</v>
      </c>
      <c r="M14" s="36">
        <v>680459771</v>
      </c>
    </row>
    <row r="15" spans="1:13" ht="19.5" customHeight="1">
      <c r="A15" s="305" t="s">
        <v>104</v>
      </c>
      <c r="B15" s="391">
        <v>46076</v>
      </c>
      <c r="C15" s="396" t="e">
        <f xml:space="preserve"> VLOOKUP(E15, $A$2:$E$822, 2, FALSE)</f>
        <v>#N/A</v>
      </c>
      <c r="D15" s="36" t="s">
        <v>42</v>
      </c>
      <c r="E15" s="36" t="s">
        <v>105</v>
      </c>
      <c r="F15" s="36" t="s">
        <v>106</v>
      </c>
      <c r="G15" s="36" t="s">
        <v>45</v>
      </c>
      <c r="I15" s="36" t="s">
        <v>101</v>
      </c>
      <c r="J15" s="36" t="s">
        <v>107</v>
      </c>
      <c r="K15" s="276"/>
      <c r="L15" s="146" t="s">
        <v>99</v>
      </c>
    </row>
    <row r="16" spans="1:13" ht="19.5" customHeight="1">
      <c r="A16" s="305" t="s">
        <v>108</v>
      </c>
      <c r="B16" s="391">
        <v>46099</v>
      </c>
      <c r="C16" s="396" t="e">
        <f xml:space="preserve"> VLOOKUP(E16, $A$2:$E$822, 2, FALSE)</f>
        <v>#N/A</v>
      </c>
      <c r="D16" s="36" t="s">
        <v>42</v>
      </c>
      <c r="E16" s="36" t="s">
        <v>109</v>
      </c>
      <c r="F16" s="36" t="s">
        <v>52</v>
      </c>
      <c r="I16" s="36" t="s">
        <v>110</v>
      </c>
      <c r="J16" s="36" t="s">
        <v>111</v>
      </c>
      <c r="K16" s="276"/>
    </row>
    <row r="17" spans="1:12" ht="19.5" customHeight="1">
      <c r="A17" s="305" t="s">
        <v>112</v>
      </c>
      <c r="B17" s="391">
        <v>46031</v>
      </c>
      <c r="C17" s="396" t="e">
        <f xml:space="preserve"> VLOOKUP(E17, $A$2:$E$822, 2, FALSE)</f>
        <v>#N/A</v>
      </c>
      <c r="D17" s="36" t="s">
        <v>42</v>
      </c>
      <c r="E17" s="36" t="s">
        <v>113</v>
      </c>
      <c r="F17" s="36" t="s">
        <v>114</v>
      </c>
      <c r="G17" s="36" t="s">
        <v>45</v>
      </c>
      <c r="I17" s="36" t="s">
        <v>115</v>
      </c>
      <c r="J17" s="36" t="s">
        <v>116</v>
      </c>
      <c r="K17" s="276"/>
    </row>
    <row r="18" spans="1:12" ht="19.5" customHeight="1">
      <c r="A18" s="305" t="s">
        <v>117</v>
      </c>
      <c r="B18" s="391">
        <v>46044</v>
      </c>
      <c r="C18" s="396" t="e">
        <f xml:space="preserve"> VLOOKUP(E18, $A$2:$E$822, 2, FALSE)</f>
        <v>#N/A</v>
      </c>
      <c r="D18" s="36" t="s">
        <v>42</v>
      </c>
      <c r="E18" s="36" t="s">
        <v>118</v>
      </c>
      <c r="F18" s="36" t="s">
        <v>90</v>
      </c>
      <c r="I18" s="36" t="s">
        <v>119</v>
      </c>
      <c r="J18" s="36" t="s">
        <v>120</v>
      </c>
      <c r="K18" s="276">
        <v>45832</v>
      </c>
    </row>
    <row r="19" spans="1:12" ht="19.5" customHeight="1">
      <c r="A19" s="305" t="s">
        <v>121</v>
      </c>
      <c r="B19" s="391">
        <v>46101</v>
      </c>
      <c r="C19" s="396" t="e">
        <f xml:space="preserve"> VLOOKUP(E19, $A$2:$E$822, 2, FALSE)</f>
        <v>#N/A</v>
      </c>
      <c r="D19" s="36" t="s">
        <v>42</v>
      </c>
      <c r="E19" s="36" t="s">
        <v>122</v>
      </c>
      <c r="F19" s="36" t="s">
        <v>90</v>
      </c>
      <c r="I19" s="36" t="s">
        <v>123</v>
      </c>
      <c r="J19" s="36" t="s">
        <v>124</v>
      </c>
      <c r="K19" s="276"/>
    </row>
    <row r="20" spans="1:12" ht="19.5" customHeight="1">
      <c r="A20" s="305" t="s">
        <v>125</v>
      </c>
      <c r="B20" s="391">
        <v>46091</v>
      </c>
      <c r="C20" s="396" t="e">
        <f xml:space="preserve"> VLOOKUP(E20, $A$2:$E$822, 2, FALSE)</f>
        <v>#N/A</v>
      </c>
      <c r="D20" s="36" t="s">
        <v>42</v>
      </c>
      <c r="E20" s="36" t="s">
        <v>126</v>
      </c>
      <c r="F20" s="36" t="s">
        <v>71</v>
      </c>
      <c r="I20" s="36" t="s">
        <v>127</v>
      </c>
      <c r="J20" s="36" t="s">
        <v>128</v>
      </c>
      <c r="K20" s="276">
        <v>45874</v>
      </c>
    </row>
    <row r="21" spans="1:12" ht="19.5" customHeight="1">
      <c r="A21" s="305" t="s">
        <v>129</v>
      </c>
      <c r="B21" s="391">
        <v>46086</v>
      </c>
      <c r="C21" s="396" t="e">
        <f xml:space="preserve"> VLOOKUP(E21, $A$2:$E$822, 2, FALSE)</f>
        <v>#N/A</v>
      </c>
      <c r="D21" s="36" t="s">
        <v>42</v>
      </c>
      <c r="E21" s="36" t="s">
        <v>130</v>
      </c>
      <c r="F21" s="36" t="s">
        <v>52</v>
      </c>
      <c r="I21" s="36" t="s">
        <v>131</v>
      </c>
      <c r="J21" s="36" t="s">
        <v>132</v>
      </c>
      <c r="K21" s="276">
        <v>45901</v>
      </c>
      <c r="L21" s="146" t="s">
        <v>133</v>
      </c>
    </row>
    <row r="22" spans="1:12" ht="19.5" customHeight="1">
      <c r="A22" s="305" t="s">
        <v>134</v>
      </c>
      <c r="B22" s="391">
        <v>46020</v>
      </c>
      <c r="C22" s="396" t="e">
        <f xml:space="preserve"> VLOOKUP(E22, $A$2:$E$822, 2, FALSE)</f>
        <v>#N/A</v>
      </c>
      <c r="D22" s="36" t="s">
        <v>42</v>
      </c>
      <c r="E22" s="36" t="s">
        <v>135</v>
      </c>
      <c r="F22" s="36" t="s">
        <v>136</v>
      </c>
      <c r="I22" s="36" t="s">
        <v>137</v>
      </c>
      <c r="J22" s="36" t="s">
        <v>138</v>
      </c>
      <c r="K22" s="276"/>
    </row>
    <row r="23" spans="1:12" ht="19.5" customHeight="1">
      <c r="A23" s="305" t="s">
        <v>139</v>
      </c>
      <c r="B23" s="391">
        <v>46076</v>
      </c>
      <c r="C23" s="396" t="e">
        <f xml:space="preserve"> VLOOKUP(E23, $A$2:$E$822, 2, FALSE)</f>
        <v>#N/A</v>
      </c>
      <c r="D23" s="36" t="s">
        <v>42</v>
      </c>
      <c r="E23" s="36" t="s">
        <v>140</v>
      </c>
      <c r="F23" s="36" t="s">
        <v>44</v>
      </c>
      <c r="G23" s="36" t="s">
        <v>141</v>
      </c>
      <c r="I23" s="36" t="s">
        <v>142</v>
      </c>
      <c r="J23" s="36" t="s">
        <v>143</v>
      </c>
      <c r="K23" s="276"/>
    </row>
    <row r="24" spans="1:12" ht="19.5" customHeight="1">
      <c r="A24" s="305" t="s">
        <v>144</v>
      </c>
      <c r="B24" s="391">
        <v>46086</v>
      </c>
      <c r="C24" s="396" t="e">
        <f xml:space="preserve"> VLOOKUP(E24, $A$2:$E$822, 2, FALSE)</f>
        <v>#N/A</v>
      </c>
      <c r="D24" s="36" t="s">
        <v>42</v>
      </c>
      <c r="E24" s="36" t="s">
        <v>145</v>
      </c>
      <c r="F24" s="36" t="s">
        <v>90</v>
      </c>
      <c r="G24" s="36" t="s">
        <v>141</v>
      </c>
      <c r="I24" s="36" t="s">
        <v>137</v>
      </c>
      <c r="J24" s="36" t="s">
        <v>146</v>
      </c>
      <c r="K24" s="276">
        <v>45890</v>
      </c>
    </row>
    <row r="25" spans="1:12" ht="19.5" customHeight="1">
      <c r="A25" s="305" t="s">
        <v>147</v>
      </c>
      <c r="B25" s="391">
        <v>46078</v>
      </c>
      <c r="C25" s="396" t="e">
        <f xml:space="preserve"> VLOOKUP(E25, $A$2:$E$822, 2, FALSE)</f>
        <v>#N/A</v>
      </c>
      <c r="D25" s="36" t="s">
        <v>42</v>
      </c>
      <c r="E25" s="36" t="s">
        <v>148</v>
      </c>
      <c r="F25" s="36" t="s">
        <v>149</v>
      </c>
      <c r="G25" s="36" t="s">
        <v>45</v>
      </c>
      <c r="I25" s="36" t="s">
        <v>101</v>
      </c>
      <c r="J25" s="36" t="s">
        <v>150</v>
      </c>
      <c r="L25" s="146" t="s">
        <v>151</v>
      </c>
    </row>
    <row r="26" spans="1:12" ht="19.5" customHeight="1">
      <c r="A26" s="305" t="s">
        <v>152</v>
      </c>
      <c r="B26" s="391">
        <v>46086</v>
      </c>
      <c r="C26" s="396" t="e">
        <f xml:space="preserve"> VLOOKUP(E26, $A$2:$E$822, 2, FALSE)</f>
        <v>#N/A</v>
      </c>
      <c r="D26" s="36" t="s">
        <v>42</v>
      </c>
      <c r="E26" s="36" t="s">
        <v>153</v>
      </c>
      <c r="F26" s="36" t="s">
        <v>57</v>
      </c>
      <c r="I26" s="36" t="s">
        <v>154</v>
      </c>
      <c r="J26" s="36" t="s">
        <v>155</v>
      </c>
      <c r="K26" s="276"/>
    </row>
    <row r="27" spans="1:12" ht="19.5" customHeight="1">
      <c r="A27" s="305" t="s">
        <v>156</v>
      </c>
      <c r="B27" s="391">
        <v>46231</v>
      </c>
      <c r="C27" s="396" t="e">
        <f xml:space="preserve"> VLOOKUP(E27, $A$2:$E$822, 2, FALSE)</f>
        <v>#N/A</v>
      </c>
      <c r="D27" s="36" t="s">
        <v>42</v>
      </c>
      <c r="E27" s="36" t="s">
        <v>157</v>
      </c>
      <c r="F27" s="36" t="s">
        <v>90</v>
      </c>
      <c r="I27" s="36" t="s">
        <v>158</v>
      </c>
      <c r="J27" s="36" t="s">
        <v>159</v>
      </c>
      <c r="K27" s="276"/>
    </row>
    <row r="28" spans="1:12" ht="19.5" customHeight="1">
      <c r="A28" s="305" t="s">
        <v>160</v>
      </c>
      <c r="B28" s="391">
        <v>46272</v>
      </c>
      <c r="C28" s="396" t="e">
        <f xml:space="preserve"> VLOOKUP(E28, $A$2:$E$822, 2, FALSE)</f>
        <v>#N/A</v>
      </c>
      <c r="D28" s="36" t="s">
        <v>42</v>
      </c>
      <c r="E28" s="36" t="s">
        <v>161</v>
      </c>
      <c r="F28" s="36" t="s">
        <v>90</v>
      </c>
      <c r="G28" s="36" t="s">
        <v>141</v>
      </c>
      <c r="I28" s="36" t="s">
        <v>162</v>
      </c>
      <c r="J28" s="36" t="s">
        <v>163</v>
      </c>
      <c r="K28" s="276">
        <v>45876</v>
      </c>
    </row>
    <row r="29" spans="1:12" ht="19.5" customHeight="1">
      <c r="A29" s="305" t="s">
        <v>164</v>
      </c>
      <c r="B29" s="391">
        <v>46084</v>
      </c>
      <c r="C29" s="396" t="e">
        <f xml:space="preserve"> VLOOKUP(E29, $A$2:$E$822, 2, FALSE)</f>
        <v>#N/A</v>
      </c>
      <c r="D29" s="36" t="s">
        <v>42</v>
      </c>
      <c r="E29" s="36" t="s">
        <v>165</v>
      </c>
      <c r="F29" s="36" t="s">
        <v>166</v>
      </c>
      <c r="G29" s="36" t="s">
        <v>45</v>
      </c>
      <c r="I29" s="36" t="s">
        <v>167</v>
      </c>
      <c r="J29" s="36" t="s">
        <v>67</v>
      </c>
      <c r="K29" s="276"/>
    </row>
    <row r="30" spans="1:12" ht="19.5" customHeight="1">
      <c r="A30" s="305" t="s">
        <v>168</v>
      </c>
      <c r="B30" s="391">
        <v>46087</v>
      </c>
      <c r="C30" s="396" t="e">
        <f xml:space="preserve"> VLOOKUP(E30, $A$2:$E$822, 2, FALSE)</f>
        <v>#N/A</v>
      </c>
      <c r="D30" s="36" t="s">
        <v>42</v>
      </c>
      <c r="E30" s="36" t="s">
        <v>169</v>
      </c>
      <c r="F30" s="36" t="s">
        <v>90</v>
      </c>
      <c r="G30" s="36" t="s">
        <v>45</v>
      </c>
      <c r="I30" s="36" t="s">
        <v>170</v>
      </c>
      <c r="J30" s="36" t="s">
        <v>171</v>
      </c>
      <c r="K30" s="276"/>
    </row>
    <row r="31" spans="1:12" ht="19.5" customHeight="1">
      <c r="A31" s="305" t="s">
        <v>172</v>
      </c>
      <c r="B31" s="391">
        <v>46213</v>
      </c>
      <c r="C31" s="396" t="e">
        <f xml:space="preserve"> VLOOKUP(E31, $A$2:$E$822, 2, FALSE)</f>
        <v>#N/A</v>
      </c>
      <c r="D31" s="36" t="s">
        <v>42</v>
      </c>
      <c r="E31" s="36" t="s">
        <v>173</v>
      </c>
      <c r="F31" s="36" t="s">
        <v>100</v>
      </c>
      <c r="G31" s="36" t="s">
        <v>45</v>
      </c>
      <c r="I31" s="36" t="s">
        <v>174</v>
      </c>
      <c r="J31" s="36" t="s">
        <v>175</v>
      </c>
      <c r="K31" s="276">
        <v>45770</v>
      </c>
    </row>
    <row r="32" spans="1:12" ht="19.5" customHeight="1">
      <c r="A32" s="305" t="s">
        <v>176</v>
      </c>
      <c r="B32" s="391">
        <v>46091</v>
      </c>
      <c r="C32" s="396" t="e">
        <f xml:space="preserve"> VLOOKUP(E32, $A$2:$E$822, 2, FALSE)</f>
        <v>#N/A</v>
      </c>
      <c r="D32" s="36" t="s">
        <v>42</v>
      </c>
      <c r="E32" s="36" t="s">
        <v>177</v>
      </c>
      <c r="F32" s="36" t="s">
        <v>100</v>
      </c>
      <c r="G32" s="36" t="s">
        <v>45</v>
      </c>
      <c r="I32" s="36" t="s">
        <v>174</v>
      </c>
      <c r="J32" s="36" t="s">
        <v>175</v>
      </c>
      <c r="K32" s="276"/>
    </row>
    <row r="33" spans="1:13" ht="19.5" customHeight="1">
      <c r="A33" s="305" t="s">
        <v>178</v>
      </c>
      <c r="B33" s="391">
        <v>46248</v>
      </c>
      <c r="C33" s="396" t="e">
        <f xml:space="preserve"> VLOOKUP(E33, $A$2:$E$822, 2, FALSE)</f>
        <v>#N/A</v>
      </c>
      <c r="D33" s="36" t="s">
        <v>42</v>
      </c>
      <c r="E33" s="36" t="s">
        <v>179</v>
      </c>
      <c r="F33" s="36" t="s">
        <v>106</v>
      </c>
      <c r="G33" s="36" t="s">
        <v>45</v>
      </c>
      <c r="I33" s="36" t="s">
        <v>174</v>
      </c>
      <c r="J33" s="36" t="s">
        <v>175</v>
      </c>
      <c r="K33" s="276"/>
      <c r="L33" s="146" t="s">
        <v>173</v>
      </c>
    </row>
    <row r="34" spans="1:13" ht="19.5" customHeight="1">
      <c r="A34" s="305" t="s">
        <v>180</v>
      </c>
      <c r="B34" s="391">
        <v>46239</v>
      </c>
      <c r="C34" s="396" t="e">
        <f xml:space="preserve"> VLOOKUP(E34, $A$2:$E$822, 2, FALSE)</f>
        <v>#N/A</v>
      </c>
      <c r="D34" s="36" t="s">
        <v>42</v>
      </c>
      <c r="E34" s="36" t="s">
        <v>181</v>
      </c>
      <c r="F34" s="36" t="s">
        <v>100</v>
      </c>
      <c r="G34" s="36" t="s">
        <v>45</v>
      </c>
      <c r="I34" s="36" t="s">
        <v>154</v>
      </c>
      <c r="J34" s="36" t="s">
        <v>182</v>
      </c>
      <c r="K34" s="276" t="s">
        <v>183</v>
      </c>
      <c r="L34" s="146" t="s">
        <v>184</v>
      </c>
      <c r="M34" s="36">
        <v>565608331</v>
      </c>
    </row>
    <row r="35" spans="1:13" ht="19.5" customHeight="1">
      <c r="A35" s="305" t="s">
        <v>185</v>
      </c>
      <c r="B35" s="391">
        <v>46079</v>
      </c>
      <c r="C35" s="396" t="e">
        <f xml:space="preserve"> VLOOKUP(E35, $A$2:$E$822, 2, FALSE)</f>
        <v>#N/A</v>
      </c>
      <c r="D35" s="36" t="s">
        <v>42</v>
      </c>
      <c r="E35" s="36" t="s">
        <v>186</v>
      </c>
      <c r="F35" s="36" t="s">
        <v>57</v>
      </c>
      <c r="G35" s="36" t="s">
        <v>141</v>
      </c>
      <c r="I35" s="36" t="s">
        <v>187</v>
      </c>
      <c r="J35" s="36" t="s">
        <v>188</v>
      </c>
      <c r="K35" s="276"/>
      <c r="L35" s="146" t="s">
        <v>189</v>
      </c>
    </row>
    <row r="36" spans="1:13" ht="19.5" customHeight="1">
      <c r="A36" s="305" t="s">
        <v>190</v>
      </c>
      <c r="B36" s="391">
        <v>46076</v>
      </c>
      <c r="C36" s="396" t="e">
        <f xml:space="preserve"> VLOOKUP(E36, $A$2:$E$822, 2, FALSE)</f>
        <v>#N/A</v>
      </c>
      <c r="D36" s="45" t="s">
        <v>42</v>
      </c>
      <c r="E36" s="11" t="s">
        <v>191</v>
      </c>
      <c r="F36" s="57" t="s">
        <v>81</v>
      </c>
      <c r="G36" s="57" t="s">
        <v>141</v>
      </c>
      <c r="H36" s="57"/>
      <c r="I36" s="57" t="s">
        <v>192</v>
      </c>
      <c r="J36" s="57" t="s">
        <v>193</v>
      </c>
      <c r="K36" s="278">
        <v>45951</v>
      </c>
      <c r="L36" s="279"/>
      <c r="M36" s="57"/>
    </row>
    <row r="37" spans="1:13" ht="19.5" customHeight="1">
      <c r="A37" s="305" t="s">
        <v>194</v>
      </c>
      <c r="B37" s="391">
        <v>46101</v>
      </c>
      <c r="C37" s="396" t="e">
        <f xml:space="preserve"> VLOOKUP(E37, $A$2:$E$822, 2, FALSE)</f>
        <v>#N/A</v>
      </c>
      <c r="D37" s="36" t="s">
        <v>42</v>
      </c>
      <c r="E37" s="36" t="s">
        <v>195</v>
      </c>
      <c r="F37" s="36" t="s">
        <v>100</v>
      </c>
      <c r="G37" s="36" t="s">
        <v>141</v>
      </c>
      <c r="I37" s="36" t="s">
        <v>196</v>
      </c>
      <c r="J37" s="36" t="s">
        <v>197</v>
      </c>
      <c r="K37" s="276">
        <v>45715</v>
      </c>
      <c r="L37" s="146" t="s">
        <v>198</v>
      </c>
      <c r="M37" s="36">
        <v>565451655</v>
      </c>
    </row>
    <row r="38" spans="1:13" ht="19.5" customHeight="1">
      <c r="A38" s="305" t="s">
        <v>199</v>
      </c>
      <c r="B38" s="391">
        <v>46106</v>
      </c>
      <c r="C38" s="396" t="e">
        <f xml:space="preserve"> VLOOKUP(E38, $A$2:$E$822, 2, FALSE)</f>
        <v>#N/A</v>
      </c>
      <c r="D38" s="36" t="s">
        <v>42</v>
      </c>
      <c r="E38" s="11" t="s">
        <v>200</v>
      </c>
      <c r="F38" s="36" t="s">
        <v>100</v>
      </c>
      <c r="G38" s="36" t="s">
        <v>45</v>
      </c>
      <c r="I38" s="36" t="s">
        <v>201</v>
      </c>
      <c r="J38" s="36" t="s">
        <v>202</v>
      </c>
      <c r="K38" s="276">
        <v>45692</v>
      </c>
    </row>
    <row r="39" spans="1:13" ht="19.5" customHeight="1">
      <c r="A39" s="305" t="s">
        <v>203</v>
      </c>
      <c r="B39" s="391">
        <v>46092</v>
      </c>
      <c r="C39" s="396" t="e">
        <f xml:space="preserve"> VLOOKUP(E39, $A$2:$E$822, 2, FALSE)</f>
        <v>#N/A</v>
      </c>
      <c r="D39" s="36" t="s">
        <v>42</v>
      </c>
      <c r="E39" s="36" t="s">
        <v>204</v>
      </c>
      <c r="F39" s="36" t="s">
        <v>66</v>
      </c>
      <c r="G39" s="36" t="s">
        <v>141</v>
      </c>
      <c r="H39" s="36" t="s">
        <v>205</v>
      </c>
      <c r="I39" s="36" t="s">
        <v>206</v>
      </c>
      <c r="J39" s="36" t="s">
        <v>207</v>
      </c>
      <c r="K39" s="276">
        <v>45918</v>
      </c>
    </row>
    <row r="40" spans="1:13" ht="19.5" customHeight="1">
      <c r="A40" s="305" t="s">
        <v>208</v>
      </c>
      <c r="B40" s="391">
        <v>46092</v>
      </c>
      <c r="C40" s="396" t="e">
        <f xml:space="preserve"> VLOOKUP(E40, $A$2:$E$822, 2, FALSE)</f>
        <v>#N/A</v>
      </c>
      <c r="D40" s="36" t="s">
        <v>42</v>
      </c>
      <c r="E40" s="36" t="s">
        <v>209</v>
      </c>
      <c r="F40" s="36" t="s">
        <v>166</v>
      </c>
      <c r="G40" s="36" t="s">
        <v>141</v>
      </c>
      <c r="I40" s="36" t="s">
        <v>210</v>
      </c>
      <c r="J40" s="36" t="s">
        <v>211</v>
      </c>
      <c r="K40" s="276" t="s">
        <v>212</v>
      </c>
    </row>
    <row r="41" spans="1:13" ht="19.5" customHeight="1">
      <c r="A41" s="305" t="s">
        <v>213</v>
      </c>
      <c r="B41" s="391">
        <v>46078</v>
      </c>
      <c r="C41" s="396" t="e">
        <f xml:space="preserve"> VLOOKUP(E41, $A$2:$E$822, 2, FALSE)</f>
        <v>#N/A</v>
      </c>
      <c r="D41" s="36" t="s">
        <v>42</v>
      </c>
      <c r="E41" s="36" t="s">
        <v>214</v>
      </c>
      <c r="F41" s="36" t="s">
        <v>81</v>
      </c>
      <c r="I41" s="36" t="s">
        <v>127</v>
      </c>
      <c r="J41" s="36" t="s">
        <v>215</v>
      </c>
      <c r="K41" s="276"/>
      <c r="L41" s="146" t="s">
        <v>216</v>
      </c>
    </row>
    <row r="42" spans="1:13" ht="19.5" customHeight="1">
      <c r="A42" s="305" t="s">
        <v>217</v>
      </c>
      <c r="B42" s="391">
        <v>46252</v>
      </c>
      <c r="C42" s="396" t="e">
        <f xml:space="preserve"> VLOOKUP(E42, $A$2:$E$822, 2, FALSE)</f>
        <v>#N/A</v>
      </c>
      <c r="D42" s="36" t="s">
        <v>42</v>
      </c>
      <c r="E42" s="36" t="s">
        <v>218</v>
      </c>
      <c r="F42" s="36" t="s">
        <v>57</v>
      </c>
      <c r="I42" s="160" t="s">
        <v>158</v>
      </c>
      <c r="J42" s="36" t="s">
        <v>219</v>
      </c>
      <c r="K42" s="276"/>
    </row>
    <row r="43" spans="1:13" ht="19.5" customHeight="1">
      <c r="A43" s="305" t="s">
        <v>220</v>
      </c>
      <c r="B43" s="391">
        <v>46090</v>
      </c>
      <c r="C43" s="396" t="e">
        <f xml:space="preserve"> VLOOKUP(E43, $A$2:$E$822, 2, FALSE)</f>
        <v>#N/A</v>
      </c>
      <c r="D43" s="36" t="s">
        <v>42</v>
      </c>
      <c r="E43" s="36" t="s">
        <v>221</v>
      </c>
      <c r="F43" s="36" t="s">
        <v>90</v>
      </c>
      <c r="I43" s="36" t="s">
        <v>192</v>
      </c>
      <c r="J43" s="36" t="s">
        <v>193</v>
      </c>
      <c r="K43" s="276"/>
    </row>
    <row r="44" spans="1:13" ht="19.5" customHeight="1">
      <c r="A44" s="305" t="s">
        <v>222</v>
      </c>
      <c r="B44" s="391">
        <v>46072</v>
      </c>
      <c r="C44" s="396" t="e">
        <f xml:space="preserve"> VLOOKUP(E44, $A$2:$E$822, 2, FALSE)</f>
        <v>#N/A</v>
      </c>
      <c r="D44" s="36" t="s">
        <v>42</v>
      </c>
      <c r="E44" s="36" t="s">
        <v>223</v>
      </c>
      <c r="F44" s="36" t="s">
        <v>100</v>
      </c>
      <c r="G44" s="36" t="s">
        <v>45</v>
      </c>
      <c r="I44" s="36" t="s">
        <v>224</v>
      </c>
      <c r="J44" s="36" t="s">
        <v>225</v>
      </c>
      <c r="K44" s="276" t="s">
        <v>226</v>
      </c>
      <c r="L44" s="146" t="s">
        <v>227</v>
      </c>
    </row>
    <row r="45" spans="1:13" ht="19.5" customHeight="1">
      <c r="A45" s="305" t="s">
        <v>228</v>
      </c>
      <c r="B45" s="391">
        <v>46079</v>
      </c>
      <c r="C45" s="396" t="e">
        <f xml:space="preserve"> VLOOKUP(E45, $A$2:$E$822, 2, FALSE)</f>
        <v>#N/A</v>
      </c>
      <c r="D45" s="36" t="s">
        <v>42</v>
      </c>
      <c r="E45" s="36" t="s">
        <v>229</v>
      </c>
      <c r="F45" s="36" t="s">
        <v>230</v>
      </c>
      <c r="J45" s="36" t="s">
        <v>231</v>
      </c>
      <c r="K45" s="276">
        <v>45978</v>
      </c>
      <c r="L45" s="146" t="s">
        <v>232</v>
      </c>
    </row>
    <row r="46" spans="1:13" ht="19.5" customHeight="1">
      <c r="A46" s="305" t="s">
        <v>233</v>
      </c>
      <c r="B46" s="391">
        <v>46076</v>
      </c>
      <c r="C46" s="396" t="e">
        <f xml:space="preserve"> VLOOKUP(E46, $A$2:$E$822, 2, FALSE)</f>
        <v>#N/A</v>
      </c>
      <c r="D46" s="36" t="s">
        <v>42</v>
      </c>
      <c r="E46" s="11" t="s">
        <v>234</v>
      </c>
      <c r="F46" s="36" t="s">
        <v>230</v>
      </c>
      <c r="J46" s="36" t="s">
        <v>235</v>
      </c>
      <c r="K46" s="276">
        <v>45959</v>
      </c>
      <c r="L46" s="146" t="s">
        <v>236</v>
      </c>
    </row>
    <row r="47" spans="1:13" ht="19.5" customHeight="1">
      <c r="A47" s="305" t="s">
        <v>237</v>
      </c>
      <c r="B47" s="391">
        <v>46104</v>
      </c>
      <c r="C47" s="396" t="e">
        <f xml:space="preserve"> VLOOKUP(E47, $A$2:$E$822, 2, FALSE)</f>
        <v>#N/A</v>
      </c>
      <c r="D47" s="36" t="s">
        <v>42</v>
      </c>
      <c r="E47" s="11" t="s">
        <v>238</v>
      </c>
      <c r="F47" s="36" t="s">
        <v>106</v>
      </c>
      <c r="G47" s="36" t="s">
        <v>45</v>
      </c>
      <c r="I47" s="36" t="s">
        <v>154</v>
      </c>
      <c r="J47" s="36" t="s">
        <v>239</v>
      </c>
      <c r="L47" s="146" t="s">
        <v>240</v>
      </c>
    </row>
    <row r="48" spans="1:13" ht="19.5" customHeight="1">
      <c r="A48" s="305" t="s">
        <v>241</v>
      </c>
      <c r="B48" s="391">
        <v>46090</v>
      </c>
      <c r="C48" s="396" t="e">
        <f xml:space="preserve"> VLOOKUP(E48, $A$2:$E$822, 2, FALSE)</f>
        <v>#N/A</v>
      </c>
      <c r="D48" s="36" t="s">
        <v>42</v>
      </c>
      <c r="E48" s="36" t="s">
        <v>242</v>
      </c>
      <c r="F48" s="36" t="s">
        <v>243</v>
      </c>
      <c r="G48" s="36" t="s">
        <v>45</v>
      </c>
      <c r="I48" s="36" t="s">
        <v>244</v>
      </c>
      <c r="J48" s="36" t="s">
        <v>245</v>
      </c>
      <c r="K48" s="399" t="s">
        <v>191</v>
      </c>
    </row>
    <row r="49" spans="1:12" ht="19.5" customHeight="1">
      <c r="A49" s="305" t="s">
        <v>246</v>
      </c>
      <c r="B49" s="391">
        <v>46083</v>
      </c>
      <c r="C49" s="396" t="e">
        <f xml:space="preserve"> VLOOKUP(E49, $A$2:$E$822, 2, FALSE)</f>
        <v>#N/A</v>
      </c>
      <c r="D49" s="36" t="s">
        <v>42</v>
      </c>
      <c r="E49" s="36" t="s">
        <v>247</v>
      </c>
      <c r="F49" s="36" t="s">
        <v>230</v>
      </c>
      <c r="G49" s="36" t="s">
        <v>141</v>
      </c>
      <c r="H49" s="36" t="s">
        <v>248</v>
      </c>
      <c r="I49" s="36" t="s">
        <v>249</v>
      </c>
      <c r="J49" s="36" t="s">
        <v>250</v>
      </c>
      <c r="K49" s="276" t="s">
        <v>251</v>
      </c>
    </row>
    <row r="50" spans="1:12" ht="19.5" customHeight="1">
      <c r="A50" s="305" t="s">
        <v>252</v>
      </c>
      <c r="B50" s="391">
        <v>46092</v>
      </c>
      <c r="C50" s="396" t="e">
        <f xml:space="preserve"> VLOOKUP(E50, $A$2:$E$822, 2, FALSE)</f>
        <v>#N/A</v>
      </c>
      <c r="D50" s="36" t="s">
        <v>42</v>
      </c>
      <c r="E50" s="36" t="s">
        <v>253</v>
      </c>
      <c r="F50" s="36" t="s">
        <v>230</v>
      </c>
      <c r="G50" s="36" t="s">
        <v>141</v>
      </c>
      <c r="I50" s="36" t="s">
        <v>254</v>
      </c>
      <c r="J50" s="36" t="s">
        <v>255</v>
      </c>
      <c r="K50" s="276"/>
      <c r="L50" s="146" t="s">
        <v>256</v>
      </c>
    </row>
    <row r="51" spans="1:12" ht="19.5" customHeight="1">
      <c r="A51" s="305" t="s">
        <v>257</v>
      </c>
      <c r="B51" s="391">
        <v>46218</v>
      </c>
      <c r="C51" s="396" t="e">
        <f xml:space="preserve"> VLOOKUP(E51, $A$2:$E$822, 2, FALSE)</f>
        <v>#N/A</v>
      </c>
      <c r="D51" s="36" t="s">
        <v>42</v>
      </c>
      <c r="E51" s="36" t="s">
        <v>258</v>
      </c>
      <c r="F51" s="36" t="s">
        <v>106</v>
      </c>
      <c r="G51" s="36" t="s">
        <v>45</v>
      </c>
      <c r="I51" s="36" t="s">
        <v>210</v>
      </c>
      <c r="J51" s="36" t="s">
        <v>259</v>
      </c>
    </row>
    <row r="52" spans="1:12" ht="19.5" customHeight="1">
      <c r="A52" s="305" t="s">
        <v>260</v>
      </c>
      <c r="B52" s="391">
        <v>46119</v>
      </c>
      <c r="C52" s="396" t="e">
        <f xml:space="preserve"> VLOOKUP(E52, $A$2:$E$822, 2, FALSE)</f>
        <v>#N/A</v>
      </c>
      <c r="D52" s="36" t="s">
        <v>42</v>
      </c>
      <c r="E52" s="36" t="s">
        <v>261</v>
      </c>
      <c r="F52" s="36" t="s">
        <v>100</v>
      </c>
      <c r="G52" s="36" t="s">
        <v>45</v>
      </c>
      <c r="I52" s="36" t="s">
        <v>187</v>
      </c>
      <c r="J52" s="36" t="s">
        <v>262</v>
      </c>
      <c r="K52" s="277">
        <v>46000</v>
      </c>
      <c r="L52" s="146" t="s">
        <v>263</v>
      </c>
    </row>
    <row r="53" spans="1:12" ht="19.5" customHeight="1">
      <c r="A53" s="305" t="s">
        <v>264</v>
      </c>
      <c r="B53" s="391">
        <v>46079</v>
      </c>
      <c r="C53" s="396" t="e">
        <f xml:space="preserve"> VLOOKUP(E53, $A$2:$E$822, 2, FALSE)</f>
        <v>#N/A</v>
      </c>
      <c r="D53" s="36" t="s">
        <v>42</v>
      </c>
      <c r="E53" s="36" t="s">
        <v>265</v>
      </c>
      <c r="F53" s="36" t="s">
        <v>44</v>
      </c>
      <c r="G53" s="36" t="s">
        <v>45</v>
      </c>
      <c r="I53" s="36" t="s">
        <v>266</v>
      </c>
      <c r="J53" s="36" t="s">
        <v>267</v>
      </c>
    </row>
    <row r="54" spans="1:12" ht="19.5" customHeight="1">
      <c r="A54" s="305" t="s">
        <v>268</v>
      </c>
      <c r="B54" s="391">
        <v>46080</v>
      </c>
      <c r="C54" s="396" t="e">
        <f xml:space="preserve"> VLOOKUP(E54, $A$2:$E$822, 2, FALSE)</f>
        <v>#N/A</v>
      </c>
      <c r="D54" s="36" t="s">
        <v>42</v>
      </c>
      <c r="E54" s="36" t="s">
        <v>269</v>
      </c>
      <c r="F54" s="36" t="s">
        <v>136</v>
      </c>
      <c r="I54" s="36" t="s">
        <v>127</v>
      </c>
      <c r="J54" s="36" t="s">
        <v>270</v>
      </c>
      <c r="K54" s="276"/>
    </row>
    <row r="55" spans="1:12" ht="19.5" customHeight="1">
      <c r="A55" s="305" t="s">
        <v>271</v>
      </c>
      <c r="B55" s="391">
        <v>46078</v>
      </c>
      <c r="C55" s="396" t="e">
        <f xml:space="preserve"> VLOOKUP(E55, $A$2:$E$822, 2, FALSE)</f>
        <v>#N/A</v>
      </c>
      <c r="D55" s="36" t="s">
        <v>42</v>
      </c>
      <c r="E55" s="36" t="s">
        <v>272</v>
      </c>
      <c r="F55" s="36" t="s">
        <v>90</v>
      </c>
      <c r="G55" s="36" t="s">
        <v>141</v>
      </c>
      <c r="I55" s="36" t="s">
        <v>273</v>
      </c>
      <c r="J55" s="36" t="s">
        <v>274</v>
      </c>
      <c r="K55" s="277">
        <v>45930</v>
      </c>
      <c r="L55" s="146" t="s">
        <v>275</v>
      </c>
    </row>
    <row r="56" spans="1:12" ht="19.5" customHeight="1">
      <c r="A56" s="305" t="s">
        <v>276</v>
      </c>
      <c r="B56" s="391">
        <v>46391</v>
      </c>
      <c r="C56" s="396" t="e">
        <f xml:space="preserve"> VLOOKUP(E56, $A$2:$E$822, 2, FALSE)</f>
        <v>#N/A</v>
      </c>
      <c r="D56" s="36" t="s">
        <v>42</v>
      </c>
      <c r="E56" s="36" t="s">
        <v>277</v>
      </c>
      <c r="F56" s="36" t="s">
        <v>230</v>
      </c>
      <c r="I56" s="36" t="s">
        <v>278</v>
      </c>
      <c r="J56" s="36" t="s">
        <v>279</v>
      </c>
      <c r="K56" s="277">
        <v>46000</v>
      </c>
      <c r="L56" s="146" t="s">
        <v>280</v>
      </c>
    </row>
    <row r="57" spans="1:12" ht="19.5" customHeight="1">
      <c r="A57" s="305" t="s">
        <v>281</v>
      </c>
      <c r="B57" s="391">
        <v>46090</v>
      </c>
      <c r="C57" s="396" t="e">
        <f xml:space="preserve"> VLOOKUP(E57, $A$2:$E$822, 2, FALSE)</f>
        <v>#N/A</v>
      </c>
      <c r="D57" s="36" t="s">
        <v>42</v>
      </c>
      <c r="E57" s="36" t="s">
        <v>282</v>
      </c>
      <c r="F57" s="36" t="s">
        <v>57</v>
      </c>
      <c r="I57" s="36" t="s">
        <v>283</v>
      </c>
      <c r="J57" s="36" t="s">
        <v>284</v>
      </c>
    </row>
    <row r="58" spans="1:12" ht="19.5" customHeight="1">
      <c r="A58" s="305" t="s">
        <v>285</v>
      </c>
      <c r="B58" s="391">
        <v>46076</v>
      </c>
      <c r="C58" s="396" t="e">
        <f xml:space="preserve"> VLOOKUP(E58, $A$2:$E$822, 2, FALSE)</f>
        <v>#N/A</v>
      </c>
      <c r="D58" s="36" t="s">
        <v>42</v>
      </c>
      <c r="E58" s="36" t="s">
        <v>286</v>
      </c>
      <c r="F58" s="36" t="s">
        <v>90</v>
      </c>
      <c r="I58" s="36" t="s">
        <v>287</v>
      </c>
      <c r="J58" s="36" t="s">
        <v>288</v>
      </c>
      <c r="K58" s="276"/>
    </row>
    <row r="59" spans="1:12" ht="19.5" customHeight="1">
      <c r="A59" s="305" t="s">
        <v>289</v>
      </c>
      <c r="B59" s="391">
        <v>46092</v>
      </c>
      <c r="C59" s="396" t="e">
        <f xml:space="preserve"> VLOOKUP(E59, $A$2:$E$822, 2, FALSE)</f>
        <v>#N/A</v>
      </c>
      <c r="D59" s="36" t="s">
        <v>42</v>
      </c>
      <c r="E59" s="36" t="s">
        <v>290</v>
      </c>
      <c r="F59" s="36" t="s">
        <v>100</v>
      </c>
      <c r="G59" s="36" t="s">
        <v>45</v>
      </c>
      <c r="I59" s="36" t="s">
        <v>154</v>
      </c>
      <c r="J59" s="36" t="s">
        <v>291</v>
      </c>
      <c r="K59" s="276"/>
      <c r="L59" s="146" t="s">
        <v>292</v>
      </c>
    </row>
    <row r="60" spans="1:12" ht="19.5" customHeight="1">
      <c r="A60" s="305" t="s">
        <v>293</v>
      </c>
      <c r="B60" s="391">
        <v>46240</v>
      </c>
      <c r="C60" s="396" t="e">
        <f xml:space="preserve"> VLOOKUP(E60, $A$2:$E$822, 2, FALSE)</f>
        <v>#N/A</v>
      </c>
      <c r="D60" s="36" t="s">
        <v>42</v>
      </c>
      <c r="E60" s="36" t="s">
        <v>294</v>
      </c>
      <c r="F60" s="36" t="s">
        <v>106</v>
      </c>
      <c r="G60" s="36" t="s">
        <v>45</v>
      </c>
      <c r="I60" s="36" t="s">
        <v>154</v>
      </c>
      <c r="J60" s="36" t="s">
        <v>295</v>
      </c>
      <c r="K60" s="276"/>
    </row>
    <row r="61" spans="1:12" ht="19.5" customHeight="1">
      <c r="A61" s="305" t="s">
        <v>296</v>
      </c>
      <c r="B61" s="391" t="s">
        <v>297</v>
      </c>
      <c r="C61" s="396" t="e">
        <f xml:space="preserve"> VLOOKUP(E61, $A$2:$E$822, 2, FALSE)</f>
        <v>#N/A</v>
      </c>
      <c r="D61" s="36" t="s">
        <v>42</v>
      </c>
      <c r="E61" s="36" t="s">
        <v>298</v>
      </c>
      <c r="F61" s="36" t="s">
        <v>95</v>
      </c>
      <c r="G61" s="36" t="s">
        <v>45</v>
      </c>
      <c r="I61" s="36" t="s">
        <v>299</v>
      </c>
      <c r="J61" s="36" t="s">
        <v>300</v>
      </c>
      <c r="K61" s="276"/>
      <c r="L61" s="276" t="s">
        <v>301</v>
      </c>
    </row>
    <row r="62" spans="1:12" ht="19.5" customHeight="1">
      <c r="A62" s="305" t="s">
        <v>302</v>
      </c>
      <c r="B62" s="391">
        <v>46090</v>
      </c>
      <c r="C62" s="396" t="e">
        <f xml:space="preserve"> VLOOKUP(E62, $A$2:$E$822, 2, FALSE)</f>
        <v>#N/A</v>
      </c>
      <c r="D62" s="36" t="s">
        <v>42</v>
      </c>
      <c r="E62" s="11" t="s">
        <v>303</v>
      </c>
      <c r="F62" s="36" t="s">
        <v>62</v>
      </c>
      <c r="G62" s="36" t="s">
        <v>45</v>
      </c>
      <c r="I62" s="36" t="s">
        <v>304</v>
      </c>
      <c r="J62" s="36" t="s">
        <v>305</v>
      </c>
      <c r="K62" s="277">
        <v>46022</v>
      </c>
      <c r="L62" s="146" t="s">
        <v>306</v>
      </c>
    </row>
    <row r="63" spans="1:12" ht="19.5" customHeight="1">
      <c r="A63" s="305" t="s">
        <v>307</v>
      </c>
      <c r="B63" s="391">
        <v>46219</v>
      </c>
      <c r="C63" s="396" t="e">
        <f xml:space="preserve"> VLOOKUP(E63, $A$2:$E$822, 2, FALSE)</f>
        <v>#N/A</v>
      </c>
      <c r="D63" s="36" t="s">
        <v>42</v>
      </c>
      <c r="E63" s="36" t="s">
        <v>308</v>
      </c>
      <c r="F63" s="36" t="s">
        <v>44</v>
      </c>
      <c r="G63" s="36" t="s">
        <v>45</v>
      </c>
      <c r="I63" s="36" t="s">
        <v>309</v>
      </c>
      <c r="J63" s="36" t="s">
        <v>310</v>
      </c>
      <c r="K63" s="276">
        <v>45980</v>
      </c>
      <c r="L63" s="146" t="s">
        <v>311</v>
      </c>
    </row>
    <row r="64" spans="1:12" ht="19.5" customHeight="1">
      <c r="A64" s="305" t="s">
        <v>312</v>
      </c>
      <c r="B64" s="391">
        <v>46051</v>
      </c>
      <c r="C64" s="396" t="e">
        <f xml:space="preserve"> VLOOKUP(E64, $A$2:$E$822, 2, FALSE)</f>
        <v>#N/A</v>
      </c>
      <c r="D64" s="36" t="s">
        <v>42</v>
      </c>
      <c r="E64" s="36" t="s">
        <v>313</v>
      </c>
      <c r="F64" s="36" t="s">
        <v>106</v>
      </c>
      <c r="G64" s="36" t="s">
        <v>45</v>
      </c>
      <c r="I64" s="36" t="s">
        <v>201</v>
      </c>
      <c r="J64" s="36" t="s">
        <v>202</v>
      </c>
      <c r="K64" s="276"/>
      <c r="L64" s="146" t="s">
        <v>314</v>
      </c>
    </row>
    <row r="65" spans="1:12" ht="19.5" customHeight="1">
      <c r="A65" s="305" t="s">
        <v>315</v>
      </c>
      <c r="B65" s="391">
        <v>46029</v>
      </c>
      <c r="C65" s="396" t="e">
        <f xml:space="preserve"> VLOOKUP(E65, $A$2:$E$822, 2, FALSE)</f>
        <v>#N/A</v>
      </c>
      <c r="D65" s="36" t="s">
        <v>42</v>
      </c>
      <c r="E65" s="11" t="s">
        <v>316</v>
      </c>
      <c r="F65" s="36" t="s">
        <v>44</v>
      </c>
      <c r="G65" s="36" t="s">
        <v>45</v>
      </c>
      <c r="I65" s="36" t="s">
        <v>158</v>
      </c>
      <c r="J65" s="36" t="s">
        <v>317</v>
      </c>
      <c r="K65" s="276"/>
      <c r="L65" s="146" t="s">
        <v>318</v>
      </c>
    </row>
    <row r="66" spans="1:12" ht="19.5" customHeight="1">
      <c r="A66" s="305" t="s">
        <v>319</v>
      </c>
      <c r="B66" s="391">
        <v>46231</v>
      </c>
      <c r="C66" s="396" t="e">
        <f xml:space="preserve"> VLOOKUP(E66, $A$2:$E$822, 2, FALSE)</f>
        <v>#N/A</v>
      </c>
      <c r="D66" s="36" t="s">
        <v>42</v>
      </c>
      <c r="E66" s="36" t="s">
        <v>320</v>
      </c>
      <c r="F66" s="36">
        <v>72</v>
      </c>
      <c r="G66" s="36" t="s">
        <v>45</v>
      </c>
      <c r="I66" s="36" t="s">
        <v>210</v>
      </c>
      <c r="J66" s="36" t="s">
        <v>321</v>
      </c>
      <c r="K66" s="277">
        <v>46035</v>
      </c>
      <c r="L66" s="146" t="s">
        <v>322</v>
      </c>
    </row>
    <row r="67" spans="1:12" ht="19.5" customHeight="1">
      <c r="A67" s="305" t="s">
        <v>323</v>
      </c>
      <c r="B67" s="391">
        <v>46077</v>
      </c>
      <c r="C67" s="396" t="e">
        <f xml:space="preserve"> VLOOKUP(E67, $A$2:$E$822, 2, FALSE)</f>
        <v>#N/A</v>
      </c>
      <c r="D67" s="36" t="s">
        <v>42</v>
      </c>
      <c r="E67" s="36" t="s">
        <v>324</v>
      </c>
      <c r="F67" s="36" t="s">
        <v>71</v>
      </c>
      <c r="I67" s="36" t="s">
        <v>325</v>
      </c>
      <c r="J67" s="36" t="s">
        <v>326</v>
      </c>
      <c r="K67" s="277">
        <v>46020</v>
      </c>
    </row>
    <row r="68" spans="1:12" ht="19.5" customHeight="1">
      <c r="A68" s="305" t="s">
        <v>327</v>
      </c>
      <c r="B68" s="391">
        <v>46034</v>
      </c>
      <c r="C68" s="396" t="e">
        <f xml:space="preserve"> VLOOKUP(E68, $A$2:$E$822, 2, FALSE)</f>
        <v>#N/A</v>
      </c>
      <c r="D68" s="36" t="s">
        <v>42</v>
      </c>
      <c r="E68" s="36" t="s">
        <v>328</v>
      </c>
      <c r="F68" s="36" t="s">
        <v>230</v>
      </c>
      <c r="G68" s="36" t="s">
        <v>141</v>
      </c>
      <c r="I68" s="36" t="s">
        <v>96</v>
      </c>
      <c r="J68" s="36" t="s">
        <v>329</v>
      </c>
      <c r="K68" s="276"/>
    </row>
    <row r="69" spans="1:12" ht="19.5" customHeight="1">
      <c r="A69" s="305" t="s">
        <v>330</v>
      </c>
      <c r="B69" s="391">
        <v>46069</v>
      </c>
      <c r="C69" s="396" t="e">
        <f xml:space="preserve"> VLOOKUP(E69, $A$2:$E$822, 2, FALSE)</f>
        <v>#N/A</v>
      </c>
      <c r="D69" s="36" t="s">
        <v>42</v>
      </c>
      <c r="E69" s="36" t="s">
        <v>331</v>
      </c>
      <c r="F69" s="36" t="s">
        <v>230</v>
      </c>
      <c r="G69" s="36" t="s">
        <v>141</v>
      </c>
      <c r="H69" s="36" t="s">
        <v>332</v>
      </c>
      <c r="I69" s="36" t="s">
        <v>283</v>
      </c>
      <c r="J69" s="36" t="s">
        <v>333</v>
      </c>
      <c r="K69" s="276"/>
    </row>
    <row r="70" spans="1:12" ht="19.5" customHeight="1">
      <c r="A70" s="305" t="s">
        <v>334</v>
      </c>
      <c r="B70" s="391">
        <v>46195</v>
      </c>
      <c r="C70" s="396" t="e">
        <f xml:space="preserve"> VLOOKUP(E70, $A$2:$E$822, 2, FALSE)</f>
        <v>#N/A</v>
      </c>
      <c r="D70" s="36" t="s">
        <v>42</v>
      </c>
      <c r="E70" s="36" t="s">
        <v>335</v>
      </c>
      <c r="F70" s="36" t="s">
        <v>44</v>
      </c>
      <c r="G70" s="36" t="s">
        <v>141</v>
      </c>
      <c r="I70" s="36" t="s">
        <v>336</v>
      </c>
      <c r="J70" s="36" t="s">
        <v>337</v>
      </c>
      <c r="K70" s="276" t="s">
        <v>338</v>
      </c>
    </row>
    <row r="71" spans="1:12" ht="19.5" customHeight="1">
      <c r="A71" s="305" t="s">
        <v>339</v>
      </c>
      <c r="B71" s="391">
        <v>46042</v>
      </c>
      <c r="C71" s="396" t="e">
        <f xml:space="preserve"> VLOOKUP(E71, $A$2:$E$822, 2, FALSE)</f>
        <v>#N/A</v>
      </c>
      <c r="D71" s="36" t="s">
        <v>42</v>
      </c>
      <c r="E71" s="11" t="s">
        <v>340</v>
      </c>
      <c r="F71" s="36" t="s">
        <v>230</v>
      </c>
      <c r="G71" s="36" t="s">
        <v>141</v>
      </c>
      <c r="I71" s="36" t="s">
        <v>341</v>
      </c>
      <c r="J71" s="36" t="s">
        <v>342</v>
      </c>
      <c r="K71" s="277">
        <v>46034</v>
      </c>
      <c r="L71" s="146" t="s">
        <v>343</v>
      </c>
    </row>
    <row r="72" spans="1:12" ht="19.5" customHeight="1">
      <c r="A72" s="305" t="s">
        <v>344</v>
      </c>
      <c r="B72" s="391">
        <v>46051</v>
      </c>
      <c r="C72" s="396" t="e">
        <f xml:space="preserve"> VLOOKUP(E72, $A$2:$E$822, 2, FALSE)</f>
        <v>#N/A</v>
      </c>
      <c r="D72" s="36" t="s">
        <v>42</v>
      </c>
      <c r="E72" s="36" t="s">
        <v>345</v>
      </c>
      <c r="F72" s="36" t="s">
        <v>81</v>
      </c>
      <c r="I72" s="36" t="s">
        <v>278</v>
      </c>
      <c r="J72" s="36" t="s">
        <v>346</v>
      </c>
    </row>
    <row r="73" spans="1:12" ht="19.5" customHeight="1">
      <c r="A73" s="305" t="s">
        <v>347</v>
      </c>
      <c r="B73" s="391">
        <v>46251</v>
      </c>
      <c r="C73" s="396" t="e">
        <f xml:space="preserve"> VLOOKUP(E73, $A$2:$E$822, 2, FALSE)</f>
        <v>#N/A</v>
      </c>
      <c r="D73" s="36" t="s">
        <v>42</v>
      </c>
      <c r="E73" s="36" t="s">
        <v>348</v>
      </c>
      <c r="F73" s="36" t="s">
        <v>106</v>
      </c>
      <c r="G73" s="36" t="s">
        <v>45</v>
      </c>
      <c r="I73" s="36" t="s">
        <v>187</v>
      </c>
      <c r="J73" s="36" t="s">
        <v>349</v>
      </c>
      <c r="K73" s="276"/>
      <c r="L73" s="146" t="s">
        <v>261</v>
      </c>
    </row>
    <row r="74" spans="1:12" ht="19.5" customHeight="1">
      <c r="A74" s="305" t="s">
        <v>350</v>
      </c>
      <c r="B74" s="391">
        <v>46164</v>
      </c>
      <c r="C74" s="396" t="e">
        <f xml:space="preserve"> VLOOKUP(E74, $A$2:$E$822, 2, FALSE)</f>
        <v>#N/A</v>
      </c>
      <c r="D74" s="36" t="s">
        <v>42</v>
      </c>
      <c r="E74" s="11" t="s">
        <v>351</v>
      </c>
      <c r="F74" s="36" t="s">
        <v>106</v>
      </c>
      <c r="G74" s="36" t="s">
        <v>45</v>
      </c>
      <c r="I74" s="36" t="s">
        <v>154</v>
      </c>
      <c r="J74" s="36" t="s">
        <v>352</v>
      </c>
      <c r="L74" s="146" t="s">
        <v>353</v>
      </c>
    </row>
    <row r="75" spans="1:12" ht="19.5" customHeight="1">
      <c r="A75" s="305" t="s">
        <v>354</v>
      </c>
      <c r="B75" s="391">
        <v>46241</v>
      </c>
      <c r="C75" s="396" t="e">
        <f xml:space="preserve"> VLOOKUP(E75, $A$2:$E$822, 2, FALSE)</f>
        <v>#N/A</v>
      </c>
      <c r="D75" s="36" t="s">
        <v>42</v>
      </c>
      <c r="E75" s="36" t="s">
        <v>355</v>
      </c>
      <c r="F75" s="36" t="s">
        <v>62</v>
      </c>
      <c r="G75" s="36" t="s">
        <v>45</v>
      </c>
      <c r="I75" s="36" t="s">
        <v>158</v>
      </c>
      <c r="J75" s="36" t="s">
        <v>219</v>
      </c>
    </row>
    <row r="76" spans="1:12" ht="19.5" customHeight="1">
      <c r="A76" s="305" t="s">
        <v>356</v>
      </c>
      <c r="B76" s="391">
        <v>46090</v>
      </c>
      <c r="C76" s="396" t="e">
        <f xml:space="preserve"> VLOOKUP(E76, $A$2:$E$822, 2, FALSE)</f>
        <v>#N/A</v>
      </c>
      <c r="D76" s="36" t="s">
        <v>42</v>
      </c>
      <c r="E76" s="11" t="s">
        <v>357</v>
      </c>
      <c r="F76" s="36" t="s">
        <v>136</v>
      </c>
      <c r="I76" s="36" t="s">
        <v>154</v>
      </c>
      <c r="J76" s="36" t="s">
        <v>358</v>
      </c>
      <c r="K76" s="277">
        <v>46037</v>
      </c>
      <c r="L76" s="146" t="s">
        <v>359</v>
      </c>
    </row>
    <row r="77" spans="1:12" ht="19.5" customHeight="1">
      <c r="A77" s="305" t="s">
        <v>360</v>
      </c>
      <c r="B77" s="391">
        <v>46086</v>
      </c>
      <c r="C77" s="396" t="e">
        <f xml:space="preserve"> VLOOKUP(E77, $A$2:$E$822, 2, FALSE)</f>
        <v>#N/A</v>
      </c>
      <c r="D77" s="36" t="s">
        <v>42</v>
      </c>
      <c r="E77" s="11" t="s">
        <v>361</v>
      </c>
      <c r="F77" s="36" t="s">
        <v>362</v>
      </c>
      <c r="G77" s="36" t="s">
        <v>45</v>
      </c>
      <c r="I77" s="36" t="s">
        <v>210</v>
      </c>
      <c r="J77" s="36" t="s">
        <v>363</v>
      </c>
      <c r="K77" s="277"/>
      <c r="L77" s="146" t="s">
        <v>364</v>
      </c>
    </row>
    <row r="78" spans="1:12" ht="19.5" customHeight="1">
      <c r="A78" s="305" t="s">
        <v>365</v>
      </c>
      <c r="B78" s="391">
        <v>46097</v>
      </c>
      <c r="C78" s="396" t="e">
        <f xml:space="preserve"> VLOOKUP(E78, $A$2:$E$822, 2, FALSE)</f>
        <v>#N/A</v>
      </c>
      <c r="D78" s="36" t="s">
        <v>42</v>
      </c>
      <c r="E78" s="36" t="s">
        <v>366</v>
      </c>
      <c r="F78" s="36" t="s">
        <v>95</v>
      </c>
      <c r="G78" s="36" t="s">
        <v>45</v>
      </c>
      <c r="I78" s="36" t="s">
        <v>244</v>
      </c>
      <c r="J78" s="36" t="s">
        <v>367</v>
      </c>
      <c r="K78" s="276"/>
    </row>
    <row r="79" spans="1:12" ht="19.5" customHeight="1">
      <c r="A79" s="305" t="s">
        <v>368</v>
      </c>
      <c r="B79" s="391">
        <v>46087</v>
      </c>
      <c r="C79" s="396" t="e">
        <f xml:space="preserve"> VLOOKUP(E79, $A$2:$E$822, 2, FALSE)</f>
        <v>#N/A</v>
      </c>
      <c r="D79" s="36" t="s">
        <v>42</v>
      </c>
      <c r="E79" s="11" t="s">
        <v>369</v>
      </c>
      <c r="F79" s="36" t="s">
        <v>90</v>
      </c>
      <c r="I79" s="36" t="s">
        <v>370</v>
      </c>
      <c r="J79" s="36" t="s">
        <v>371</v>
      </c>
      <c r="K79" s="277">
        <v>45999</v>
      </c>
      <c r="L79" s="146" t="s">
        <v>372</v>
      </c>
    </row>
    <row r="80" spans="1:12" ht="19.5" customHeight="1">
      <c r="A80" s="305" t="s">
        <v>373</v>
      </c>
      <c r="B80" s="391">
        <v>46223</v>
      </c>
      <c r="C80" s="396" t="e">
        <f xml:space="preserve"> VLOOKUP(E80, $A$2:$E$822, 2, FALSE)</f>
        <v>#N/A</v>
      </c>
      <c r="D80" s="36" t="s">
        <v>42</v>
      </c>
      <c r="E80" s="11" t="s">
        <v>374</v>
      </c>
      <c r="F80" s="36" t="s">
        <v>90</v>
      </c>
      <c r="I80" s="36" t="s">
        <v>375</v>
      </c>
      <c r="J80" s="36" t="s">
        <v>376</v>
      </c>
      <c r="K80" s="277">
        <v>45937</v>
      </c>
    </row>
    <row r="81" spans="1:13" ht="19.5" customHeight="1">
      <c r="A81" s="305" t="s">
        <v>377</v>
      </c>
      <c r="B81" s="391">
        <v>46199</v>
      </c>
      <c r="C81" s="396" t="e">
        <f xml:space="preserve"> VLOOKUP(E81, $A$2:$E$822, 2, FALSE)</f>
        <v>#N/A</v>
      </c>
      <c r="D81" s="36" t="s">
        <v>42</v>
      </c>
      <c r="E81" s="11" t="s">
        <v>378</v>
      </c>
      <c r="F81" s="36" t="s">
        <v>90</v>
      </c>
      <c r="I81" s="36" t="s">
        <v>287</v>
      </c>
      <c r="J81" s="36" t="s">
        <v>379</v>
      </c>
      <c r="K81" s="277">
        <v>46030</v>
      </c>
      <c r="L81" s="146" t="s">
        <v>380</v>
      </c>
    </row>
    <row r="82" spans="1:13" ht="19.5" customHeight="1">
      <c r="A82" s="305" t="s">
        <v>381</v>
      </c>
      <c r="B82" s="391">
        <v>46080</v>
      </c>
      <c r="C82" s="396" t="e">
        <f xml:space="preserve"> VLOOKUP(E82, $A$2:$E$822, 2, FALSE)</f>
        <v>#N/A</v>
      </c>
      <c r="D82" s="36" t="s">
        <v>42</v>
      </c>
      <c r="E82" s="11" t="s">
        <v>382</v>
      </c>
      <c r="F82" s="36" t="s">
        <v>90</v>
      </c>
      <c r="G82" s="36" t="s">
        <v>141</v>
      </c>
      <c r="I82" s="36" t="s">
        <v>383</v>
      </c>
      <c r="J82" s="36" t="s">
        <v>384</v>
      </c>
      <c r="K82" s="277">
        <v>45981</v>
      </c>
      <c r="L82" s="146" t="s">
        <v>385</v>
      </c>
    </row>
    <row r="83" spans="1:13" ht="19.5" customHeight="1">
      <c r="A83" s="305" t="s">
        <v>386</v>
      </c>
      <c r="B83" s="391">
        <v>46069</v>
      </c>
      <c r="C83" s="396" t="e">
        <f xml:space="preserve"> VLOOKUP(E83, $A$2:$E$822, 2, FALSE)</f>
        <v>#N/A</v>
      </c>
      <c r="D83" s="36" t="s">
        <v>42</v>
      </c>
      <c r="E83" s="36" t="s">
        <v>387</v>
      </c>
      <c r="F83" s="36" t="s">
        <v>100</v>
      </c>
      <c r="G83" s="36" t="s">
        <v>45</v>
      </c>
      <c r="I83" s="36" t="s">
        <v>77</v>
      </c>
      <c r="J83" s="36" t="s">
        <v>388</v>
      </c>
      <c r="K83" s="276">
        <v>46064</v>
      </c>
      <c r="L83" s="275" t="s">
        <v>389</v>
      </c>
    </row>
    <row r="84" spans="1:13" ht="19.5" customHeight="1">
      <c r="A84" s="305" t="s">
        <v>390</v>
      </c>
      <c r="B84" s="391">
        <v>46083</v>
      </c>
      <c r="C84" s="396" t="e">
        <f xml:space="preserve"> VLOOKUP(E84, $A$2:$E$822, 2, FALSE)</f>
        <v>#N/A</v>
      </c>
      <c r="D84" s="36" t="s">
        <v>42</v>
      </c>
      <c r="E84" s="11" t="s">
        <v>391</v>
      </c>
      <c r="F84" s="36" t="s">
        <v>106</v>
      </c>
      <c r="G84" s="36" t="s">
        <v>45</v>
      </c>
      <c r="I84" s="36" t="s">
        <v>392</v>
      </c>
      <c r="J84" s="36" t="s">
        <v>393</v>
      </c>
      <c r="K84" s="277">
        <v>46064</v>
      </c>
      <c r="L84" s="275" t="s">
        <v>389</v>
      </c>
    </row>
    <row r="85" spans="1:13" ht="19.5" customHeight="1">
      <c r="A85" s="305" t="s">
        <v>394</v>
      </c>
      <c r="B85" s="391">
        <v>46090</v>
      </c>
      <c r="C85" s="396" t="e">
        <f xml:space="preserve"> VLOOKUP(E85, $A$2:$E$822, 2, FALSE)</f>
        <v>#N/A</v>
      </c>
      <c r="D85" s="36" t="s">
        <v>42</v>
      </c>
      <c r="E85" s="11" t="s">
        <v>395</v>
      </c>
      <c r="F85" s="36" t="s">
        <v>396</v>
      </c>
      <c r="G85" s="36" t="s">
        <v>141</v>
      </c>
      <c r="I85" s="36" t="s">
        <v>110</v>
      </c>
      <c r="J85" s="36" t="s">
        <v>397</v>
      </c>
      <c r="K85" s="277">
        <v>46029</v>
      </c>
      <c r="L85" s="146" t="s">
        <v>398</v>
      </c>
    </row>
    <row r="86" spans="1:13" ht="19.5" customHeight="1">
      <c r="A86" s="305" t="s">
        <v>399</v>
      </c>
      <c r="B86" s="391">
        <v>46062</v>
      </c>
      <c r="C86" s="396" t="e">
        <f xml:space="preserve"> VLOOKUP(E86, $A$2:$E$822, 2, FALSE)</f>
        <v>#N/A</v>
      </c>
      <c r="D86" s="36" t="s">
        <v>42</v>
      </c>
      <c r="E86" s="11" t="s">
        <v>400</v>
      </c>
      <c r="F86" s="36" t="s">
        <v>57</v>
      </c>
      <c r="G86" s="36" t="s">
        <v>141</v>
      </c>
      <c r="I86" s="36" t="s">
        <v>210</v>
      </c>
      <c r="J86" s="36" t="s">
        <v>401</v>
      </c>
      <c r="K86" s="277">
        <v>46052</v>
      </c>
      <c r="L86" s="275" t="s">
        <v>402</v>
      </c>
      <c r="M86" s="36" t="s">
        <v>403</v>
      </c>
    </row>
    <row r="87" spans="1:13" ht="19.5" customHeight="1">
      <c r="A87" s="305" t="s">
        <v>404</v>
      </c>
      <c r="B87" s="391">
        <v>46083</v>
      </c>
      <c r="C87" s="396" t="e">
        <f xml:space="preserve"> VLOOKUP(E87, $A$2:$E$822, 2, FALSE)</f>
        <v>#N/A</v>
      </c>
      <c r="D87" s="36" t="s">
        <v>42</v>
      </c>
      <c r="E87" s="36" t="s">
        <v>405</v>
      </c>
      <c r="F87" s="36" t="s">
        <v>90</v>
      </c>
      <c r="H87" s="36" t="s">
        <v>406</v>
      </c>
      <c r="I87" s="36" t="s">
        <v>407</v>
      </c>
      <c r="J87" s="36" t="s">
        <v>408</v>
      </c>
      <c r="K87" s="277">
        <v>46056</v>
      </c>
      <c r="L87" s="275" t="s">
        <v>409</v>
      </c>
    </row>
    <row r="88" spans="1:13" ht="19.5" customHeight="1">
      <c r="A88" s="57" t="s">
        <v>410</v>
      </c>
      <c r="B88" s="58">
        <v>46078</v>
      </c>
      <c r="C88" s="396" t="e">
        <f xml:space="preserve"> VLOOKUP(E88, $A$3:$E$942, 2, FALSE)</f>
        <v>#N/A</v>
      </c>
      <c r="D88" s="57" t="s">
        <v>42</v>
      </c>
      <c r="E88" s="250" t="s">
        <v>411</v>
      </c>
      <c r="F88" s="57" t="s">
        <v>106</v>
      </c>
      <c r="G88" s="57" t="s">
        <v>45</v>
      </c>
      <c r="H88" s="57"/>
      <c r="I88" s="57" t="s">
        <v>412</v>
      </c>
      <c r="J88" s="57" t="s">
        <v>413</v>
      </c>
      <c r="K88" s="152"/>
      <c r="L88" s="145"/>
      <c r="M88" s="57"/>
    </row>
    <row r="89" spans="1:13" ht="29.25" customHeight="1">
      <c r="A89" s="57" t="s">
        <v>414</v>
      </c>
      <c r="B89" s="58">
        <v>46254</v>
      </c>
      <c r="C89" s="396" t="e">
        <f xml:space="preserve"> VLOOKUP(E89, $A$3:$E$942, 2, FALSE)</f>
        <v>#N/A</v>
      </c>
      <c r="D89" s="45" t="s">
        <v>42</v>
      </c>
      <c r="E89" s="11" t="s">
        <v>415</v>
      </c>
      <c r="F89" s="57" t="s">
        <v>106</v>
      </c>
      <c r="G89" s="57" t="s">
        <v>45</v>
      </c>
      <c r="H89" s="57"/>
      <c r="I89" s="57" t="s">
        <v>416</v>
      </c>
      <c r="J89" s="57" t="s">
        <v>417</v>
      </c>
      <c r="K89" s="152"/>
      <c r="L89" s="145"/>
      <c r="M89" s="57"/>
    </row>
    <row r="90" spans="1:13" ht="19.5" customHeight="1">
      <c r="A90" s="57" t="s">
        <v>418</v>
      </c>
      <c r="B90" s="58">
        <v>46122</v>
      </c>
      <c r="C90" s="396" t="e">
        <f xml:space="preserve"> VLOOKUP(E90, $A$3:$E$942, 2, FALSE)</f>
        <v>#N/A</v>
      </c>
      <c r="D90" s="57" t="s">
        <v>42</v>
      </c>
      <c r="E90" s="250" t="s">
        <v>419</v>
      </c>
      <c r="F90" s="57" t="s">
        <v>420</v>
      </c>
      <c r="G90" s="57" t="s">
        <v>45</v>
      </c>
      <c r="H90" s="57"/>
      <c r="I90" s="57" t="s">
        <v>421</v>
      </c>
      <c r="J90" s="57" t="s">
        <v>422</v>
      </c>
      <c r="K90" s="152"/>
      <c r="L90" s="145"/>
      <c r="M90" s="57"/>
    </row>
    <row r="91" spans="1:13" ht="19.5" customHeight="1">
      <c r="A91" s="57" t="s">
        <v>423</v>
      </c>
      <c r="B91" s="58">
        <v>46108</v>
      </c>
      <c r="C91" s="396" t="e">
        <f xml:space="preserve"> VLOOKUP(E91, $A$3:$E$942, 2, FALSE)</f>
        <v>#N/A</v>
      </c>
      <c r="D91" s="57" t="s">
        <v>42</v>
      </c>
      <c r="E91" s="147" t="s">
        <v>424</v>
      </c>
      <c r="F91" s="57" t="s">
        <v>106</v>
      </c>
      <c r="G91" s="57" t="s">
        <v>45</v>
      </c>
      <c r="H91" s="57"/>
      <c r="I91" s="57" t="s">
        <v>425</v>
      </c>
      <c r="J91" s="57" t="s">
        <v>426</v>
      </c>
      <c r="K91" s="152"/>
      <c r="L91" s="145"/>
      <c r="M91" s="57"/>
    </row>
    <row r="92" spans="1:13" ht="19.5" customHeight="1">
      <c r="A92" s="57" t="s">
        <v>427</v>
      </c>
      <c r="B92" s="58">
        <v>46195</v>
      </c>
      <c r="C92" s="396" t="e">
        <f xml:space="preserve"> VLOOKUP(E92, $A$3:$E$942, 2, FALSE)</f>
        <v>#N/A</v>
      </c>
      <c r="D92" s="45" t="s">
        <v>42</v>
      </c>
      <c r="E92" s="151" t="s">
        <v>428</v>
      </c>
      <c r="F92" s="57" t="s">
        <v>106</v>
      </c>
      <c r="G92" s="57" t="s">
        <v>141</v>
      </c>
      <c r="H92" s="57"/>
      <c r="I92" s="57" t="s">
        <v>429</v>
      </c>
      <c r="J92" s="57" t="s">
        <v>430</v>
      </c>
      <c r="K92" s="152"/>
      <c r="L92" s="145" t="s">
        <v>431</v>
      </c>
      <c r="M92" s="57"/>
    </row>
    <row r="93" spans="1:13" ht="19.5" customHeight="1">
      <c r="A93" s="57" t="s">
        <v>432</v>
      </c>
      <c r="B93" s="58">
        <v>46083</v>
      </c>
      <c r="C93" s="396" t="e">
        <f xml:space="preserve"> VLOOKUP(E93, $A$3:$E$942, 2, FALSE)</f>
        <v>#N/A</v>
      </c>
      <c r="D93" s="57" t="s">
        <v>42</v>
      </c>
      <c r="E93" s="147" t="s">
        <v>433</v>
      </c>
      <c r="F93" s="57" t="s">
        <v>106</v>
      </c>
      <c r="G93" s="57" t="s">
        <v>45</v>
      </c>
      <c r="H93" s="57"/>
      <c r="I93" s="57" t="s">
        <v>434</v>
      </c>
      <c r="J93" s="57" t="s">
        <v>435</v>
      </c>
      <c r="K93" s="152"/>
      <c r="L93" s="145"/>
      <c r="M93" s="57"/>
    </row>
    <row r="94" spans="1:13" ht="19.5" customHeight="1">
      <c r="A94" s="57" t="s">
        <v>436</v>
      </c>
      <c r="B94" s="58">
        <v>46267</v>
      </c>
      <c r="C94" s="396" t="e">
        <f xml:space="preserve"> VLOOKUP(E94, $A$3:$E$942, 2, FALSE)</f>
        <v>#N/A</v>
      </c>
      <c r="D94" s="45" t="s">
        <v>42</v>
      </c>
      <c r="E94" s="151" t="s">
        <v>437</v>
      </c>
      <c r="F94" s="57" t="s">
        <v>362</v>
      </c>
      <c r="G94" s="57" t="s">
        <v>141</v>
      </c>
      <c r="H94" s="57"/>
      <c r="I94" s="57" t="s">
        <v>438</v>
      </c>
      <c r="J94" s="57" t="s">
        <v>439</v>
      </c>
      <c r="K94" s="152"/>
      <c r="L94" s="145"/>
      <c r="M94" s="57"/>
    </row>
    <row r="95" spans="1:13" ht="19.5" customHeight="1">
      <c r="A95" s="57" t="s">
        <v>440</v>
      </c>
      <c r="B95" s="58">
        <v>46087</v>
      </c>
      <c r="C95" s="396" t="e">
        <f xml:space="preserve"> VLOOKUP(E95, $A$3:$E$942, 2, FALSE)</f>
        <v>#N/A</v>
      </c>
      <c r="D95" s="45" t="s">
        <v>42</v>
      </c>
      <c r="E95" s="151" t="s">
        <v>441</v>
      </c>
      <c r="F95" s="57" t="s">
        <v>362</v>
      </c>
      <c r="G95" s="57" t="s">
        <v>141</v>
      </c>
      <c r="H95" s="57"/>
      <c r="I95" s="57" t="s">
        <v>438</v>
      </c>
      <c r="J95" s="57" t="s">
        <v>442</v>
      </c>
      <c r="K95" s="152"/>
      <c r="L95" s="145"/>
      <c r="M95" s="57"/>
    </row>
    <row r="96" spans="1:13" ht="19.5" customHeight="1">
      <c r="A96" s="57" t="s">
        <v>443</v>
      </c>
      <c r="B96" s="58">
        <v>46087</v>
      </c>
      <c r="C96" s="396" t="e">
        <f xml:space="preserve"> VLOOKUP(E96, $A$3:$E$942, 2, FALSE)</f>
        <v>#N/A</v>
      </c>
      <c r="D96" s="57" t="s">
        <v>42</v>
      </c>
      <c r="E96" s="147" t="s">
        <v>444</v>
      </c>
      <c r="F96" s="57" t="s">
        <v>106</v>
      </c>
      <c r="G96" s="57" t="s">
        <v>45</v>
      </c>
      <c r="H96" s="57"/>
      <c r="I96" s="57" t="s">
        <v>429</v>
      </c>
      <c r="J96" s="57" t="s">
        <v>445</v>
      </c>
      <c r="K96" s="152"/>
      <c r="L96" s="145"/>
      <c r="M96" s="57"/>
    </row>
    <row r="97" spans="1:13" ht="19.5" customHeight="1">
      <c r="A97" s="57" t="s">
        <v>446</v>
      </c>
      <c r="B97" s="58">
        <v>46072</v>
      </c>
      <c r="C97" s="396" t="e">
        <f xml:space="preserve"> VLOOKUP(E97, $A$3:$E$942, 2, FALSE)</f>
        <v>#N/A</v>
      </c>
      <c r="D97" s="57" t="s">
        <v>42</v>
      </c>
      <c r="E97" s="250" t="s">
        <v>447</v>
      </c>
      <c r="F97" s="57" t="s">
        <v>136</v>
      </c>
      <c r="G97" s="57" t="s">
        <v>45</v>
      </c>
      <c r="H97" s="57"/>
      <c r="I97" s="57" t="s">
        <v>448</v>
      </c>
      <c r="J97" s="57" t="s">
        <v>449</v>
      </c>
      <c r="K97" s="152"/>
      <c r="L97" s="145" t="s">
        <v>450</v>
      </c>
      <c r="M97" s="57"/>
    </row>
    <row r="98" spans="1:13" ht="19.5" customHeight="1">
      <c r="A98" s="57" t="s">
        <v>451</v>
      </c>
      <c r="B98" s="58">
        <v>46090</v>
      </c>
      <c r="C98" s="396" t="e">
        <f xml:space="preserve"> VLOOKUP(E98, $A$3:$E$942, 2, FALSE)</f>
        <v>#N/A</v>
      </c>
      <c r="D98" s="57" t="s">
        <v>42</v>
      </c>
      <c r="E98" s="250" t="s">
        <v>452</v>
      </c>
      <c r="F98" s="57" t="s">
        <v>66</v>
      </c>
      <c r="G98" s="57"/>
      <c r="H98" s="57"/>
      <c r="I98" s="57" t="s">
        <v>453</v>
      </c>
      <c r="J98" s="57" t="s">
        <v>454</v>
      </c>
      <c r="K98" s="152"/>
      <c r="L98" s="145"/>
      <c r="M98" s="57"/>
    </row>
    <row r="99" spans="1:13" ht="19.5" customHeight="1">
      <c r="A99" s="57" t="s">
        <v>455</v>
      </c>
      <c r="B99" s="58">
        <v>46097</v>
      </c>
      <c r="C99" s="396" t="e">
        <f xml:space="preserve"> VLOOKUP(E99, $A$3:$E$942, 2, FALSE)</f>
        <v>#N/A</v>
      </c>
      <c r="D99" s="57" t="s">
        <v>42</v>
      </c>
      <c r="E99" s="250" t="s">
        <v>456</v>
      </c>
      <c r="F99" s="57" t="s">
        <v>81</v>
      </c>
      <c r="G99" s="57"/>
      <c r="H99" s="57"/>
      <c r="I99" s="57" t="s">
        <v>457</v>
      </c>
      <c r="J99" s="57" t="s">
        <v>458</v>
      </c>
      <c r="K99" s="152">
        <v>45982</v>
      </c>
      <c r="L99" s="145" t="s">
        <v>459</v>
      </c>
      <c r="M99" s="57"/>
    </row>
    <row r="100" spans="1:13" ht="19.5" customHeight="1">
      <c r="A100" s="57" t="s">
        <v>460</v>
      </c>
      <c r="B100" s="58">
        <v>46084</v>
      </c>
      <c r="C100" s="396" t="e">
        <f xml:space="preserve"> VLOOKUP(E100, $A$3:$E$942, 2, FALSE)</f>
        <v>#N/A</v>
      </c>
      <c r="D100" s="45" t="s">
        <v>42</v>
      </c>
      <c r="E100" s="11" t="s">
        <v>461</v>
      </c>
      <c r="F100" s="57" t="s">
        <v>62</v>
      </c>
      <c r="G100" s="57" t="s">
        <v>141</v>
      </c>
      <c r="H100" s="57"/>
      <c r="I100" s="57" t="s">
        <v>462</v>
      </c>
      <c r="J100" s="57" t="s">
        <v>463</v>
      </c>
      <c r="K100" s="152"/>
      <c r="L100" s="145" t="s">
        <v>464</v>
      </c>
      <c r="M100" s="57"/>
    </row>
    <row r="101" spans="1:13" ht="19.5" customHeight="1">
      <c r="A101" s="57" t="s">
        <v>465</v>
      </c>
      <c r="B101" s="58">
        <v>46072</v>
      </c>
      <c r="C101" s="396" t="e">
        <f xml:space="preserve"> VLOOKUP(E101, $A$3:$E$942, 2, FALSE)</f>
        <v>#N/A</v>
      </c>
      <c r="D101" s="45" t="s">
        <v>42</v>
      </c>
      <c r="E101" s="11" t="s">
        <v>466</v>
      </c>
      <c r="F101" s="57" t="s">
        <v>57</v>
      </c>
      <c r="G101" s="57" t="s">
        <v>45</v>
      </c>
      <c r="H101" s="57"/>
      <c r="I101" s="57" t="s">
        <v>467</v>
      </c>
      <c r="J101" s="57" t="s">
        <v>468</v>
      </c>
      <c r="K101" s="152" t="s">
        <v>469</v>
      </c>
      <c r="L101" s="145"/>
      <c r="M101" s="57"/>
    </row>
    <row r="102" spans="1:13" ht="19.5" customHeight="1">
      <c r="A102" s="57" t="s">
        <v>470</v>
      </c>
      <c r="B102" s="58">
        <v>46203</v>
      </c>
      <c r="C102" s="396" t="e">
        <f xml:space="preserve"> VLOOKUP(E102, $A$3:$E$942, 2, FALSE)</f>
        <v>#N/A</v>
      </c>
      <c r="D102" s="45" t="s">
        <v>42</v>
      </c>
      <c r="E102" s="151" t="s">
        <v>471</v>
      </c>
      <c r="F102" s="57" t="s">
        <v>472</v>
      </c>
      <c r="G102" s="57"/>
      <c r="H102" s="57"/>
      <c r="I102" s="57" t="s">
        <v>467</v>
      </c>
      <c r="J102" s="57" t="s">
        <v>473</v>
      </c>
      <c r="K102" s="152"/>
      <c r="L102" s="145"/>
      <c r="M102" s="57"/>
    </row>
    <row r="103" spans="1:13" ht="19.5" customHeight="1">
      <c r="A103" s="57" t="s">
        <v>474</v>
      </c>
      <c r="B103" s="58">
        <v>46111</v>
      </c>
      <c r="C103" s="396" t="e">
        <f xml:space="preserve"> VLOOKUP(E103, $A$3:$E$942, 2, FALSE)</f>
        <v>#N/A</v>
      </c>
      <c r="D103" s="45" t="s">
        <v>42</v>
      </c>
      <c r="E103" s="151" t="s">
        <v>475</v>
      </c>
      <c r="F103" s="57" t="s">
        <v>90</v>
      </c>
      <c r="G103" s="57" t="s">
        <v>141</v>
      </c>
      <c r="H103" s="57" t="s">
        <v>476</v>
      </c>
      <c r="I103" s="57" t="s">
        <v>477</v>
      </c>
      <c r="J103" s="57" t="s">
        <v>478</v>
      </c>
      <c r="K103" s="152" t="s">
        <v>479</v>
      </c>
      <c r="L103" s="145"/>
      <c r="M103" s="57"/>
    </row>
    <row r="104" spans="1:13" ht="19.5" customHeight="1">
      <c r="A104" s="57" t="s">
        <v>480</v>
      </c>
      <c r="B104" s="58">
        <v>46086</v>
      </c>
      <c r="C104" s="396" t="e">
        <f xml:space="preserve"> VLOOKUP(E104, $A$3:$E$942, 2, FALSE)</f>
        <v>#N/A</v>
      </c>
      <c r="D104" s="45" t="s">
        <v>42</v>
      </c>
      <c r="E104" s="151" t="s">
        <v>481</v>
      </c>
      <c r="F104" s="57" t="s">
        <v>482</v>
      </c>
      <c r="G104" s="57"/>
      <c r="H104" s="57"/>
      <c r="I104" s="57" t="s">
        <v>483</v>
      </c>
      <c r="J104" s="57" t="s">
        <v>484</v>
      </c>
      <c r="K104" s="152">
        <v>45863</v>
      </c>
      <c r="L104" s="145"/>
      <c r="M104" s="57"/>
    </row>
    <row r="105" spans="1:13" ht="19.5" customHeight="1">
      <c r="A105" s="57" t="s">
        <v>485</v>
      </c>
      <c r="B105" s="58">
        <v>46398</v>
      </c>
      <c r="C105" s="396" t="e">
        <f xml:space="preserve"> VLOOKUP(E105, $A$3:$E$942, 2, FALSE)</f>
        <v>#N/A</v>
      </c>
      <c r="D105" s="45" t="s">
        <v>42</v>
      </c>
      <c r="E105" s="151" t="s">
        <v>486</v>
      </c>
      <c r="F105" s="57" t="s">
        <v>90</v>
      </c>
      <c r="G105" s="57"/>
      <c r="H105" s="57"/>
      <c r="I105" s="57" t="s">
        <v>487</v>
      </c>
      <c r="J105" s="57" t="s">
        <v>488</v>
      </c>
      <c r="K105" s="152">
        <v>45828</v>
      </c>
      <c r="L105" s="145"/>
      <c r="M105" s="57"/>
    </row>
    <row r="106" spans="1:13" ht="19.5" customHeight="1">
      <c r="A106" s="57" t="s">
        <v>489</v>
      </c>
      <c r="B106" s="58">
        <v>46097</v>
      </c>
      <c r="C106" s="396" t="e">
        <f xml:space="preserve"> VLOOKUP(E106, $A$3:$E$942, 2, FALSE)</f>
        <v>#N/A</v>
      </c>
      <c r="D106" s="45" t="s">
        <v>42</v>
      </c>
      <c r="E106" s="151" t="s">
        <v>490</v>
      </c>
      <c r="F106" s="57" t="s">
        <v>482</v>
      </c>
      <c r="G106" s="57"/>
      <c r="H106" s="57"/>
      <c r="I106" s="57" t="s">
        <v>491</v>
      </c>
      <c r="J106" s="57" t="s">
        <v>492</v>
      </c>
      <c r="K106" s="152" t="s">
        <v>493</v>
      </c>
      <c r="L106" s="145"/>
      <c r="M106" s="57"/>
    </row>
    <row r="107" spans="1:13" ht="19.5" customHeight="1">
      <c r="A107" s="57" t="s">
        <v>494</v>
      </c>
      <c r="B107" s="58">
        <v>46100</v>
      </c>
      <c r="C107" s="396" t="e">
        <f xml:space="preserve"> VLOOKUP(E107, $A$3:$E$942, 2, FALSE)</f>
        <v>#N/A</v>
      </c>
      <c r="D107" s="45" t="s">
        <v>42</v>
      </c>
      <c r="E107" s="151" t="s">
        <v>495</v>
      </c>
      <c r="F107" s="57" t="s">
        <v>482</v>
      </c>
      <c r="G107" s="57"/>
      <c r="H107" s="57"/>
      <c r="I107" s="57" t="s">
        <v>496</v>
      </c>
      <c r="J107" s="57" t="s">
        <v>497</v>
      </c>
      <c r="K107" s="152"/>
      <c r="L107" s="145"/>
      <c r="M107" s="57"/>
    </row>
    <row r="108" spans="1:13" ht="19.5" customHeight="1">
      <c r="A108" s="57" t="s">
        <v>498</v>
      </c>
      <c r="B108" s="58">
        <v>46083</v>
      </c>
      <c r="C108" s="396" t="e">
        <f xml:space="preserve"> VLOOKUP(E108, $A$3:$E$942, 2, FALSE)</f>
        <v>#N/A</v>
      </c>
      <c r="D108" s="45" t="s">
        <v>42</v>
      </c>
      <c r="E108" s="151" t="s">
        <v>499</v>
      </c>
      <c r="F108" s="57" t="s">
        <v>482</v>
      </c>
      <c r="G108" s="57"/>
      <c r="H108" s="57"/>
      <c r="I108" s="57" t="s">
        <v>500</v>
      </c>
      <c r="J108" s="57" t="s">
        <v>501</v>
      </c>
      <c r="K108" s="152"/>
      <c r="L108" s="145" t="s">
        <v>502</v>
      </c>
      <c r="M108" s="57"/>
    </row>
    <row r="109" spans="1:13" ht="19.5" customHeight="1">
      <c r="A109" s="57" t="s">
        <v>503</v>
      </c>
      <c r="B109" s="58">
        <v>46072</v>
      </c>
      <c r="C109" s="396" t="e">
        <f xml:space="preserve"> VLOOKUP(E109, $A$3:$E$942, 2, FALSE)</f>
        <v>#N/A</v>
      </c>
      <c r="D109" s="45" t="s">
        <v>42</v>
      </c>
      <c r="E109" s="151" t="s">
        <v>504</v>
      </c>
      <c r="F109" s="57" t="s">
        <v>505</v>
      </c>
      <c r="G109" s="57"/>
      <c r="H109" s="57"/>
      <c r="I109" s="57" t="s">
        <v>506</v>
      </c>
      <c r="J109" s="57" t="s">
        <v>507</v>
      </c>
      <c r="K109" s="152" t="s">
        <v>508</v>
      </c>
      <c r="L109" s="145" t="s">
        <v>509</v>
      </c>
      <c r="M109" s="57">
        <v>687482944</v>
      </c>
    </row>
    <row r="110" spans="1:13" ht="19.5" customHeight="1">
      <c r="A110" s="57" t="s">
        <v>510</v>
      </c>
      <c r="B110" s="58">
        <v>46072</v>
      </c>
      <c r="C110" s="396" t="e">
        <f xml:space="preserve"> VLOOKUP(E110, $A$3:$E$942, 2, FALSE)</f>
        <v>#N/A</v>
      </c>
      <c r="D110" s="45" t="s">
        <v>42</v>
      </c>
      <c r="E110" s="151" t="s">
        <v>511</v>
      </c>
      <c r="F110" s="57" t="s">
        <v>66</v>
      </c>
      <c r="G110" s="57" t="s">
        <v>141</v>
      </c>
      <c r="H110" s="57"/>
      <c r="I110" s="57" t="s">
        <v>512</v>
      </c>
      <c r="J110" s="57" t="s">
        <v>513</v>
      </c>
      <c r="K110" s="152" t="s">
        <v>514</v>
      </c>
      <c r="L110" s="145"/>
      <c r="M110" s="57"/>
    </row>
    <row r="111" spans="1:13" ht="19.5" customHeight="1">
      <c r="A111" s="57" t="s">
        <v>515</v>
      </c>
      <c r="B111" s="58">
        <v>46083</v>
      </c>
      <c r="C111" s="396" t="e">
        <f xml:space="preserve"> VLOOKUP(E111, $A$3:$E$942, 2, FALSE)</f>
        <v>#N/A</v>
      </c>
      <c r="D111" s="45" t="s">
        <v>42</v>
      </c>
      <c r="E111" s="151" t="s">
        <v>516</v>
      </c>
      <c r="F111" s="57" t="s">
        <v>517</v>
      </c>
      <c r="G111" s="57"/>
      <c r="H111" s="57"/>
      <c r="I111" s="57" t="s">
        <v>518</v>
      </c>
      <c r="J111" s="57" t="s">
        <v>519</v>
      </c>
      <c r="K111" s="152"/>
      <c r="L111" s="145" t="s">
        <v>520</v>
      </c>
      <c r="M111" s="57"/>
    </row>
    <row r="112" spans="1:13" ht="19.5" customHeight="1">
      <c r="A112" s="57" t="s">
        <v>521</v>
      </c>
      <c r="B112" s="58">
        <v>46099</v>
      </c>
      <c r="C112" s="396" t="e">
        <f xml:space="preserve"> VLOOKUP(E112, $A$3:$E$942, 2, FALSE)</f>
        <v>#N/A</v>
      </c>
      <c r="D112" s="45" t="s">
        <v>42</v>
      </c>
      <c r="E112" s="151" t="s">
        <v>522</v>
      </c>
      <c r="F112" s="57" t="s">
        <v>523</v>
      </c>
      <c r="G112" s="57"/>
      <c r="H112" s="57"/>
      <c r="I112" s="57" t="s">
        <v>518</v>
      </c>
      <c r="J112" s="57" t="s">
        <v>519</v>
      </c>
      <c r="K112" s="152"/>
      <c r="L112" s="145" t="s">
        <v>520</v>
      </c>
      <c r="M112" s="57"/>
    </row>
    <row r="113" spans="1:13" ht="19.5" customHeight="1">
      <c r="A113" s="57" t="s">
        <v>524</v>
      </c>
      <c r="B113" s="58">
        <v>46219</v>
      </c>
      <c r="C113" s="396" t="e">
        <f xml:space="preserve"> VLOOKUP(E113, $A$3:$E$942, 2, FALSE)</f>
        <v>#N/A</v>
      </c>
      <c r="D113" s="45" t="s">
        <v>42</v>
      </c>
      <c r="E113" s="151" t="s">
        <v>525</v>
      </c>
      <c r="F113" s="57" t="s">
        <v>90</v>
      </c>
      <c r="G113" s="57"/>
      <c r="H113" s="57"/>
      <c r="I113" s="57" t="s">
        <v>526</v>
      </c>
      <c r="J113" s="57" t="s">
        <v>527</v>
      </c>
      <c r="K113" s="152"/>
      <c r="L113" s="145"/>
      <c r="M113" s="57"/>
    </row>
    <row r="114" spans="1:13" ht="19.5" customHeight="1">
      <c r="A114" s="57" t="s">
        <v>528</v>
      </c>
      <c r="B114" s="58">
        <v>46077</v>
      </c>
      <c r="C114" s="396" t="e">
        <f xml:space="preserve"> VLOOKUP(E114, $A$3:$E$942, 2, FALSE)</f>
        <v>#N/A</v>
      </c>
      <c r="D114" s="45" t="s">
        <v>42</v>
      </c>
      <c r="E114" s="151" t="s">
        <v>529</v>
      </c>
      <c r="F114" s="57" t="s">
        <v>62</v>
      </c>
      <c r="G114" s="57" t="s">
        <v>45</v>
      </c>
      <c r="H114" s="57" t="s">
        <v>530</v>
      </c>
      <c r="I114" s="57" t="s">
        <v>531</v>
      </c>
      <c r="J114" s="57" t="s">
        <v>532</v>
      </c>
      <c r="K114" s="152" t="s">
        <v>533</v>
      </c>
      <c r="L114" s="145"/>
      <c r="M114" s="57"/>
    </row>
    <row r="115" spans="1:13" ht="19.5" customHeight="1">
      <c r="A115" s="57" t="s">
        <v>534</v>
      </c>
      <c r="B115" s="58">
        <v>46084</v>
      </c>
      <c r="C115" s="396" t="e">
        <f xml:space="preserve"> VLOOKUP(E115, $A$3:$E$942, 2, FALSE)</f>
        <v>#N/A</v>
      </c>
      <c r="D115" s="45" t="s">
        <v>42</v>
      </c>
      <c r="E115" s="151" t="s">
        <v>535</v>
      </c>
      <c r="F115" s="57" t="s">
        <v>52</v>
      </c>
      <c r="G115" s="57"/>
      <c r="H115" s="57"/>
      <c r="I115" s="57" t="s">
        <v>536</v>
      </c>
      <c r="J115" s="57" t="s">
        <v>537</v>
      </c>
      <c r="K115" s="152">
        <v>45875</v>
      </c>
      <c r="L115" s="145"/>
      <c r="M115" s="57"/>
    </row>
    <row r="116" spans="1:13" ht="19.5" customHeight="1">
      <c r="A116" s="57" t="s">
        <v>538</v>
      </c>
      <c r="B116" s="58">
        <v>46076</v>
      </c>
      <c r="C116" s="396" t="e">
        <f xml:space="preserve"> VLOOKUP(E116, $A$3:$E$942, 2, FALSE)</f>
        <v>#N/A</v>
      </c>
      <c r="D116" s="45" t="s">
        <v>42</v>
      </c>
      <c r="E116" s="151" t="s">
        <v>539</v>
      </c>
      <c r="F116" s="57" t="s">
        <v>482</v>
      </c>
      <c r="G116" s="57"/>
      <c r="H116" s="57"/>
      <c r="I116" s="57" t="s">
        <v>540</v>
      </c>
      <c r="J116" s="57" t="s">
        <v>541</v>
      </c>
      <c r="K116" s="152"/>
      <c r="L116" s="145" t="s">
        <v>542</v>
      </c>
      <c r="M116" s="57"/>
    </row>
    <row r="117" spans="1:13" ht="19.5" customHeight="1">
      <c r="A117" s="57" t="s">
        <v>543</v>
      </c>
      <c r="B117" s="58">
        <v>46083</v>
      </c>
      <c r="C117" s="396" t="e">
        <f xml:space="preserve"> VLOOKUP(E117, $A$3:$E$942, 2, FALSE)</f>
        <v>#N/A</v>
      </c>
      <c r="D117" s="45" t="s">
        <v>42</v>
      </c>
      <c r="E117" s="151" t="s">
        <v>544</v>
      </c>
      <c r="F117" s="57" t="s">
        <v>482</v>
      </c>
      <c r="G117" s="57"/>
      <c r="H117" s="57"/>
      <c r="I117" s="57" t="s">
        <v>467</v>
      </c>
      <c r="J117" s="57" t="s">
        <v>545</v>
      </c>
      <c r="K117" s="152"/>
      <c r="L117" s="145"/>
      <c r="M117" s="57"/>
    </row>
    <row r="118" spans="1:13" ht="19.5" customHeight="1">
      <c r="A118" s="57" t="s">
        <v>546</v>
      </c>
      <c r="B118" s="58">
        <v>46218</v>
      </c>
      <c r="C118" s="396" t="e">
        <f xml:space="preserve"> VLOOKUP(E118, $A$3:$E$942, 2, FALSE)</f>
        <v>#N/A</v>
      </c>
      <c r="D118" s="45" t="s">
        <v>42</v>
      </c>
      <c r="E118" s="151" t="s">
        <v>547</v>
      </c>
      <c r="F118" s="57" t="s">
        <v>482</v>
      </c>
      <c r="G118" s="57"/>
      <c r="H118" s="57"/>
      <c r="I118" s="57" t="s">
        <v>548</v>
      </c>
      <c r="J118" s="57" t="s">
        <v>549</v>
      </c>
      <c r="K118" s="152"/>
      <c r="L118" s="145"/>
      <c r="M118" s="57"/>
    </row>
    <row r="119" spans="1:13" ht="19.5" customHeight="1">
      <c r="A119" s="57" t="s">
        <v>550</v>
      </c>
      <c r="B119" s="58">
        <v>46064</v>
      </c>
      <c r="C119" s="396" t="e">
        <f xml:space="preserve"> VLOOKUP(E119, $A$3:$E$942, 2, FALSE)</f>
        <v>#N/A</v>
      </c>
      <c r="D119" s="45" t="s">
        <v>42</v>
      </c>
      <c r="E119" s="151" t="s">
        <v>551</v>
      </c>
      <c r="F119" s="57" t="s">
        <v>52</v>
      </c>
      <c r="G119" s="57" t="s">
        <v>45</v>
      </c>
      <c r="H119" s="57"/>
      <c r="I119" s="57" t="s">
        <v>552</v>
      </c>
      <c r="J119" s="57" t="s">
        <v>553</v>
      </c>
      <c r="K119" s="152">
        <v>45677</v>
      </c>
      <c r="L119" s="145"/>
      <c r="M119" s="57"/>
    </row>
    <row r="120" spans="1:13" ht="19.5" customHeight="1">
      <c r="A120" s="57" t="s">
        <v>554</v>
      </c>
      <c r="B120" s="58">
        <v>46064</v>
      </c>
      <c r="C120" s="396" t="e">
        <f xml:space="preserve"> VLOOKUP(E120, $A$3:$E$942, 2, FALSE)</f>
        <v>#N/A</v>
      </c>
      <c r="D120" s="45" t="s">
        <v>42</v>
      </c>
      <c r="E120" s="151" t="s">
        <v>555</v>
      </c>
      <c r="F120" s="253" t="s">
        <v>100</v>
      </c>
      <c r="G120" s="57" t="s">
        <v>45</v>
      </c>
      <c r="H120" s="57"/>
      <c r="I120" s="57" t="s">
        <v>531</v>
      </c>
      <c r="J120" s="57" t="s">
        <v>532</v>
      </c>
      <c r="K120" s="152">
        <v>45670</v>
      </c>
      <c r="L120" s="145" t="s">
        <v>556</v>
      </c>
      <c r="M120" s="57"/>
    </row>
    <row r="121" spans="1:13" ht="19.5" customHeight="1">
      <c r="A121" s="57" t="s">
        <v>557</v>
      </c>
      <c r="B121" s="58">
        <v>46104</v>
      </c>
      <c r="C121" s="396" t="e">
        <f xml:space="preserve"> VLOOKUP(E121, $A$3:$E$942, 2, FALSE)</f>
        <v>#N/A</v>
      </c>
      <c r="D121" s="45" t="s">
        <v>42</v>
      </c>
      <c r="E121" s="151" t="s">
        <v>558</v>
      </c>
      <c r="F121" s="57" t="s">
        <v>482</v>
      </c>
      <c r="G121" s="57"/>
      <c r="H121" s="57"/>
      <c r="I121" s="57" t="s">
        <v>559</v>
      </c>
      <c r="J121" s="57" t="s">
        <v>560</v>
      </c>
      <c r="K121" s="152"/>
      <c r="L121" s="145" t="s">
        <v>561</v>
      </c>
      <c r="M121" s="57"/>
    </row>
    <row r="122" spans="1:13" ht="19.5" customHeight="1">
      <c r="A122" s="57" t="s">
        <v>562</v>
      </c>
      <c r="B122" s="58">
        <v>46056</v>
      </c>
      <c r="C122" s="396" t="e">
        <f xml:space="preserve"> VLOOKUP(E122, $A$3:$E$942, 2, FALSE)</f>
        <v>#N/A</v>
      </c>
      <c r="D122" s="45" t="s">
        <v>42</v>
      </c>
      <c r="E122" s="151" t="s">
        <v>563</v>
      </c>
      <c r="F122" s="57" t="s">
        <v>90</v>
      </c>
      <c r="G122" s="57" t="s">
        <v>45</v>
      </c>
      <c r="H122" s="57"/>
      <c r="I122" s="57" t="s">
        <v>564</v>
      </c>
      <c r="J122" s="57" t="s">
        <v>565</v>
      </c>
      <c r="K122" s="152">
        <v>45660</v>
      </c>
      <c r="L122" s="145"/>
      <c r="M122" s="57"/>
    </row>
    <row r="123" spans="1:13" ht="21.75" customHeight="1">
      <c r="A123" s="57" t="s">
        <v>566</v>
      </c>
      <c r="B123" s="58">
        <v>46125</v>
      </c>
      <c r="C123" s="396" t="e">
        <f xml:space="preserve"> VLOOKUP(E123, $A$3:$E$942, 2, FALSE)</f>
        <v>#N/A</v>
      </c>
      <c r="D123" s="45" t="s">
        <v>42</v>
      </c>
      <c r="E123" s="151" t="s">
        <v>567</v>
      </c>
      <c r="F123" s="57" t="s">
        <v>166</v>
      </c>
      <c r="G123" s="57" t="s">
        <v>45</v>
      </c>
      <c r="H123" s="57"/>
      <c r="I123" s="57" t="s">
        <v>553</v>
      </c>
      <c r="J123" s="57" t="s">
        <v>568</v>
      </c>
      <c r="K123" s="152"/>
      <c r="L123" s="145"/>
      <c r="M123" s="57"/>
    </row>
    <row r="124" spans="1:13" ht="19.5" customHeight="1">
      <c r="A124" s="57" t="s">
        <v>569</v>
      </c>
      <c r="B124" s="58">
        <v>46104</v>
      </c>
      <c r="C124" s="396" t="e">
        <f xml:space="preserve"> VLOOKUP(E124, $A$3:$E$942, 2, FALSE)</f>
        <v>#N/A</v>
      </c>
      <c r="D124" s="45" t="s">
        <v>42</v>
      </c>
      <c r="E124" s="151" t="s">
        <v>570</v>
      </c>
      <c r="F124" s="57" t="s">
        <v>52</v>
      </c>
      <c r="G124" s="57" t="s">
        <v>141</v>
      </c>
      <c r="H124" s="57"/>
      <c r="I124" s="57" t="s">
        <v>571</v>
      </c>
      <c r="J124" s="57" t="s">
        <v>572</v>
      </c>
      <c r="K124" s="152">
        <v>45953</v>
      </c>
      <c r="L124" s="145" t="s">
        <v>573</v>
      </c>
      <c r="M124" s="57"/>
    </row>
    <row r="125" spans="1:13" ht="19.5" customHeight="1">
      <c r="A125" s="57" t="s">
        <v>574</v>
      </c>
      <c r="B125" s="58">
        <v>46084</v>
      </c>
      <c r="C125" s="396" t="e">
        <f xml:space="preserve"> VLOOKUP(E125, $A$3:$E$942, 2, FALSE)</f>
        <v>#N/A</v>
      </c>
      <c r="D125" s="45" t="s">
        <v>42</v>
      </c>
      <c r="E125" s="151" t="s">
        <v>575</v>
      </c>
      <c r="F125" s="57" t="s">
        <v>482</v>
      </c>
      <c r="G125" s="57"/>
      <c r="H125" s="57"/>
      <c r="I125" s="57" t="s">
        <v>576</v>
      </c>
      <c r="J125" s="57" t="s">
        <v>577</v>
      </c>
      <c r="K125" s="152"/>
      <c r="L125" s="145" t="s">
        <v>578</v>
      </c>
      <c r="M125" s="57"/>
    </row>
    <row r="126" spans="1:13" ht="22.5" customHeight="1">
      <c r="A126" s="57" t="s">
        <v>579</v>
      </c>
      <c r="B126" s="58">
        <v>46048</v>
      </c>
      <c r="C126" s="396" t="e">
        <f xml:space="preserve"> VLOOKUP(E126, $A$3:$E$942, 2, FALSE)</f>
        <v>#N/A</v>
      </c>
      <c r="D126" s="45" t="s">
        <v>42</v>
      </c>
      <c r="E126" s="151" t="s">
        <v>580</v>
      </c>
      <c r="F126" s="57" t="s">
        <v>482</v>
      </c>
      <c r="G126" s="57"/>
      <c r="H126" s="57"/>
      <c r="I126" s="57" t="s">
        <v>581</v>
      </c>
      <c r="J126" s="57" t="s">
        <v>582</v>
      </c>
      <c r="K126" s="152"/>
      <c r="L126" s="145"/>
      <c r="M126" s="57"/>
    </row>
    <row r="127" spans="1:13" ht="19.5" customHeight="1">
      <c r="A127" s="57" t="s">
        <v>583</v>
      </c>
      <c r="B127" s="58">
        <v>46084</v>
      </c>
      <c r="C127" s="396" t="e">
        <f xml:space="preserve"> VLOOKUP(E127, $A$3:$E$942, 2, FALSE)</f>
        <v>#N/A</v>
      </c>
      <c r="D127" s="45" t="s">
        <v>42</v>
      </c>
      <c r="E127" s="151" t="s">
        <v>584</v>
      </c>
      <c r="F127" s="57" t="s">
        <v>71</v>
      </c>
      <c r="G127" s="57"/>
      <c r="H127" s="57"/>
      <c r="I127" s="57" t="s">
        <v>553</v>
      </c>
      <c r="J127" s="57" t="s">
        <v>568</v>
      </c>
      <c r="K127" s="152"/>
      <c r="L127" s="145"/>
      <c r="M127" s="57"/>
    </row>
    <row r="128" spans="1:13" ht="19.5" customHeight="1">
      <c r="A128" s="57" t="s">
        <v>585</v>
      </c>
      <c r="B128" s="58">
        <v>46230</v>
      </c>
      <c r="C128" s="396" t="e">
        <f xml:space="preserve"> VLOOKUP(E128, $A$3:$E$942, 2, FALSE)</f>
        <v>#N/A</v>
      </c>
      <c r="D128" s="45" t="s">
        <v>42</v>
      </c>
      <c r="E128" s="151" t="s">
        <v>586</v>
      </c>
      <c r="F128" s="57" t="s">
        <v>66</v>
      </c>
      <c r="G128" s="57" t="s">
        <v>45</v>
      </c>
      <c r="H128" s="57"/>
      <c r="I128" s="57" t="s">
        <v>540</v>
      </c>
      <c r="J128" s="57" t="s">
        <v>587</v>
      </c>
      <c r="K128" s="152"/>
      <c r="L128" s="145"/>
      <c r="M128" s="57"/>
    </row>
    <row r="129" spans="1:13" ht="19.5" customHeight="1">
      <c r="A129" s="57" t="s">
        <v>588</v>
      </c>
      <c r="B129" s="58">
        <v>46253</v>
      </c>
      <c r="C129" s="396" t="e">
        <f xml:space="preserve"> VLOOKUP(E129, $A$3:$E$942, 2, FALSE)</f>
        <v>#N/A</v>
      </c>
      <c r="D129" s="45" t="s">
        <v>42</v>
      </c>
      <c r="E129" s="151" t="s">
        <v>589</v>
      </c>
      <c r="F129" s="57" t="s">
        <v>482</v>
      </c>
      <c r="G129" s="57"/>
      <c r="H129" s="57"/>
      <c r="I129" s="57" t="s">
        <v>590</v>
      </c>
      <c r="J129" s="57" t="s">
        <v>591</v>
      </c>
      <c r="K129" s="152"/>
      <c r="L129" s="145"/>
      <c r="M129" s="57"/>
    </row>
    <row r="130" spans="1:13" ht="19.5" customHeight="1">
      <c r="A130" s="57" t="s">
        <v>592</v>
      </c>
      <c r="B130" s="58">
        <v>46083</v>
      </c>
      <c r="C130" s="396" t="e">
        <f xml:space="preserve"> VLOOKUP(E130, $A$3:$E$942, 2, FALSE)</f>
        <v>#N/A</v>
      </c>
      <c r="D130" s="45" t="s">
        <v>42</v>
      </c>
      <c r="E130" s="151" t="s">
        <v>593</v>
      </c>
      <c r="F130" s="57" t="s">
        <v>52</v>
      </c>
      <c r="G130" s="57"/>
      <c r="H130" s="57"/>
      <c r="I130" s="57" t="s">
        <v>594</v>
      </c>
      <c r="J130" s="57" t="s">
        <v>595</v>
      </c>
      <c r="K130" s="152"/>
      <c r="L130" s="145"/>
      <c r="M130" s="57"/>
    </row>
    <row r="131" spans="1:13" ht="19.5" customHeight="1">
      <c r="A131" s="57" t="s">
        <v>596</v>
      </c>
      <c r="B131" s="58">
        <v>46106</v>
      </c>
      <c r="C131" s="396" t="e">
        <f xml:space="preserve"> VLOOKUP(E131, $A$3:$E$942, 2, FALSE)</f>
        <v>#N/A</v>
      </c>
      <c r="D131" s="45" t="s">
        <v>42</v>
      </c>
      <c r="E131" s="151" t="s">
        <v>597</v>
      </c>
      <c r="F131" s="57" t="s">
        <v>472</v>
      </c>
      <c r="G131" s="57"/>
      <c r="H131" s="57"/>
      <c r="I131" s="57" t="s">
        <v>598</v>
      </c>
      <c r="J131" s="57" t="s">
        <v>599</v>
      </c>
      <c r="K131" s="152"/>
      <c r="L131" s="145"/>
      <c r="M131" s="57"/>
    </row>
    <row r="132" spans="1:13" ht="19.5" customHeight="1">
      <c r="A132" s="57" t="s">
        <v>600</v>
      </c>
      <c r="B132" s="58">
        <v>46084</v>
      </c>
      <c r="C132" s="396" t="e">
        <f xml:space="preserve"> VLOOKUP(E132, $A$3:$E$942, 2, FALSE)</f>
        <v>#N/A</v>
      </c>
      <c r="D132" s="45" t="s">
        <v>42</v>
      </c>
      <c r="E132" s="151" t="s">
        <v>601</v>
      </c>
      <c r="F132" s="57" t="s">
        <v>106</v>
      </c>
      <c r="G132" s="57" t="s">
        <v>45</v>
      </c>
      <c r="H132" s="57"/>
      <c r="I132" s="57" t="s">
        <v>602</v>
      </c>
      <c r="J132" s="57" t="s">
        <v>603</v>
      </c>
      <c r="K132" s="152"/>
      <c r="L132" s="145"/>
      <c r="M132" s="57"/>
    </row>
    <row r="133" spans="1:13" ht="19.5" customHeight="1">
      <c r="A133" s="57" t="s">
        <v>604</v>
      </c>
      <c r="B133" s="58">
        <v>46078</v>
      </c>
      <c r="C133" s="396" t="e">
        <f xml:space="preserve"> VLOOKUP(E133, $A$3:$E$942, 2, FALSE)</f>
        <v>#N/A</v>
      </c>
      <c r="D133" s="45" t="s">
        <v>42</v>
      </c>
      <c r="E133" s="151" t="s">
        <v>605</v>
      </c>
      <c r="F133" s="57" t="s">
        <v>472</v>
      </c>
      <c r="G133" s="57"/>
      <c r="H133" s="57"/>
      <c r="I133" s="57" t="s">
        <v>606</v>
      </c>
      <c r="J133" s="57" t="s">
        <v>577</v>
      </c>
      <c r="K133" s="152"/>
      <c r="L133" s="145"/>
      <c r="M133" s="57"/>
    </row>
    <row r="134" spans="1:13" ht="19.5" customHeight="1">
      <c r="A134" s="57" t="s">
        <v>607</v>
      </c>
      <c r="B134" s="58">
        <v>46083</v>
      </c>
      <c r="C134" s="396" t="e">
        <f xml:space="preserve"> VLOOKUP(E134, $A$3:$E$942, 2, FALSE)</f>
        <v>#N/A</v>
      </c>
      <c r="D134" s="45" t="s">
        <v>42</v>
      </c>
      <c r="E134" s="151" t="s">
        <v>608</v>
      </c>
      <c r="F134" s="57" t="s">
        <v>472</v>
      </c>
      <c r="G134" s="57"/>
      <c r="H134" s="57"/>
      <c r="I134" s="57" t="s">
        <v>609</v>
      </c>
      <c r="J134" s="57" t="s">
        <v>610</v>
      </c>
      <c r="K134" s="152"/>
      <c r="L134" s="145" t="s">
        <v>314</v>
      </c>
      <c r="M134" s="57"/>
    </row>
    <row r="135" spans="1:13" ht="19.5" customHeight="1">
      <c r="A135" s="57" t="s">
        <v>611</v>
      </c>
      <c r="B135" s="58">
        <v>46241</v>
      </c>
      <c r="C135" s="396" t="e">
        <f xml:space="preserve"> VLOOKUP(E135, $A$3:$E$942, 2, FALSE)</f>
        <v>#N/A</v>
      </c>
      <c r="D135" s="45" t="s">
        <v>42</v>
      </c>
      <c r="E135" s="151" t="s">
        <v>612</v>
      </c>
      <c r="F135" s="57" t="s">
        <v>613</v>
      </c>
      <c r="G135" s="57" t="s">
        <v>141</v>
      </c>
      <c r="H135" s="57"/>
      <c r="I135" s="57" t="s">
        <v>614</v>
      </c>
      <c r="J135" s="57" t="s">
        <v>615</v>
      </c>
      <c r="K135" s="152"/>
      <c r="L135" s="145"/>
      <c r="M135" s="57"/>
    </row>
    <row r="136" spans="1:13" ht="19.5" customHeight="1">
      <c r="A136" s="57" t="s">
        <v>616</v>
      </c>
      <c r="B136" s="58">
        <v>46092</v>
      </c>
      <c r="C136" s="396" t="e">
        <f xml:space="preserve"> VLOOKUP(E136, $A$3:$E$942, 2, FALSE)</f>
        <v>#N/A</v>
      </c>
      <c r="D136" s="45" t="s">
        <v>42</v>
      </c>
      <c r="E136" s="151" t="s">
        <v>617</v>
      </c>
      <c r="F136" s="57" t="s">
        <v>472</v>
      </c>
      <c r="G136" s="57"/>
      <c r="H136" s="57"/>
      <c r="I136" s="57" t="s">
        <v>618</v>
      </c>
      <c r="J136" s="57" t="s">
        <v>619</v>
      </c>
      <c r="K136" s="152"/>
      <c r="L136" s="145" t="s">
        <v>578</v>
      </c>
      <c r="M136" s="57"/>
    </row>
    <row r="137" spans="1:13" ht="19.5" customHeight="1">
      <c r="A137" s="57" t="s">
        <v>620</v>
      </c>
      <c r="B137" s="58">
        <v>46111</v>
      </c>
      <c r="C137" s="396" t="e">
        <f xml:space="preserve"> VLOOKUP(E137, $A$3:$E$942, 2, FALSE)</f>
        <v>#N/A</v>
      </c>
      <c r="D137" s="45" t="s">
        <v>42</v>
      </c>
      <c r="E137" s="151" t="s">
        <v>621</v>
      </c>
      <c r="F137" s="57" t="s">
        <v>472</v>
      </c>
      <c r="G137" s="57"/>
      <c r="H137" s="57"/>
      <c r="I137" s="57" t="s">
        <v>618</v>
      </c>
      <c r="J137" s="57" t="s">
        <v>622</v>
      </c>
      <c r="K137" s="152"/>
      <c r="L137" s="145" t="s">
        <v>623</v>
      </c>
      <c r="M137" s="57"/>
    </row>
    <row r="138" spans="1:13" ht="19.5" customHeight="1">
      <c r="A138" s="57" t="s">
        <v>624</v>
      </c>
      <c r="B138" s="58">
        <v>46086</v>
      </c>
      <c r="C138" s="396" t="e">
        <f xml:space="preserve"> VLOOKUP(E138, $A$3:$E$942, 2, FALSE)</f>
        <v>#N/A</v>
      </c>
      <c r="D138" s="45" t="s">
        <v>42</v>
      </c>
      <c r="E138" s="151" t="s">
        <v>625</v>
      </c>
      <c r="F138" s="57" t="s">
        <v>149</v>
      </c>
      <c r="G138" s="57" t="s">
        <v>141</v>
      </c>
      <c r="H138" s="57"/>
      <c r="I138" s="57" t="s">
        <v>626</v>
      </c>
      <c r="J138" s="57" t="s">
        <v>627</v>
      </c>
      <c r="K138" s="152"/>
      <c r="L138" s="145" t="s">
        <v>628</v>
      </c>
      <c r="M138" s="57"/>
    </row>
    <row r="139" spans="1:13" ht="21" customHeight="1">
      <c r="A139" s="57" t="s">
        <v>629</v>
      </c>
      <c r="B139" s="58">
        <v>46083</v>
      </c>
      <c r="C139" s="396" t="e">
        <f xml:space="preserve"> VLOOKUP(E139, $A$3:$E$942, 2, FALSE)</f>
        <v>#N/A</v>
      </c>
      <c r="D139" s="45" t="s">
        <v>42</v>
      </c>
      <c r="E139" s="151" t="s">
        <v>630</v>
      </c>
      <c r="F139" s="57" t="s">
        <v>106</v>
      </c>
      <c r="G139" s="57"/>
      <c r="H139" s="57"/>
      <c r="I139" s="57" t="s">
        <v>626</v>
      </c>
      <c r="J139" s="57" t="s">
        <v>631</v>
      </c>
      <c r="K139" s="152"/>
      <c r="L139" s="145"/>
      <c r="M139" s="57"/>
    </row>
    <row r="140" spans="1:13" ht="19.5" customHeight="1">
      <c r="A140" s="57" t="s">
        <v>632</v>
      </c>
      <c r="B140" s="58">
        <v>46086</v>
      </c>
      <c r="C140" s="396" t="e">
        <f xml:space="preserve"> VLOOKUP(E140, $A$3:$E$942, 2, FALSE)</f>
        <v>#N/A</v>
      </c>
      <c r="D140" s="57" t="s">
        <v>42</v>
      </c>
      <c r="E140" s="250" t="s">
        <v>633</v>
      </c>
      <c r="F140" s="57" t="s">
        <v>90</v>
      </c>
      <c r="G140" s="57"/>
      <c r="H140" s="57"/>
      <c r="I140" s="57" t="s">
        <v>634</v>
      </c>
      <c r="J140" s="57" t="s">
        <v>635</v>
      </c>
      <c r="K140" s="152">
        <v>46008</v>
      </c>
      <c r="L140" s="145" t="s">
        <v>402</v>
      </c>
      <c r="M140" s="57"/>
    </row>
    <row r="141" spans="1:13" ht="19.5" customHeight="1">
      <c r="A141" s="57" t="s">
        <v>636</v>
      </c>
      <c r="B141" s="58">
        <v>46086</v>
      </c>
      <c r="C141" s="396" t="e">
        <f xml:space="preserve"> VLOOKUP(E141, $A$3:$E$942, 2, FALSE)</f>
        <v>#N/A</v>
      </c>
      <c r="D141" s="57" t="s">
        <v>42</v>
      </c>
      <c r="E141" s="147" t="s">
        <v>637</v>
      </c>
      <c r="F141" s="57" t="s">
        <v>106</v>
      </c>
      <c r="G141" s="57" t="s">
        <v>45</v>
      </c>
      <c r="H141" s="57"/>
      <c r="I141" s="57" t="s">
        <v>412</v>
      </c>
      <c r="J141" s="57" t="s">
        <v>638</v>
      </c>
      <c r="K141" s="152"/>
      <c r="L141" s="145"/>
      <c r="M141" s="57"/>
    </row>
    <row r="142" spans="1:13" ht="19.5" customHeight="1">
      <c r="A142" s="57" t="s">
        <v>639</v>
      </c>
      <c r="B142" s="58">
        <v>46078</v>
      </c>
      <c r="C142" s="396" t="e">
        <f xml:space="preserve"> VLOOKUP(E142, $A$3:$E$942, 2, FALSE)</f>
        <v>#N/A</v>
      </c>
      <c r="D142" s="57" t="s">
        <v>42</v>
      </c>
      <c r="E142" s="250" t="s">
        <v>640</v>
      </c>
      <c r="F142" s="57" t="s">
        <v>66</v>
      </c>
      <c r="G142" s="57" t="s">
        <v>45</v>
      </c>
      <c r="H142" s="57"/>
      <c r="I142" s="57" t="s">
        <v>641</v>
      </c>
      <c r="J142" s="57" t="s">
        <v>642</v>
      </c>
      <c r="K142" s="152"/>
      <c r="L142" s="145"/>
      <c r="M142" s="57"/>
    </row>
    <row r="143" spans="1:13" ht="19.5" customHeight="1">
      <c r="A143" s="57" t="s">
        <v>643</v>
      </c>
      <c r="B143" s="58">
        <v>46112</v>
      </c>
      <c r="C143" s="396" t="e">
        <f xml:space="preserve"> VLOOKUP(E143, $A$3:$E$942, 2, FALSE)</f>
        <v>#N/A</v>
      </c>
      <c r="D143" s="57" t="s">
        <v>42</v>
      </c>
      <c r="E143" s="250" t="s">
        <v>644</v>
      </c>
      <c r="F143" s="57" t="s">
        <v>90</v>
      </c>
      <c r="G143" s="57"/>
      <c r="H143" s="57"/>
      <c r="I143" s="57" t="s">
        <v>641</v>
      </c>
      <c r="J143" s="57" t="s">
        <v>645</v>
      </c>
      <c r="K143" s="152">
        <v>46007</v>
      </c>
      <c r="L143" s="145" t="s">
        <v>402</v>
      </c>
      <c r="M143" s="57"/>
    </row>
    <row r="144" spans="1:13" ht="19.5" customHeight="1">
      <c r="A144" s="57" t="s">
        <v>646</v>
      </c>
      <c r="B144" s="58">
        <v>46076</v>
      </c>
      <c r="C144" s="396" t="e">
        <f xml:space="preserve"> VLOOKUP(E144, $A$3:$E$942, 2, FALSE)</f>
        <v>#N/A</v>
      </c>
      <c r="D144" s="57" t="s">
        <v>42</v>
      </c>
      <c r="E144" s="250" t="s">
        <v>647</v>
      </c>
      <c r="F144" s="57" t="s">
        <v>523</v>
      </c>
      <c r="G144" s="57"/>
      <c r="H144" s="57"/>
      <c r="I144" s="57" t="s">
        <v>571</v>
      </c>
      <c r="J144" s="57" t="s">
        <v>648</v>
      </c>
      <c r="K144" s="152">
        <v>45996</v>
      </c>
      <c r="L144" s="145" t="s">
        <v>649</v>
      </c>
      <c r="M144" s="57"/>
    </row>
    <row r="145" spans="1:13" ht="19.5" customHeight="1">
      <c r="A145" s="57" t="s">
        <v>650</v>
      </c>
      <c r="B145" s="58">
        <v>46253</v>
      </c>
      <c r="C145" s="396" t="e">
        <f xml:space="preserve"> VLOOKUP(E145, $A$3:$E$942, 2, FALSE)</f>
        <v>#N/A</v>
      </c>
      <c r="D145" s="45" t="s">
        <v>42</v>
      </c>
      <c r="E145" s="151" t="s">
        <v>651</v>
      </c>
      <c r="F145" s="57" t="s">
        <v>90</v>
      </c>
      <c r="G145" s="57"/>
      <c r="H145" s="57"/>
      <c r="I145" s="57" t="s">
        <v>652</v>
      </c>
      <c r="J145" s="57" t="s">
        <v>653</v>
      </c>
      <c r="K145" s="152">
        <v>45667</v>
      </c>
      <c r="L145" s="145"/>
      <c r="M145" s="57"/>
    </row>
    <row r="146" spans="1:13" ht="19.5" customHeight="1">
      <c r="A146" s="57" t="s">
        <v>654</v>
      </c>
      <c r="B146" s="58">
        <v>46252</v>
      </c>
      <c r="C146" s="396" t="e">
        <f xml:space="preserve"> VLOOKUP(E146, $A$3:$E$942, 2, FALSE)</f>
        <v>#N/A</v>
      </c>
      <c r="D146" s="57" t="s">
        <v>42</v>
      </c>
      <c r="E146" s="147" t="s">
        <v>655</v>
      </c>
      <c r="F146" s="57" t="s">
        <v>106</v>
      </c>
      <c r="G146" s="57" t="s">
        <v>45</v>
      </c>
      <c r="H146" s="57"/>
      <c r="I146" s="57" t="s">
        <v>656</v>
      </c>
      <c r="J146" s="57" t="s">
        <v>657</v>
      </c>
      <c r="K146" s="152"/>
      <c r="L146" s="145"/>
      <c r="M146" s="57"/>
    </row>
    <row r="147" spans="1:13" ht="19.5" customHeight="1">
      <c r="A147" s="57" t="s">
        <v>658</v>
      </c>
      <c r="B147" s="58">
        <v>46087</v>
      </c>
      <c r="C147" s="396" t="e">
        <f xml:space="preserve"> VLOOKUP(E147, $A$3:$E$942, 2, FALSE)</f>
        <v>#N/A</v>
      </c>
      <c r="D147" s="57" t="s">
        <v>42</v>
      </c>
      <c r="E147" s="250" t="s">
        <v>659</v>
      </c>
      <c r="F147" s="57" t="s">
        <v>230</v>
      </c>
      <c r="G147" s="57"/>
      <c r="H147" s="57"/>
      <c r="I147" s="57" t="s">
        <v>660</v>
      </c>
      <c r="J147" s="57" t="s">
        <v>661</v>
      </c>
      <c r="K147" s="152">
        <v>46059</v>
      </c>
      <c r="L147" s="145" t="s">
        <v>389</v>
      </c>
      <c r="M147" s="57"/>
    </row>
    <row r="148" spans="1:13" ht="20.25" customHeight="1">
      <c r="A148" s="305" t="s">
        <v>662</v>
      </c>
      <c r="B148" s="391">
        <v>46083</v>
      </c>
      <c r="C148" s="396">
        <f xml:space="preserve"> VLOOKUP(E148, $A$2:$E$822, 2, FALSE)</f>
        <v>46101</v>
      </c>
      <c r="D148" s="36" t="s">
        <v>42</v>
      </c>
      <c r="E148" s="11" t="s">
        <v>121</v>
      </c>
      <c r="F148" s="36" t="s">
        <v>90</v>
      </c>
      <c r="I148" s="36" t="s">
        <v>254</v>
      </c>
      <c r="J148" s="36" t="s">
        <v>663</v>
      </c>
      <c r="K148" s="276"/>
    </row>
    <row r="149" spans="1:13" ht="19.5" customHeight="1">
      <c r="A149" s="57" t="s">
        <v>664</v>
      </c>
      <c r="B149" s="391">
        <v>46106</v>
      </c>
      <c r="C149" s="396">
        <f xml:space="preserve"> VLOOKUP(E149, $A$2:$E$822, 2, FALSE)</f>
        <v>46076</v>
      </c>
      <c r="D149" s="36" t="s">
        <v>665</v>
      </c>
      <c r="E149" s="36" t="s">
        <v>139</v>
      </c>
      <c r="F149" s="36" t="s">
        <v>52</v>
      </c>
      <c r="I149" s="36" t="s">
        <v>666</v>
      </c>
      <c r="J149" s="36" t="s">
        <v>667</v>
      </c>
      <c r="K149" s="276">
        <v>45762</v>
      </c>
    </row>
    <row r="150" spans="1:13" ht="19.5" customHeight="1">
      <c r="A150" s="57" t="s">
        <v>668</v>
      </c>
      <c r="B150" s="391">
        <v>46106</v>
      </c>
      <c r="C150" s="396" t="e">
        <f xml:space="preserve"> VLOOKUP(E150, $A$2:$E$822, 2, FALSE)</f>
        <v>#N/A</v>
      </c>
      <c r="D150" s="36" t="s">
        <v>665</v>
      </c>
      <c r="E150" s="36" t="s">
        <v>669</v>
      </c>
      <c r="F150" s="36" t="s">
        <v>90</v>
      </c>
      <c r="I150" s="36" t="s">
        <v>82</v>
      </c>
      <c r="J150" s="36" t="s">
        <v>670</v>
      </c>
      <c r="K150" s="276">
        <v>45730</v>
      </c>
    </row>
    <row r="151" spans="1:13" ht="19.5" customHeight="1">
      <c r="A151" s="57" t="s">
        <v>671</v>
      </c>
      <c r="B151" s="391">
        <v>46083</v>
      </c>
      <c r="C151" s="396" t="e">
        <f xml:space="preserve"> VLOOKUP(E151, $A$2:$E$822, 2, FALSE)</f>
        <v>#N/A</v>
      </c>
      <c r="D151" s="36" t="s">
        <v>665</v>
      </c>
      <c r="E151" s="36" t="s">
        <v>672</v>
      </c>
      <c r="F151" s="36" t="s">
        <v>90</v>
      </c>
      <c r="I151" s="36" t="s">
        <v>127</v>
      </c>
      <c r="J151" s="36" t="s">
        <v>673</v>
      </c>
      <c r="K151" s="276">
        <v>45796</v>
      </c>
    </row>
    <row r="152" spans="1:13" ht="19.5" customHeight="1">
      <c r="A152" s="57" t="s">
        <v>674</v>
      </c>
      <c r="B152" s="391">
        <v>46097</v>
      </c>
      <c r="C152" s="396" t="e">
        <f xml:space="preserve"> VLOOKUP(E152, $A$2:$E$822, 2, FALSE)</f>
        <v>#N/A</v>
      </c>
      <c r="D152" s="36" t="s">
        <v>665</v>
      </c>
      <c r="E152" s="11" t="s">
        <v>675</v>
      </c>
      <c r="F152" s="36" t="s">
        <v>52</v>
      </c>
      <c r="I152" s="36" t="s">
        <v>187</v>
      </c>
      <c r="J152" s="36" t="s">
        <v>676</v>
      </c>
      <c r="K152" s="277">
        <v>46028</v>
      </c>
      <c r="L152" s="146" t="s">
        <v>677</v>
      </c>
    </row>
    <row r="153" spans="1:13" ht="18" customHeight="1">
      <c r="A153" s="305" t="s">
        <v>678</v>
      </c>
      <c r="B153" s="391">
        <v>46098</v>
      </c>
      <c r="C153" s="396" t="e">
        <f xml:space="preserve"> VLOOKUP(E153, $A$2:$E$822, 2, FALSE)</f>
        <v>#N/A</v>
      </c>
      <c r="D153" s="36" t="s">
        <v>665</v>
      </c>
      <c r="E153" s="11" t="s">
        <v>679</v>
      </c>
      <c r="F153" s="36" t="s">
        <v>90</v>
      </c>
      <c r="H153" s="36" t="s">
        <v>680</v>
      </c>
      <c r="I153" s="36" t="s">
        <v>681</v>
      </c>
      <c r="J153" s="36" t="s">
        <v>682</v>
      </c>
      <c r="K153" s="276">
        <v>45985</v>
      </c>
      <c r="L153" s="146" t="s">
        <v>683</v>
      </c>
    </row>
    <row r="154" spans="1:13" ht="19.5" customHeight="1">
      <c r="A154" s="305" t="s">
        <v>684</v>
      </c>
      <c r="B154" s="391">
        <v>46094</v>
      </c>
      <c r="C154" s="396">
        <f xml:space="preserve"> VLOOKUP(E154, $A$2:$E$822, 2, FALSE)</f>
        <v>46094</v>
      </c>
      <c r="D154" s="36" t="s">
        <v>665</v>
      </c>
      <c r="E154" s="11" t="s">
        <v>684</v>
      </c>
      <c r="F154" s="36" t="s">
        <v>81</v>
      </c>
      <c r="I154" s="36" t="s">
        <v>681</v>
      </c>
      <c r="J154" s="36" t="s">
        <v>682</v>
      </c>
      <c r="K154" s="277">
        <v>46052</v>
      </c>
      <c r="L154" s="275" t="s">
        <v>685</v>
      </c>
    </row>
    <row r="155" spans="1:13" ht="19.5" customHeight="1">
      <c r="A155" s="305" t="s">
        <v>686</v>
      </c>
      <c r="B155" s="391">
        <v>46076</v>
      </c>
      <c r="C155" s="396">
        <f xml:space="preserve"> VLOOKUP(E155, $A$2:$E$822, 2, FALSE)</f>
        <v>46092</v>
      </c>
      <c r="D155" s="36" t="s">
        <v>687</v>
      </c>
      <c r="E155" s="36" t="s">
        <v>252</v>
      </c>
      <c r="F155" s="36" t="s">
        <v>688</v>
      </c>
      <c r="I155" s="36" t="s">
        <v>278</v>
      </c>
      <c r="J155" s="36" t="s">
        <v>346</v>
      </c>
      <c r="K155" s="276">
        <v>45918</v>
      </c>
    </row>
    <row r="156" spans="1:13" ht="18" customHeight="1">
      <c r="A156" s="57" t="s">
        <v>689</v>
      </c>
      <c r="B156" s="58">
        <v>46078</v>
      </c>
      <c r="C156" s="396">
        <f xml:space="preserve"> VLOOKUP(E156, $A$3:$E$942, 2, FALSE)</f>
        <v>46083</v>
      </c>
      <c r="D156" s="45" t="s">
        <v>687</v>
      </c>
      <c r="E156" s="11" t="s">
        <v>690</v>
      </c>
      <c r="F156" s="57" t="s">
        <v>100</v>
      </c>
      <c r="G156" s="57" t="s">
        <v>45</v>
      </c>
      <c r="H156" s="57" t="s">
        <v>691</v>
      </c>
      <c r="I156" s="57" t="s">
        <v>692</v>
      </c>
      <c r="J156" s="57" t="s">
        <v>693</v>
      </c>
      <c r="K156" s="152">
        <v>46044</v>
      </c>
      <c r="L156" s="145" t="s">
        <v>343</v>
      </c>
      <c r="M156" s="57"/>
    </row>
    <row r="157" spans="1:13" ht="19.5" customHeight="1">
      <c r="A157" s="57" t="s">
        <v>694</v>
      </c>
      <c r="B157" s="58">
        <v>46086</v>
      </c>
      <c r="C157" s="396">
        <f xml:space="preserve"> VLOOKUP(E157, $A$3:$E$942, 2, FALSE)</f>
        <v>46083</v>
      </c>
      <c r="D157" s="45" t="s">
        <v>687</v>
      </c>
      <c r="E157" s="151" t="s">
        <v>695</v>
      </c>
      <c r="F157" s="57" t="s">
        <v>100</v>
      </c>
      <c r="G157" s="57" t="s">
        <v>45</v>
      </c>
      <c r="H157" s="57"/>
      <c r="I157" s="57" t="s">
        <v>641</v>
      </c>
      <c r="J157" s="57" t="s">
        <v>696</v>
      </c>
      <c r="K157" s="152">
        <v>46007</v>
      </c>
      <c r="L157" s="145" t="s">
        <v>402</v>
      </c>
      <c r="M157" s="57">
        <v>610820628</v>
      </c>
    </row>
    <row r="158" spans="1:13" ht="19.5" customHeight="1">
      <c r="A158" s="57" t="s">
        <v>697</v>
      </c>
      <c r="B158" s="58">
        <v>46086</v>
      </c>
      <c r="C158" s="396">
        <f xml:space="preserve"> VLOOKUP(E158, $A$3:$E$942, 2, FALSE)</f>
        <v>46083</v>
      </c>
      <c r="D158" s="57" t="s">
        <v>687</v>
      </c>
      <c r="E158" s="250" t="s">
        <v>698</v>
      </c>
      <c r="F158" s="57">
        <v>72</v>
      </c>
      <c r="G158" s="57" t="s">
        <v>45</v>
      </c>
      <c r="H158" s="57"/>
      <c r="I158" s="57" t="s">
        <v>487</v>
      </c>
      <c r="J158" s="57" t="s">
        <v>699</v>
      </c>
      <c r="K158" s="152">
        <v>46042</v>
      </c>
      <c r="L158" s="313" t="s">
        <v>700</v>
      </c>
      <c r="M158" s="57"/>
    </row>
    <row r="159" spans="1:13" ht="19.5" customHeight="1">
      <c r="A159" s="57" t="s">
        <v>701</v>
      </c>
      <c r="B159" s="58">
        <v>46072</v>
      </c>
      <c r="C159" s="396">
        <f xml:space="preserve"> VLOOKUP(E159, $A$3:$E$942, 2, FALSE)</f>
        <v>46079</v>
      </c>
      <c r="D159" s="45" t="s">
        <v>687</v>
      </c>
      <c r="E159" s="250" t="s">
        <v>702</v>
      </c>
      <c r="F159" s="57" t="s">
        <v>90</v>
      </c>
      <c r="G159" s="57"/>
      <c r="H159" s="57"/>
      <c r="I159" s="57" t="s">
        <v>703</v>
      </c>
      <c r="J159" s="57" t="s">
        <v>704</v>
      </c>
      <c r="K159" s="277">
        <v>46021</v>
      </c>
      <c r="L159" s="145"/>
      <c r="M159" s="57"/>
    </row>
    <row r="160" spans="1:13" ht="19.5" customHeight="1">
      <c r="A160" s="305" t="s">
        <v>705</v>
      </c>
      <c r="B160" s="391">
        <v>46072</v>
      </c>
      <c r="C160" s="396">
        <f xml:space="preserve"> VLOOKUP(E160, $A$3:$E$942, 2, FALSE)</f>
        <v>46078</v>
      </c>
      <c r="D160" s="36" t="s">
        <v>687</v>
      </c>
      <c r="E160" s="11" t="s">
        <v>706</v>
      </c>
      <c r="F160" s="36" t="s">
        <v>707</v>
      </c>
      <c r="I160" s="36" t="s">
        <v>708</v>
      </c>
      <c r="J160" s="36" t="s">
        <v>709</v>
      </c>
      <c r="K160" s="277">
        <v>46069</v>
      </c>
      <c r="L160" s="146" t="s">
        <v>389</v>
      </c>
    </row>
    <row r="161" spans="1:13" ht="19.5" customHeight="1">
      <c r="A161" s="305" t="s">
        <v>710</v>
      </c>
      <c r="B161" s="391">
        <v>46122</v>
      </c>
      <c r="C161" s="396">
        <f xml:space="preserve"> VLOOKUP(E161, $A$2:$E$822, 2, FALSE)</f>
        <v>46079</v>
      </c>
      <c r="D161" s="36" t="s">
        <v>711</v>
      </c>
      <c r="E161" s="36" t="s">
        <v>185</v>
      </c>
      <c r="F161" s="36" t="s">
        <v>90</v>
      </c>
      <c r="I161" s="36" t="s">
        <v>341</v>
      </c>
      <c r="J161" s="36" t="s">
        <v>712</v>
      </c>
      <c r="K161" s="276"/>
    </row>
    <row r="162" spans="1:13" ht="19.5" customHeight="1">
      <c r="A162" s="305" t="s">
        <v>713</v>
      </c>
      <c r="B162" s="391">
        <v>46083</v>
      </c>
      <c r="C162" s="396">
        <f xml:space="preserve"> VLOOKUP(E162, $A$2:$E$822, 2, FALSE)</f>
        <v>46091</v>
      </c>
      <c r="D162" s="36" t="s">
        <v>711</v>
      </c>
      <c r="E162" s="36" t="s">
        <v>176</v>
      </c>
      <c r="F162" s="36" t="s">
        <v>52</v>
      </c>
      <c r="I162" s="36" t="s">
        <v>714</v>
      </c>
      <c r="J162" s="36" t="s">
        <v>715</v>
      </c>
      <c r="K162" s="276"/>
    </row>
    <row r="163" spans="1:13" ht="19.5" customHeight="1">
      <c r="A163" s="305" t="s">
        <v>716</v>
      </c>
      <c r="B163" s="391">
        <v>46078</v>
      </c>
      <c r="C163" s="396">
        <f xml:space="preserve"> VLOOKUP(E163, $A$2:$E$822, 2, FALSE)</f>
        <v>46092</v>
      </c>
      <c r="D163" s="36" t="s">
        <v>711</v>
      </c>
      <c r="E163" s="36" t="s">
        <v>208</v>
      </c>
      <c r="F163" s="36" t="s">
        <v>90</v>
      </c>
      <c r="G163" s="36" t="s">
        <v>141</v>
      </c>
      <c r="I163" s="36" t="s">
        <v>717</v>
      </c>
      <c r="J163" s="36" t="s">
        <v>718</v>
      </c>
      <c r="K163" s="276"/>
    </row>
    <row r="164" spans="1:13" ht="19.5" customHeight="1">
      <c r="A164" s="305" t="s">
        <v>719</v>
      </c>
      <c r="B164" s="391">
        <v>46083</v>
      </c>
      <c r="C164" s="396">
        <f xml:space="preserve"> VLOOKUP(E164, $A$2:$E$822, 2, FALSE)</f>
        <v>46104</v>
      </c>
      <c r="D164" s="36" t="s">
        <v>711</v>
      </c>
      <c r="E164" s="11" t="s">
        <v>569</v>
      </c>
      <c r="F164" s="36" t="s">
        <v>720</v>
      </c>
      <c r="G164" s="36" t="s">
        <v>141</v>
      </c>
      <c r="I164" s="36" t="s">
        <v>721</v>
      </c>
      <c r="J164" s="36" t="s">
        <v>722</v>
      </c>
      <c r="K164" s="277">
        <v>46027</v>
      </c>
      <c r="L164" s="146" t="s">
        <v>402</v>
      </c>
    </row>
    <row r="165" spans="1:13" ht="19.5" customHeight="1">
      <c r="A165" s="305" t="s">
        <v>723</v>
      </c>
      <c r="B165" s="391">
        <v>46083</v>
      </c>
      <c r="C165" s="396">
        <f xml:space="preserve"> VLOOKUP(E165, $A$2:$E$822, 2, FALSE)</f>
        <v>46090</v>
      </c>
      <c r="D165" s="36" t="s">
        <v>724</v>
      </c>
      <c r="E165" s="11" t="s">
        <v>394</v>
      </c>
      <c r="F165" s="36" t="s">
        <v>66</v>
      </c>
      <c r="G165" s="36" t="s">
        <v>141</v>
      </c>
      <c r="I165" s="36" t="s">
        <v>725</v>
      </c>
      <c r="J165" s="36" t="s">
        <v>726</v>
      </c>
      <c r="K165" s="276">
        <v>45981</v>
      </c>
      <c r="L165" s="146" t="s">
        <v>727</v>
      </c>
    </row>
    <row r="166" spans="1:13" ht="19.5" customHeight="1">
      <c r="A166" s="305" t="s">
        <v>728</v>
      </c>
      <c r="B166" s="391">
        <v>46083</v>
      </c>
      <c r="C166" s="396">
        <f xml:space="preserve"> VLOOKUP(E166, $A$2:$E$822, 2, FALSE)</f>
        <v>46076</v>
      </c>
      <c r="D166" s="36" t="s">
        <v>729</v>
      </c>
      <c r="E166" s="36" t="s">
        <v>233</v>
      </c>
      <c r="F166" s="36" t="s">
        <v>230</v>
      </c>
      <c r="G166" s="36" t="s">
        <v>141</v>
      </c>
      <c r="H166" s="363" t="s">
        <v>730</v>
      </c>
      <c r="I166" s="36" t="s">
        <v>731</v>
      </c>
      <c r="J166" s="36" t="s">
        <v>732</v>
      </c>
      <c r="K166" s="276" t="s">
        <v>733</v>
      </c>
      <c r="L166" s="146" t="s">
        <v>734</v>
      </c>
    </row>
    <row r="167" spans="1:13" ht="19.5" customHeight="1">
      <c r="A167" s="305" t="s">
        <v>735</v>
      </c>
      <c r="B167" s="391">
        <v>46083</v>
      </c>
      <c r="C167" s="396">
        <f xml:space="preserve"> VLOOKUP(E167, $A$2:$E$822, 2, FALSE)</f>
        <v>46072</v>
      </c>
      <c r="D167" s="36" t="s">
        <v>729</v>
      </c>
      <c r="E167" s="11" t="s">
        <v>503</v>
      </c>
      <c r="F167" s="36" t="s">
        <v>396</v>
      </c>
      <c r="H167" s="36" t="s">
        <v>736</v>
      </c>
      <c r="I167" s="36" t="s">
        <v>737</v>
      </c>
      <c r="J167" s="36" t="s">
        <v>738</v>
      </c>
      <c r="K167" s="277">
        <v>46008</v>
      </c>
      <c r="L167" s="146" t="s">
        <v>739</v>
      </c>
    </row>
    <row r="168" spans="1:13" ht="19.5" customHeight="1">
      <c r="A168" s="305" t="s">
        <v>740</v>
      </c>
      <c r="B168" s="391">
        <v>46083</v>
      </c>
      <c r="C168" s="396">
        <f xml:space="preserve"> VLOOKUP(E168, $A$2:$E$822, 2, FALSE)</f>
        <v>46078</v>
      </c>
      <c r="D168" s="36" t="s">
        <v>729</v>
      </c>
      <c r="E168" s="36" t="s">
        <v>213</v>
      </c>
      <c r="F168" s="36" t="s">
        <v>52</v>
      </c>
      <c r="I168" s="36" t="s">
        <v>741</v>
      </c>
      <c r="J168" s="36" t="s">
        <v>742</v>
      </c>
      <c r="K168" s="276"/>
    </row>
    <row r="169" spans="1:13" ht="24.75" customHeight="1">
      <c r="A169" s="305" t="s">
        <v>706</v>
      </c>
      <c r="B169" s="391">
        <v>46078</v>
      </c>
      <c r="C169" s="396">
        <f xml:space="preserve"> VLOOKUP(E169, $A$2:$E$822, 2, FALSE)</f>
        <v>46086</v>
      </c>
      <c r="D169" s="36" t="s">
        <v>729</v>
      </c>
      <c r="E169" s="11" t="s">
        <v>624</v>
      </c>
      <c r="F169" s="36" t="s">
        <v>90</v>
      </c>
      <c r="I169" s="36" t="s">
        <v>743</v>
      </c>
      <c r="J169" s="36" t="s">
        <v>744</v>
      </c>
      <c r="K169" s="277">
        <v>46049</v>
      </c>
    </row>
    <row r="170" spans="1:13" ht="19.5" customHeight="1">
      <c r="A170" s="305" t="s">
        <v>745</v>
      </c>
      <c r="B170" s="391">
        <v>46083</v>
      </c>
      <c r="C170" s="396">
        <f xml:space="preserve"> VLOOKUP(E170, $A$2:$E$822, 2, FALSE)</f>
        <v>46090</v>
      </c>
      <c r="D170" s="36" t="s">
        <v>729</v>
      </c>
      <c r="E170" s="36" t="s">
        <v>220</v>
      </c>
      <c r="F170" s="36" t="s">
        <v>90</v>
      </c>
      <c r="H170" s="36" t="s">
        <v>746</v>
      </c>
      <c r="I170" s="36" t="s">
        <v>747</v>
      </c>
      <c r="J170" s="36" t="s">
        <v>748</v>
      </c>
      <c r="K170" s="276">
        <v>45874</v>
      </c>
      <c r="L170" s="146" t="s">
        <v>749</v>
      </c>
    </row>
    <row r="171" spans="1:13" ht="19.5" customHeight="1">
      <c r="A171" s="305" t="s">
        <v>750</v>
      </c>
      <c r="B171" s="391">
        <v>46090</v>
      </c>
      <c r="C171" s="396">
        <f xml:space="preserve"> VLOOKUP(E171, $A$2:$E$822, 2, FALSE)</f>
        <v>46087</v>
      </c>
      <c r="D171" s="36" t="s">
        <v>729</v>
      </c>
      <c r="E171" s="11" t="s">
        <v>168</v>
      </c>
      <c r="F171" s="36" t="s">
        <v>90</v>
      </c>
      <c r="I171" s="36" t="s">
        <v>751</v>
      </c>
      <c r="J171" s="36" t="s">
        <v>752</v>
      </c>
      <c r="K171" s="277">
        <v>46029</v>
      </c>
      <c r="L171" s="146" t="s">
        <v>753</v>
      </c>
    </row>
    <row r="172" spans="1:13" ht="19.5" customHeight="1">
      <c r="A172" s="305" t="s">
        <v>754</v>
      </c>
      <c r="B172" s="391">
        <v>46086</v>
      </c>
      <c r="C172" s="396">
        <f xml:space="preserve"> VLOOKUP(E172, $A$2:$E$822, 2, FALSE)</f>
        <v>46083</v>
      </c>
      <c r="D172" s="36" t="s">
        <v>729</v>
      </c>
      <c r="E172" s="11" t="s">
        <v>607</v>
      </c>
      <c r="F172" s="36" t="s">
        <v>396</v>
      </c>
      <c r="G172" s="36" t="s">
        <v>45</v>
      </c>
      <c r="I172" s="36" t="s">
        <v>158</v>
      </c>
      <c r="J172" s="36" t="s">
        <v>755</v>
      </c>
      <c r="K172" s="277">
        <v>46048</v>
      </c>
      <c r="L172" s="325" t="s">
        <v>756</v>
      </c>
    </row>
    <row r="173" spans="1:13" ht="19.5" customHeight="1">
      <c r="A173" s="305" t="s">
        <v>757</v>
      </c>
      <c r="B173" s="391">
        <v>46090</v>
      </c>
      <c r="C173" s="396">
        <f xml:space="preserve"> VLOOKUP(E173, $A$2:$E$822, 2, FALSE)</f>
        <v>46083</v>
      </c>
      <c r="D173" s="36" t="s">
        <v>729</v>
      </c>
      <c r="E173" s="11" t="s">
        <v>515</v>
      </c>
      <c r="F173" s="36" t="s">
        <v>66</v>
      </c>
      <c r="H173" s="36" t="s">
        <v>758</v>
      </c>
      <c r="I173" s="36" t="s">
        <v>759</v>
      </c>
      <c r="J173" s="36" t="s">
        <v>760</v>
      </c>
      <c r="K173" s="277">
        <v>46028</v>
      </c>
      <c r="L173" s="298" t="s">
        <v>761</v>
      </c>
    </row>
    <row r="174" spans="1:13" ht="19.5" customHeight="1">
      <c r="A174" s="305" t="s">
        <v>762</v>
      </c>
      <c r="B174" s="391">
        <v>46111</v>
      </c>
      <c r="C174" s="396">
        <f xml:space="preserve"> VLOOKUP(E174, $A$2:$E$822, 2, FALSE)</f>
        <v>46084</v>
      </c>
      <c r="D174" s="36" t="s">
        <v>729</v>
      </c>
      <c r="E174" s="11" t="s">
        <v>600</v>
      </c>
      <c r="F174" s="36" t="s">
        <v>243</v>
      </c>
      <c r="I174" s="36" t="s">
        <v>158</v>
      </c>
      <c r="J174" s="36" t="s">
        <v>763</v>
      </c>
      <c r="K174" s="277"/>
      <c r="M174" s="29"/>
    </row>
    <row r="175" spans="1:13" ht="19.5" customHeight="1">
      <c r="A175" s="57" t="s">
        <v>764</v>
      </c>
      <c r="B175" s="58">
        <v>46111</v>
      </c>
      <c r="C175" s="396">
        <f xml:space="preserve"> VLOOKUP(E175, $A$3:$E$942, 2, FALSE)</f>
        <v>46083</v>
      </c>
      <c r="D175" s="57" t="s">
        <v>729</v>
      </c>
      <c r="E175" s="250" t="s">
        <v>765</v>
      </c>
      <c r="F175" s="57" t="s">
        <v>688</v>
      </c>
      <c r="G175" s="57" t="s">
        <v>45</v>
      </c>
      <c r="H175" s="57"/>
      <c r="I175" s="57" t="s">
        <v>766</v>
      </c>
      <c r="J175" s="57" t="s">
        <v>767</v>
      </c>
      <c r="K175" s="152"/>
      <c r="L175" s="145"/>
      <c r="M175" s="57"/>
    </row>
    <row r="176" spans="1:13" ht="19.5" customHeight="1">
      <c r="A176" s="57" t="s">
        <v>768</v>
      </c>
      <c r="B176" s="58">
        <v>46077</v>
      </c>
      <c r="C176" s="396">
        <f xml:space="preserve"> VLOOKUP(E176, $A$3:$E$942, 2, FALSE)</f>
        <v>46083</v>
      </c>
      <c r="D176" s="57" t="s">
        <v>729</v>
      </c>
      <c r="E176" s="250" t="s">
        <v>769</v>
      </c>
      <c r="F176" s="57" t="s">
        <v>90</v>
      </c>
      <c r="G176" s="57" t="s">
        <v>45</v>
      </c>
      <c r="H176" s="57"/>
      <c r="I176" s="57" t="s">
        <v>618</v>
      </c>
      <c r="J176" s="57" t="s">
        <v>770</v>
      </c>
      <c r="K176" s="152">
        <v>46044</v>
      </c>
      <c r="L176" s="145" t="s">
        <v>389</v>
      </c>
      <c r="M176" s="57"/>
    </row>
    <row r="177" spans="1:13" ht="19.5" customHeight="1">
      <c r="A177" s="57" t="s">
        <v>771</v>
      </c>
      <c r="B177" s="58">
        <v>46087</v>
      </c>
      <c r="C177" s="396">
        <f xml:space="preserve"> VLOOKUP(E177, $A$3:$E$942, 2, FALSE)</f>
        <v>46083</v>
      </c>
      <c r="D177" s="57" t="s">
        <v>729</v>
      </c>
      <c r="E177" s="250" t="s">
        <v>772</v>
      </c>
      <c r="F177" s="57">
        <v>72</v>
      </c>
      <c r="G177" s="57" t="s">
        <v>45</v>
      </c>
      <c r="H177" s="57"/>
      <c r="I177" s="57" t="s">
        <v>773</v>
      </c>
      <c r="J177" s="57" t="s">
        <v>774</v>
      </c>
      <c r="K177" s="152">
        <v>46050</v>
      </c>
      <c r="L177" s="145" t="s">
        <v>389</v>
      </c>
      <c r="M177" s="57"/>
    </row>
    <row r="178" spans="1:13" ht="19.5" customHeight="1">
      <c r="A178" s="57" t="s">
        <v>775</v>
      </c>
      <c r="B178" s="58">
        <v>46076</v>
      </c>
      <c r="C178" s="396">
        <f xml:space="preserve"> VLOOKUP(E178, $A$3:$E$942, 2, FALSE)</f>
        <v>46083</v>
      </c>
      <c r="D178" s="57" t="s">
        <v>729</v>
      </c>
      <c r="E178" s="250" t="s">
        <v>776</v>
      </c>
      <c r="F178" s="57" t="s">
        <v>90</v>
      </c>
      <c r="G178" s="57" t="s">
        <v>141</v>
      </c>
      <c r="H178" s="57"/>
      <c r="I178" s="57" t="s">
        <v>777</v>
      </c>
      <c r="J178" s="57" t="s">
        <v>778</v>
      </c>
      <c r="K178" s="152">
        <v>46038</v>
      </c>
      <c r="L178" s="313" t="s">
        <v>779</v>
      </c>
      <c r="M178" s="57"/>
    </row>
    <row r="179" spans="1:13" ht="19.5" customHeight="1">
      <c r="A179" s="57" t="s">
        <v>780</v>
      </c>
      <c r="B179" s="58">
        <v>46079</v>
      </c>
      <c r="C179" s="396">
        <f xml:space="preserve"> VLOOKUP(E179, $A$3:$E$942, 2, FALSE)</f>
        <v>46083</v>
      </c>
      <c r="D179" s="45" t="s">
        <v>729</v>
      </c>
      <c r="E179" s="11" t="s">
        <v>781</v>
      </c>
      <c r="F179" s="57" t="s">
        <v>90</v>
      </c>
      <c r="G179" s="57"/>
      <c r="H179" s="57"/>
      <c r="I179" s="57" t="s">
        <v>559</v>
      </c>
      <c r="J179" s="57" t="s">
        <v>458</v>
      </c>
      <c r="K179" s="152">
        <v>46070</v>
      </c>
      <c r="L179" s="279" t="s">
        <v>782</v>
      </c>
      <c r="M179" s="57"/>
    </row>
    <row r="180" spans="1:13" ht="19.5" customHeight="1">
      <c r="A180" s="57" t="s">
        <v>783</v>
      </c>
      <c r="B180" s="58">
        <v>46087</v>
      </c>
      <c r="C180" s="396">
        <f xml:space="preserve"> VLOOKUP(E180, $A$3:$E$942, 2, FALSE)</f>
        <v>46101</v>
      </c>
      <c r="D180" s="57" t="s">
        <v>729</v>
      </c>
      <c r="E180" s="250" t="s">
        <v>784</v>
      </c>
      <c r="F180" s="57" t="s">
        <v>90</v>
      </c>
      <c r="G180" s="57"/>
      <c r="H180" s="57"/>
      <c r="I180" s="57" t="s">
        <v>785</v>
      </c>
      <c r="J180" s="57" t="s">
        <v>786</v>
      </c>
      <c r="K180" s="152">
        <v>46003</v>
      </c>
      <c r="L180" s="145" t="s">
        <v>380</v>
      </c>
      <c r="M180" s="57"/>
    </row>
    <row r="181" spans="1:13" ht="19.5" customHeight="1">
      <c r="A181" s="305" t="s">
        <v>787</v>
      </c>
      <c r="B181" s="391">
        <v>46072</v>
      </c>
      <c r="C181" s="396">
        <f xml:space="preserve"> VLOOKUP(E181, $A$2:$E$822, 2, FALSE)</f>
        <v>46051</v>
      </c>
      <c r="D181" s="36" t="s">
        <v>788</v>
      </c>
      <c r="E181" s="36" t="s">
        <v>312</v>
      </c>
      <c r="F181" s="36" t="s">
        <v>95</v>
      </c>
      <c r="G181" s="36" t="s">
        <v>45</v>
      </c>
      <c r="I181" s="36" t="s">
        <v>202</v>
      </c>
      <c r="J181" s="36" t="s">
        <v>201</v>
      </c>
    </row>
    <row r="182" spans="1:13" ht="19.5" customHeight="1">
      <c r="A182" s="305" t="s">
        <v>789</v>
      </c>
      <c r="B182" s="391">
        <v>46078</v>
      </c>
      <c r="C182" s="396">
        <f xml:space="preserve"> VLOOKUP(E182, $A$2:$E$822, 2, FALSE)</f>
        <v>46076</v>
      </c>
      <c r="D182" s="36" t="s">
        <v>788</v>
      </c>
      <c r="E182" s="36" t="s">
        <v>104</v>
      </c>
      <c r="F182" s="36" t="s">
        <v>230</v>
      </c>
      <c r="I182" s="36" t="s">
        <v>790</v>
      </c>
      <c r="J182" s="36" t="s">
        <v>791</v>
      </c>
      <c r="K182" s="276"/>
    </row>
    <row r="183" spans="1:13" ht="19.5" customHeight="1">
      <c r="A183" s="305" t="s">
        <v>792</v>
      </c>
      <c r="B183" s="391">
        <v>46077</v>
      </c>
      <c r="C183" s="396">
        <f xml:space="preserve"> VLOOKUP(E183, $A$2:$E$822, 2, FALSE)</f>
        <v>46031</v>
      </c>
      <c r="D183" s="36" t="s">
        <v>788</v>
      </c>
      <c r="E183" s="36" t="s">
        <v>112</v>
      </c>
      <c r="F183" s="36" t="s">
        <v>230</v>
      </c>
      <c r="H183" s="36" t="s">
        <v>793</v>
      </c>
      <c r="I183" s="36" t="s">
        <v>794</v>
      </c>
      <c r="J183" s="36" t="s">
        <v>795</v>
      </c>
      <c r="K183" s="276"/>
    </row>
    <row r="184" spans="1:13" ht="19.5" customHeight="1">
      <c r="A184" s="305" t="s">
        <v>796</v>
      </c>
      <c r="B184" s="391">
        <v>46111</v>
      </c>
      <c r="C184" s="396">
        <f xml:space="preserve"> VLOOKUP(E184, $A$2:$E$822, 2, FALSE)</f>
        <v>46044</v>
      </c>
      <c r="D184" s="36" t="s">
        <v>788</v>
      </c>
      <c r="E184" s="36" t="s">
        <v>117</v>
      </c>
      <c r="F184" s="36" t="s">
        <v>230</v>
      </c>
      <c r="H184" s="36" t="s">
        <v>797</v>
      </c>
      <c r="I184" s="36" t="s">
        <v>798</v>
      </c>
      <c r="J184" s="36" t="s">
        <v>799</v>
      </c>
      <c r="K184" s="276"/>
    </row>
    <row r="185" spans="1:13" ht="19.5" customHeight="1">
      <c r="A185" s="305" t="s">
        <v>800</v>
      </c>
      <c r="B185" s="391">
        <v>46073</v>
      </c>
      <c r="C185" s="396">
        <f xml:space="preserve"> VLOOKUP(E185, $A$2:$E$822, 2, FALSE)</f>
        <v>46239</v>
      </c>
      <c r="D185" s="36" t="s">
        <v>788</v>
      </c>
      <c r="E185" s="36" t="s">
        <v>180</v>
      </c>
      <c r="F185" s="36" t="s">
        <v>90</v>
      </c>
      <c r="I185" s="36" t="s">
        <v>283</v>
      </c>
      <c r="J185" s="36" t="s">
        <v>801</v>
      </c>
      <c r="K185" s="276"/>
    </row>
    <row r="186" spans="1:13" ht="19.5" customHeight="1">
      <c r="A186" s="305" t="s">
        <v>802</v>
      </c>
      <c r="B186" s="391">
        <v>46078</v>
      </c>
      <c r="C186" s="396">
        <f xml:space="preserve"> VLOOKUP(E186, $A$2:$E$822, 2, FALSE)</f>
        <v>46119</v>
      </c>
      <c r="D186" s="36" t="s">
        <v>788</v>
      </c>
      <c r="E186" s="36" t="s">
        <v>260</v>
      </c>
      <c r="F186" s="36" t="s">
        <v>803</v>
      </c>
      <c r="I186" s="36" t="s">
        <v>804</v>
      </c>
      <c r="J186" s="36" t="s">
        <v>805</v>
      </c>
      <c r="K186" s="276">
        <v>45918</v>
      </c>
      <c r="L186" s="146" t="s">
        <v>806</v>
      </c>
    </row>
    <row r="187" spans="1:13" ht="19.5" customHeight="1">
      <c r="A187" s="305" t="s">
        <v>807</v>
      </c>
      <c r="B187" s="391">
        <v>46078</v>
      </c>
      <c r="C187" s="396" t="str">
        <f xml:space="preserve"> VLOOKUP(E187, $A$2:$E$822, 2, FALSE)</f>
        <v>-----</v>
      </c>
      <c r="D187" s="36" t="s">
        <v>788</v>
      </c>
      <c r="E187" s="11" t="s">
        <v>296</v>
      </c>
      <c r="F187" s="36" t="s">
        <v>62</v>
      </c>
      <c r="I187" s="36" t="s">
        <v>808</v>
      </c>
      <c r="J187" s="36" t="s">
        <v>809</v>
      </c>
      <c r="K187" s="277">
        <v>45936</v>
      </c>
    </row>
    <row r="188" spans="1:13" ht="19.5" customHeight="1">
      <c r="A188" s="305" t="s">
        <v>810</v>
      </c>
      <c r="B188" s="391">
        <v>46076</v>
      </c>
      <c r="C188" s="396">
        <f xml:space="preserve"> VLOOKUP(E188, $A$2:$E$822, 2, FALSE)</f>
        <v>46042</v>
      </c>
      <c r="D188" s="36" t="s">
        <v>788</v>
      </c>
      <c r="E188" s="225" t="s">
        <v>339</v>
      </c>
      <c r="F188" s="36" t="s">
        <v>86</v>
      </c>
      <c r="G188" s="36" t="s">
        <v>141</v>
      </c>
      <c r="H188" s="36" t="s">
        <v>793</v>
      </c>
      <c r="I188" s="36" t="s">
        <v>811</v>
      </c>
      <c r="J188" s="36" t="s">
        <v>812</v>
      </c>
      <c r="K188" s="276"/>
    </row>
    <row r="189" spans="1:13" ht="19.5" customHeight="1">
      <c r="A189" s="305" t="s">
        <v>813</v>
      </c>
      <c r="B189" s="391">
        <v>46063</v>
      </c>
      <c r="C189" s="396">
        <f xml:space="preserve"> VLOOKUP(E189, $A$2:$E$822, 2, FALSE)</f>
        <v>46051</v>
      </c>
      <c r="D189" s="36" t="s">
        <v>788</v>
      </c>
      <c r="E189" s="11" t="s">
        <v>344</v>
      </c>
      <c r="F189" s="36" t="s">
        <v>688</v>
      </c>
      <c r="H189" s="36" t="s">
        <v>793</v>
      </c>
      <c r="I189" s="36" t="s">
        <v>814</v>
      </c>
      <c r="J189" s="36" t="s">
        <v>815</v>
      </c>
      <c r="K189" s="276">
        <v>45967</v>
      </c>
    </row>
    <row r="190" spans="1:13" ht="19.5" customHeight="1">
      <c r="A190" s="305" t="s">
        <v>816</v>
      </c>
      <c r="B190" s="391">
        <v>46069</v>
      </c>
      <c r="C190" s="396">
        <f xml:space="preserve"> VLOOKUP(E190, $A$2:$E$822, 2, FALSE)</f>
        <v>46029</v>
      </c>
      <c r="D190" s="36" t="s">
        <v>788</v>
      </c>
      <c r="E190" s="36" t="s">
        <v>315</v>
      </c>
      <c r="F190" s="36" t="s">
        <v>707</v>
      </c>
      <c r="I190" s="36" t="s">
        <v>817</v>
      </c>
      <c r="J190" s="36" t="s">
        <v>818</v>
      </c>
      <c r="K190" s="276">
        <v>45957</v>
      </c>
      <c r="L190" s="146" t="s">
        <v>819</v>
      </c>
    </row>
    <row r="191" spans="1:13" ht="19.5" customHeight="1">
      <c r="A191" s="305" t="s">
        <v>695</v>
      </c>
      <c r="B191" s="391">
        <v>46083</v>
      </c>
      <c r="C191" s="396">
        <f xml:space="preserve"> VLOOKUP(E191, $A$2:$E$822, 2, FALSE)</f>
        <v>46108</v>
      </c>
      <c r="D191" s="36" t="s">
        <v>788</v>
      </c>
      <c r="E191" s="11" t="s">
        <v>423</v>
      </c>
      <c r="F191" s="36" t="s">
        <v>166</v>
      </c>
      <c r="G191" s="36" t="s">
        <v>141</v>
      </c>
      <c r="I191" s="36" t="s">
        <v>206</v>
      </c>
      <c r="J191" s="36" t="s">
        <v>207</v>
      </c>
    </row>
    <row r="192" spans="1:13" ht="19.5" customHeight="1">
      <c r="A192" s="305" t="s">
        <v>690</v>
      </c>
      <c r="B192" s="391">
        <v>46083</v>
      </c>
      <c r="C192" s="396">
        <f xml:space="preserve"> VLOOKUP(E192, $A$2:$E$822, 2, FALSE)</f>
        <v>46020</v>
      </c>
      <c r="D192" s="36" t="s">
        <v>788</v>
      </c>
      <c r="E192" s="36" t="s">
        <v>134</v>
      </c>
      <c r="F192" s="36" t="s">
        <v>820</v>
      </c>
      <c r="I192" s="36" t="s">
        <v>821</v>
      </c>
      <c r="J192" s="36" t="s">
        <v>822</v>
      </c>
      <c r="K192" s="276">
        <v>45834</v>
      </c>
    </row>
    <row r="193" spans="1:12" ht="19.5" customHeight="1">
      <c r="A193" s="305" t="s">
        <v>823</v>
      </c>
      <c r="B193" s="391">
        <v>46107</v>
      </c>
      <c r="C193" s="396">
        <f xml:space="preserve"> VLOOKUP(E193, $A$2:$E$822, 2, FALSE)</f>
        <v>45994</v>
      </c>
      <c r="D193" s="36" t="s">
        <v>788</v>
      </c>
      <c r="E193" s="11" t="s">
        <v>88</v>
      </c>
      <c r="F193" s="36" t="s">
        <v>230</v>
      </c>
      <c r="G193" s="36" t="s">
        <v>141</v>
      </c>
      <c r="H193" s="36" t="s">
        <v>793</v>
      </c>
      <c r="I193" s="36" t="s">
        <v>824</v>
      </c>
      <c r="J193" s="36" t="s">
        <v>825</v>
      </c>
      <c r="K193" s="276">
        <v>45966</v>
      </c>
      <c r="L193" s="146" t="s">
        <v>826</v>
      </c>
    </row>
    <row r="194" spans="1:12" ht="19.5" customHeight="1">
      <c r="A194" s="305" t="s">
        <v>827</v>
      </c>
      <c r="B194" s="391">
        <v>46073</v>
      </c>
      <c r="C194" s="396">
        <f xml:space="preserve"> VLOOKUP(E194, $A$2:$E$822, 2, FALSE)</f>
        <v>46231</v>
      </c>
      <c r="D194" s="36" t="s">
        <v>788</v>
      </c>
      <c r="E194" s="36" t="s">
        <v>156</v>
      </c>
      <c r="F194" s="36" t="s">
        <v>52</v>
      </c>
      <c r="I194" s="36" t="s">
        <v>201</v>
      </c>
      <c r="J194" s="36" t="s">
        <v>828</v>
      </c>
      <c r="K194" s="276"/>
    </row>
    <row r="195" spans="1:12" ht="19.5" customHeight="1">
      <c r="A195" s="305" t="s">
        <v>829</v>
      </c>
      <c r="B195" s="391">
        <v>45978</v>
      </c>
      <c r="C195" s="396">
        <f xml:space="preserve"> VLOOKUP(E195, $A$2:$E$822, 2, FALSE)</f>
        <v>46219</v>
      </c>
      <c r="D195" s="36" t="s">
        <v>788</v>
      </c>
      <c r="E195" s="11" t="s">
        <v>307</v>
      </c>
      <c r="F195" s="36" t="s">
        <v>90</v>
      </c>
      <c r="I195" s="36" t="s">
        <v>82</v>
      </c>
      <c r="J195" s="36" t="s">
        <v>830</v>
      </c>
      <c r="K195" s="277">
        <v>45960</v>
      </c>
      <c r="L195" s="146" t="s">
        <v>831</v>
      </c>
    </row>
    <row r="196" spans="1:12" ht="19.5" customHeight="1">
      <c r="A196" s="305" t="s">
        <v>832</v>
      </c>
      <c r="B196" s="391">
        <v>46058</v>
      </c>
      <c r="C196" s="396">
        <f xml:space="preserve"> VLOOKUP(E196, $A$2:$E$822, 2, FALSE)</f>
        <v>46254</v>
      </c>
      <c r="D196" s="36" t="s">
        <v>788</v>
      </c>
      <c r="E196" s="11" t="s">
        <v>414</v>
      </c>
      <c r="F196" s="36" t="s">
        <v>90</v>
      </c>
      <c r="I196" s="36" t="s">
        <v>814</v>
      </c>
      <c r="J196" s="36" t="s">
        <v>833</v>
      </c>
      <c r="K196" s="276">
        <v>45981</v>
      </c>
    </row>
    <row r="197" spans="1:12" ht="19.5" customHeight="1">
      <c r="A197" s="305" t="s">
        <v>834</v>
      </c>
      <c r="B197" s="391">
        <v>46086</v>
      </c>
      <c r="C197" s="396">
        <f xml:space="preserve"> VLOOKUP(E197, $A$2:$E$822, 2, FALSE)</f>
        <v>46223</v>
      </c>
      <c r="D197" s="36" t="s">
        <v>788</v>
      </c>
      <c r="E197" s="11" t="s">
        <v>373</v>
      </c>
      <c r="F197" s="36" t="s">
        <v>90</v>
      </c>
      <c r="I197" s="36" t="s">
        <v>835</v>
      </c>
      <c r="J197" s="36" t="s">
        <v>836</v>
      </c>
      <c r="K197" s="276">
        <v>45974</v>
      </c>
      <c r="L197" s="146" t="s">
        <v>837</v>
      </c>
    </row>
    <row r="198" spans="1:12" ht="19.5" customHeight="1">
      <c r="A198" s="305" t="s">
        <v>838</v>
      </c>
      <c r="B198" s="391">
        <v>46087</v>
      </c>
      <c r="C198" s="396">
        <f xml:space="preserve"> VLOOKUP(E198, $A$2:$E$822, 2, FALSE)</f>
        <v>46199</v>
      </c>
      <c r="D198" s="36" t="s">
        <v>788</v>
      </c>
      <c r="E198" s="11" t="s">
        <v>377</v>
      </c>
      <c r="F198" s="36" t="s">
        <v>90</v>
      </c>
      <c r="I198" s="36" t="s">
        <v>839</v>
      </c>
      <c r="J198" s="36" t="s">
        <v>840</v>
      </c>
      <c r="K198" s="276">
        <v>45980</v>
      </c>
    </row>
    <row r="199" spans="1:12" ht="19.5" customHeight="1">
      <c r="A199" s="305" t="s">
        <v>781</v>
      </c>
      <c r="B199" s="391">
        <v>46083</v>
      </c>
      <c r="C199" s="396">
        <f xml:space="preserve"> VLOOKUP(E199, $A$2:$E$822, 2, FALSE)</f>
        <v>46035</v>
      </c>
      <c r="D199" s="36" t="s">
        <v>788</v>
      </c>
      <c r="E199" s="36" t="s">
        <v>79</v>
      </c>
      <c r="F199" s="36" t="s">
        <v>90</v>
      </c>
      <c r="H199" s="36" t="s">
        <v>793</v>
      </c>
      <c r="I199" s="36" t="s">
        <v>841</v>
      </c>
      <c r="J199" s="36" t="s">
        <v>842</v>
      </c>
      <c r="K199" s="276"/>
    </row>
    <row r="200" spans="1:12" ht="19.5" customHeight="1">
      <c r="A200" s="305" t="s">
        <v>843</v>
      </c>
      <c r="B200" s="391">
        <v>46069</v>
      </c>
      <c r="C200" s="396">
        <f xml:space="preserve"> VLOOKUP(E200, $A$2:$E$822, 2, FALSE)</f>
        <v>46090</v>
      </c>
      <c r="D200" s="36" t="s">
        <v>788</v>
      </c>
      <c r="E200" s="11" t="s">
        <v>356</v>
      </c>
      <c r="F200" s="36" t="s">
        <v>90</v>
      </c>
      <c r="I200" s="36" t="s">
        <v>844</v>
      </c>
      <c r="J200" s="36" t="s">
        <v>845</v>
      </c>
      <c r="K200" s="276">
        <v>45966</v>
      </c>
      <c r="L200" s="146" t="s">
        <v>232</v>
      </c>
    </row>
    <row r="201" spans="1:12" ht="19.5" customHeight="1">
      <c r="A201" s="305" t="s">
        <v>846</v>
      </c>
      <c r="B201" s="391">
        <v>46106</v>
      </c>
      <c r="C201" s="396">
        <f xml:space="preserve"> VLOOKUP(E201, $A$2:$E$822, 2, FALSE)</f>
        <v>46195</v>
      </c>
      <c r="D201" s="36" t="s">
        <v>788</v>
      </c>
      <c r="E201" s="11" t="s">
        <v>427</v>
      </c>
      <c r="F201" s="36" t="s">
        <v>62</v>
      </c>
      <c r="G201" s="36" t="s">
        <v>141</v>
      </c>
      <c r="I201" s="36" t="s">
        <v>847</v>
      </c>
      <c r="J201" s="36" t="s">
        <v>848</v>
      </c>
    </row>
    <row r="202" spans="1:12" ht="19.5" customHeight="1">
      <c r="A202" s="305" t="s">
        <v>849</v>
      </c>
      <c r="B202" s="391">
        <v>46017</v>
      </c>
      <c r="C202" s="396">
        <f xml:space="preserve"> VLOOKUP(E202, $A$2:$E$822, 2, FALSE)</f>
        <v>46203</v>
      </c>
      <c r="D202" s="36" t="s">
        <v>788</v>
      </c>
      <c r="E202" s="11" t="s">
        <v>470</v>
      </c>
      <c r="F202" s="36" t="s">
        <v>90</v>
      </c>
      <c r="I202" s="36" t="s">
        <v>53</v>
      </c>
      <c r="J202" s="36" t="s">
        <v>850</v>
      </c>
      <c r="K202" s="277">
        <v>46001</v>
      </c>
      <c r="L202" s="146" t="s">
        <v>851</v>
      </c>
    </row>
    <row r="203" spans="1:12" ht="19.5" customHeight="1">
      <c r="A203" s="305" t="s">
        <v>852</v>
      </c>
      <c r="B203" s="391">
        <v>46086</v>
      </c>
      <c r="C203" s="396">
        <f xml:space="preserve"> VLOOKUP(E203, $A$2:$E$822, 2, FALSE)</f>
        <v>46087</v>
      </c>
      <c r="D203" s="36" t="s">
        <v>788</v>
      </c>
      <c r="E203" s="11" t="s">
        <v>440</v>
      </c>
      <c r="F203" s="36" t="s">
        <v>44</v>
      </c>
      <c r="G203" s="36" t="s">
        <v>45</v>
      </c>
      <c r="I203" s="36" t="s">
        <v>158</v>
      </c>
      <c r="J203" s="36" t="s">
        <v>853</v>
      </c>
      <c r="K203" s="277">
        <v>45989</v>
      </c>
      <c r="L203" s="146" t="s">
        <v>854</v>
      </c>
    </row>
    <row r="204" spans="1:12" ht="19.5" customHeight="1">
      <c r="A204" s="305" t="s">
        <v>855</v>
      </c>
      <c r="B204" s="391">
        <v>46086</v>
      </c>
      <c r="C204" s="396">
        <f xml:space="preserve"> VLOOKUP(E204, $A$2:$E$822, 2, FALSE)</f>
        <v>46218</v>
      </c>
      <c r="D204" s="36" t="s">
        <v>788</v>
      </c>
      <c r="E204" s="11" t="s">
        <v>546</v>
      </c>
      <c r="F204" s="36" t="s">
        <v>90</v>
      </c>
      <c r="G204" s="36" t="s">
        <v>45</v>
      </c>
      <c r="I204" s="36" t="s">
        <v>814</v>
      </c>
      <c r="J204" s="36" t="s">
        <v>856</v>
      </c>
      <c r="K204" s="277">
        <v>46030</v>
      </c>
    </row>
    <row r="205" spans="1:12" ht="19.5" customHeight="1">
      <c r="A205" s="305" t="s">
        <v>857</v>
      </c>
      <c r="B205" s="391">
        <v>46094</v>
      </c>
      <c r="C205" s="396">
        <f xml:space="preserve"> VLOOKUP(E205, $A$2:$E$822, 2, FALSE)</f>
        <v>46034</v>
      </c>
      <c r="D205" s="36" t="s">
        <v>788</v>
      </c>
      <c r="E205" s="36" t="s">
        <v>327</v>
      </c>
      <c r="F205" s="36" t="s">
        <v>166</v>
      </c>
      <c r="H205" s="36" t="s">
        <v>793</v>
      </c>
      <c r="I205" s="36" t="s">
        <v>717</v>
      </c>
      <c r="J205" s="36" t="s">
        <v>858</v>
      </c>
      <c r="K205" s="277">
        <v>45989</v>
      </c>
      <c r="L205" s="146" t="s">
        <v>859</v>
      </c>
    </row>
    <row r="206" spans="1:12" ht="19.5" customHeight="1">
      <c r="A206" s="305" t="s">
        <v>860</v>
      </c>
      <c r="B206" s="391">
        <v>46231</v>
      </c>
      <c r="C206" s="396">
        <f xml:space="preserve"> VLOOKUP(E206, $A$2:$E$822, 2, FALSE)</f>
        <v>46219</v>
      </c>
      <c r="D206" s="36" t="s">
        <v>788</v>
      </c>
      <c r="E206" s="11" t="s">
        <v>524</v>
      </c>
      <c r="F206" s="36" t="s">
        <v>90</v>
      </c>
      <c r="I206" s="36" t="s">
        <v>861</v>
      </c>
      <c r="J206" s="36" t="s">
        <v>862</v>
      </c>
      <c r="K206" s="277">
        <v>46020</v>
      </c>
      <c r="L206" s="146" t="s">
        <v>863</v>
      </c>
    </row>
    <row r="207" spans="1:12" ht="19.5" customHeight="1">
      <c r="A207" s="305" t="s">
        <v>864</v>
      </c>
      <c r="B207" s="391">
        <v>46097</v>
      </c>
      <c r="C207" s="396">
        <f xml:space="preserve"> VLOOKUP(E207, $A$2:$E$822, 2, FALSE)</f>
        <v>46097</v>
      </c>
      <c r="D207" s="36" t="s">
        <v>788</v>
      </c>
      <c r="E207" s="11" t="s">
        <v>455</v>
      </c>
      <c r="F207" s="36" t="s">
        <v>688</v>
      </c>
      <c r="I207" s="36" t="s">
        <v>865</v>
      </c>
      <c r="J207" s="36" t="s">
        <v>866</v>
      </c>
      <c r="K207" s="277">
        <v>46002</v>
      </c>
      <c r="L207" s="146" t="s">
        <v>867</v>
      </c>
    </row>
    <row r="208" spans="1:12" ht="19.5" customHeight="1">
      <c r="A208" s="305" t="s">
        <v>868</v>
      </c>
      <c r="B208" s="391">
        <v>46223</v>
      </c>
      <c r="C208" s="396">
        <f xml:space="preserve"> VLOOKUP(E208, $A$2:$E$822, 2, FALSE)</f>
        <v>46248</v>
      </c>
      <c r="D208" s="36" t="s">
        <v>788</v>
      </c>
      <c r="E208" s="36" t="s">
        <v>178</v>
      </c>
      <c r="F208" s="36" t="s">
        <v>90</v>
      </c>
      <c r="I208" s="36" t="s">
        <v>304</v>
      </c>
      <c r="J208" s="36" t="s">
        <v>869</v>
      </c>
      <c r="K208" s="277">
        <v>46034</v>
      </c>
      <c r="L208" s="146" t="s">
        <v>343</v>
      </c>
    </row>
    <row r="209" spans="1:13" ht="19.5" customHeight="1">
      <c r="A209" s="305" t="s">
        <v>870</v>
      </c>
      <c r="B209" s="391">
        <v>46086</v>
      </c>
      <c r="C209" s="396">
        <f xml:space="preserve"> VLOOKUP(E209, $A$2:$E$822, 2, FALSE)</f>
        <v>46048</v>
      </c>
      <c r="D209" s="36" t="s">
        <v>788</v>
      </c>
      <c r="E209" s="11" t="s">
        <v>579</v>
      </c>
      <c r="F209" s="36" t="s">
        <v>230</v>
      </c>
      <c r="G209" s="36" t="s">
        <v>141</v>
      </c>
      <c r="H209" s="36" t="s">
        <v>871</v>
      </c>
      <c r="I209" s="36" t="s">
        <v>731</v>
      </c>
      <c r="J209" s="36" t="s">
        <v>732</v>
      </c>
      <c r="K209" s="277"/>
      <c r="M209" s="29"/>
    </row>
    <row r="210" spans="1:13" ht="19.5" customHeight="1">
      <c r="A210" s="305" t="s">
        <v>872</v>
      </c>
      <c r="B210" s="391">
        <v>46087</v>
      </c>
      <c r="C210" s="396">
        <f xml:space="preserve"> VLOOKUP(E210, $A$2:$E$822, 2, FALSE)</f>
        <v>46090</v>
      </c>
      <c r="D210" s="36" t="s">
        <v>788</v>
      </c>
      <c r="E210" s="36" t="s">
        <v>302</v>
      </c>
      <c r="F210" s="36" t="s">
        <v>81</v>
      </c>
      <c r="H210" s="36" t="s">
        <v>793</v>
      </c>
      <c r="I210" s="36" t="s">
        <v>187</v>
      </c>
      <c r="J210" s="36" t="s">
        <v>873</v>
      </c>
      <c r="L210" s="146" t="s">
        <v>874</v>
      </c>
    </row>
    <row r="211" spans="1:13" ht="19.5" customHeight="1">
      <c r="A211" s="305" t="s">
        <v>875</v>
      </c>
      <c r="B211" s="391">
        <v>46127</v>
      </c>
      <c r="C211" s="396">
        <f xml:space="preserve"> VLOOKUP(E211, $A$2:$E$822, 2, FALSE)</f>
        <v>46122</v>
      </c>
      <c r="D211" s="36" t="s">
        <v>788</v>
      </c>
      <c r="E211" s="11" t="s">
        <v>710</v>
      </c>
      <c r="F211" s="36" t="s">
        <v>44</v>
      </c>
      <c r="G211" s="36" t="s">
        <v>45</v>
      </c>
      <c r="I211" s="36" t="s">
        <v>123</v>
      </c>
      <c r="K211" s="146" t="s">
        <v>876</v>
      </c>
      <c r="L211" s="146" t="s">
        <v>877</v>
      </c>
    </row>
    <row r="212" spans="1:13" ht="19.5" customHeight="1">
      <c r="A212" s="305" t="s">
        <v>878</v>
      </c>
      <c r="B212" s="391">
        <v>46080</v>
      </c>
      <c r="C212" s="396">
        <f xml:space="preserve"> VLOOKUP(E212, $A$2:$E$822, 2, FALSE)</f>
        <v>46092</v>
      </c>
      <c r="D212" s="36" t="s">
        <v>788</v>
      </c>
      <c r="E212" s="11" t="s">
        <v>616</v>
      </c>
      <c r="F212" s="36" t="s">
        <v>90</v>
      </c>
      <c r="I212" s="36" t="s">
        <v>879</v>
      </c>
      <c r="J212" s="36" t="s">
        <v>880</v>
      </c>
      <c r="K212" s="277">
        <v>46037</v>
      </c>
      <c r="L212" s="146" t="s">
        <v>881</v>
      </c>
    </row>
    <row r="213" spans="1:13" ht="19.5" customHeight="1">
      <c r="A213" s="305" t="s">
        <v>882</v>
      </c>
      <c r="B213" s="391">
        <v>46062</v>
      </c>
      <c r="C213" s="396">
        <f xml:space="preserve"> VLOOKUP(E213, $A$2:$E$822, 2, FALSE)</f>
        <v>46084</v>
      </c>
      <c r="D213" s="36" t="s">
        <v>788</v>
      </c>
      <c r="E213" s="11" t="s">
        <v>574</v>
      </c>
      <c r="F213" s="36" t="s">
        <v>90</v>
      </c>
      <c r="I213" s="36" t="s">
        <v>883</v>
      </c>
      <c r="J213" s="36" t="s">
        <v>884</v>
      </c>
      <c r="K213" s="277">
        <v>46035</v>
      </c>
      <c r="L213" s="146" t="s">
        <v>885</v>
      </c>
    </row>
    <row r="214" spans="1:13" ht="19.5" customHeight="1">
      <c r="A214" s="305" t="s">
        <v>886</v>
      </c>
      <c r="B214" s="391">
        <v>46083</v>
      </c>
      <c r="C214" s="396">
        <f xml:space="preserve"> VLOOKUP(E214, $A$2:$E$822, 2, FALSE)</f>
        <v>46230</v>
      </c>
      <c r="D214" s="36" t="s">
        <v>788</v>
      </c>
      <c r="E214" s="11" t="s">
        <v>585</v>
      </c>
      <c r="F214" s="36" t="s">
        <v>90</v>
      </c>
      <c r="G214" s="36" t="s">
        <v>141</v>
      </c>
      <c r="I214" s="36" t="s">
        <v>887</v>
      </c>
      <c r="J214" s="36" t="s">
        <v>888</v>
      </c>
      <c r="K214" s="277">
        <v>46031</v>
      </c>
      <c r="L214" s="146" t="s">
        <v>867</v>
      </c>
      <c r="M214" s="29"/>
    </row>
    <row r="215" spans="1:13" ht="19.5" customHeight="1">
      <c r="A215" s="305" t="s">
        <v>889</v>
      </c>
      <c r="B215" s="391">
        <v>46083</v>
      </c>
      <c r="C215" s="396">
        <f xml:space="preserve"> VLOOKUP(E215, $A$2:$E$822, 2, FALSE)</f>
        <v>46240</v>
      </c>
      <c r="D215" s="36" t="s">
        <v>788</v>
      </c>
      <c r="E215" s="11" t="s">
        <v>293</v>
      </c>
      <c r="F215" s="36" t="s">
        <v>90</v>
      </c>
      <c r="G215" s="36" t="s">
        <v>141</v>
      </c>
      <c r="I215" s="36" t="s">
        <v>721</v>
      </c>
      <c r="J215" s="36" t="s">
        <v>890</v>
      </c>
      <c r="K215" s="277">
        <v>46048</v>
      </c>
    </row>
    <row r="216" spans="1:13" ht="19.5" customHeight="1">
      <c r="A216" s="305" t="s">
        <v>891</v>
      </c>
      <c r="B216" s="391">
        <v>46056</v>
      </c>
      <c r="C216" s="396">
        <f xml:space="preserve"> VLOOKUP(E216, $A$2:$E$822, 2, FALSE)</f>
        <v>46241</v>
      </c>
      <c r="D216" s="36" t="s">
        <v>788</v>
      </c>
      <c r="E216" s="11" t="s">
        <v>354</v>
      </c>
      <c r="F216" s="36" t="s">
        <v>90</v>
      </c>
      <c r="G216" s="36" t="s">
        <v>141</v>
      </c>
      <c r="I216" s="36" t="s">
        <v>892</v>
      </c>
      <c r="J216" s="36" t="s">
        <v>893</v>
      </c>
      <c r="K216" s="277">
        <v>46028</v>
      </c>
      <c r="L216" s="146" t="s">
        <v>894</v>
      </c>
    </row>
    <row r="217" spans="1:13" ht="19.5" customHeight="1">
      <c r="A217" s="305" t="s">
        <v>895</v>
      </c>
      <c r="B217" s="391">
        <v>46083</v>
      </c>
      <c r="C217" s="396">
        <f xml:space="preserve"> VLOOKUP(E217, $A$2:$E$822, 2, FALSE)</f>
        <v>46241</v>
      </c>
      <c r="D217" s="36" t="s">
        <v>788</v>
      </c>
      <c r="E217" s="11" t="s">
        <v>611</v>
      </c>
      <c r="F217" s="36" t="s">
        <v>90</v>
      </c>
      <c r="G217" s="36" t="s">
        <v>141</v>
      </c>
      <c r="I217" s="36" t="s">
        <v>896</v>
      </c>
      <c r="J217" s="36" t="s">
        <v>897</v>
      </c>
      <c r="K217" s="277">
        <v>46041</v>
      </c>
      <c r="M217" s="29"/>
    </row>
    <row r="218" spans="1:13" ht="19.5" customHeight="1">
      <c r="A218" s="305" t="s">
        <v>898</v>
      </c>
      <c r="B218" s="391">
        <v>46073</v>
      </c>
      <c r="C218" s="396">
        <f xml:space="preserve"> VLOOKUP(E218, $A$2:$E$822, 2, FALSE)</f>
        <v>46098</v>
      </c>
      <c r="D218" s="36" t="s">
        <v>788</v>
      </c>
      <c r="E218" s="11" t="s">
        <v>678</v>
      </c>
      <c r="F218" s="36" t="s">
        <v>688</v>
      </c>
      <c r="G218" s="36" t="s">
        <v>45</v>
      </c>
      <c r="I218" s="36" t="s">
        <v>110</v>
      </c>
      <c r="J218" s="36" t="s">
        <v>899</v>
      </c>
      <c r="K218" s="277">
        <v>46062</v>
      </c>
      <c r="L218" s="146" t="s">
        <v>900</v>
      </c>
    </row>
    <row r="219" spans="1:13" ht="19.5" customHeight="1">
      <c r="A219" s="57" t="s">
        <v>901</v>
      </c>
      <c r="B219" s="58">
        <v>46091</v>
      </c>
      <c r="C219" s="396">
        <f xml:space="preserve"> VLOOKUP(E219, $A$3:$E$942, 2, FALSE)</f>
        <v>46017</v>
      </c>
      <c r="D219" s="45" t="s">
        <v>788</v>
      </c>
      <c r="E219" s="151" t="s">
        <v>849</v>
      </c>
      <c r="F219" s="57" t="s">
        <v>230</v>
      </c>
      <c r="G219" s="57" t="s">
        <v>45</v>
      </c>
      <c r="H219" s="57"/>
      <c r="I219" s="57" t="s">
        <v>902</v>
      </c>
      <c r="J219" s="57" t="s">
        <v>903</v>
      </c>
      <c r="K219" s="152"/>
      <c r="L219" s="145"/>
      <c r="M219" s="57"/>
    </row>
    <row r="220" spans="1:13" ht="19.5" customHeight="1">
      <c r="A220" s="57" t="s">
        <v>904</v>
      </c>
      <c r="B220" s="58">
        <v>46078</v>
      </c>
      <c r="C220" s="396">
        <f xml:space="preserve"> VLOOKUP(E220, $A$3:$E$942, 2, FALSE)</f>
        <v>46098</v>
      </c>
      <c r="D220" s="57" t="s">
        <v>788</v>
      </c>
      <c r="E220" s="250" t="s">
        <v>905</v>
      </c>
      <c r="F220" s="57" t="s">
        <v>90</v>
      </c>
      <c r="G220" s="57" t="s">
        <v>45</v>
      </c>
      <c r="H220" s="57" t="s">
        <v>906</v>
      </c>
      <c r="I220" s="57" t="s">
        <v>500</v>
      </c>
      <c r="J220" s="57" t="s">
        <v>907</v>
      </c>
      <c r="K220" s="152">
        <v>46034</v>
      </c>
      <c r="L220" s="145" t="s">
        <v>908</v>
      </c>
      <c r="M220" s="57"/>
    </row>
    <row r="221" spans="1:13" ht="19.5" customHeight="1">
      <c r="A221" s="57" t="s">
        <v>909</v>
      </c>
      <c r="B221" s="58">
        <v>46084</v>
      </c>
      <c r="C221" s="396">
        <f xml:space="preserve"> VLOOKUP(E221, $A$3:$E$942, 2, FALSE)</f>
        <v>46100</v>
      </c>
      <c r="D221" s="57" t="s">
        <v>788</v>
      </c>
      <c r="E221" s="250" t="s">
        <v>910</v>
      </c>
      <c r="F221" s="57" t="s">
        <v>44</v>
      </c>
      <c r="G221" s="57" t="s">
        <v>45</v>
      </c>
      <c r="H221" s="57"/>
      <c r="I221" s="57" t="s">
        <v>911</v>
      </c>
      <c r="J221" s="57" t="s">
        <v>912</v>
      </c>
      <c r="K221" s="152">
        <v>46028</v>
      </c>
      <c r="L221" s="145"/>
      <c r="M221" s="57"/>
    </row>
    <row r="222" spans="1:13" ht="19.5" customHeight="1">
      <c r="A222" s="57" t="s">
        <v>913</v>
      </c>
      <c r="B222" s="58">
        <v>46084</v>
      </c>
      <c r="C222" s="396">
        <f xml:space="preserve"> VLOOKUP(E222, $A$3:$E$942, 2, FALSE)</f>
        <v>46119</v>
      </c>
      <c r="D222" s="57" t="s">
        <v>788</v>
      </c>
      <c r="E222" s="250" t="s">
        <v>914</v>
      </c>
      <c r="F222" s="57" t="s">
        <v>688</v>
      </c>
      <c r="G222" s="57" t="s">
        <v>45</v>
      </c>
      <c r="H222" s="57" t="s">
        <v>915</v>
      </c>
      <c r="I222" s="57" t="s">
        <v>916</v>
      </c>
      <c r="J222" s="57" t="s">
        <v>917</v>
      </c>
      <c r="K222" s="277">
        <v>46034</v>
      </c>
      <c r="L222" s="428" t="s">
        <v>918</v>
      </c>
      <c r="M222" s="57"/>
    </row>
    <row r="223" spans="1:13" ht="18.75" customHeight="1">
      <c r="A223" s="57" t="s">
        <v>919</v>
      </c>
      <c r="B223" s="58">
        <v>46078</v>
      </c>
      <c r="C223" s="396">
        <f xml:space="preserve"> VLOOKUP(E223, $A$3:$E$942, 2, FALSE)</f>
        <v>46100</v>
      </c>
      <c r="D223" s="57" t="s">
        <v>788</v>
      </c>
      <c r="E223" s="250" t="s">
        <v>920</v>
      </c>
      <c r="F223" s="57" t="s">
        <v>44</v>
      </c>
      <c r="G223" s="57" t="s">
        <v>45</v>
      </c>
      <c r="H223" s="57" t="s">
        <v>921</v>
      </c>
      <c r="I223" s="57" t="s">
        <v>531</v>
      </c>
      <c r="J223" s="57" t="s">
        <v>532</v>
      </c>
      <c r="K223" s="152" t="s">
        <v>876</v>
      </c>
      <c r="L223" s="145" t="s">
        <v>922</v>
      </c>
      <c r="M223" s="57"/>
    </row>
    <row r="224" spans="1:13" ht="19.5" customHeight="1">
      <c r="A224" s="57" t="s">
        <v>923</v>
      </c>
      <c r="B224" s="58">
        <v>46078</v>
      </c>
      <c r="C224" s="396">
        <f xml:space="preserve"> VLOOKUP(E224, $A$3:$E$942, 2, FALSE)</f>
        <v>46119</v>
      </c>
      <c r="D224" s="45" t="s">
        <v>788</v>
      </c>
      <c r="E224" s="151" t="s">
        <v>924</v>
      </c>
      <c r="F224" s="57" t="s">
        <v>166</v>
      </c>
      <c r="G224" s="57" t="s">
        <v>141</v>
      </c>
      <c r="H224" s="57"/>
      <c r="I224" s="57" t="s">
        <v>925</v>
      </c>
      <c r="J224" s="57" t="s">
        <v>926</v>
      </c>
      <c r="K224" s="152"/>
      <c r="L224" s="145" t="s">
        <v>927</v>
      </c>
      <c r="M224" s="57"/>
    </row>
    <row r="225" spans="1:15" ht="19.5" customHeight="1">
      <c r="A225" s="57" t="s">
        <v>928</v>
      </c>
      <c r="B225" s="58">
        <v>46083</v>
      </c>
      <c r="C225" s="396">
        <f xml:space="preserve"> VLOOKUP(E225, $A$3:$E$942, 2, FALSE)</f>
        <v>46149</v>
      </c>
      <c r="D225" s="45" t="s">
        <v>788</v>
      </c>
      <c r="E225" s="11" t="s">
        <v>929</v>
      </c>
      <c r="F225" s="57" t="s">
        <v>688</v>
      </c>
      <c r="G225" s="57" t="s">
        <v>45</v>
      </c>
      <c r="H225" s="57"/>
      <c r="I225" s="57" t="s">
        <v>930</v>
      </c>
      <c r="J225" s="57" t="s">
        <v>931</v>
      </c>
      <c r="K225" s="152"/>
      <c r="L225" s="145"/>
      <c r="M225" s="57"/>
    </row>
    <row r="226" spans="1:15" ht="19.5" customHeight="1">
      <c r="A226" s="57" t="s">
        <v>932</v>
      </c>
      <c r="B226" s="58">
        <v>46086</v>
      </c>
      <c r="C226" s="396">
        <f xml:space="preserve"> VLOOKUP(E226, $A$3:$E$942, 2, FALSE)</f>
        <v>46087</v>
      </c>
      <c r="D226" s="45" t="s">
        <v>788</v>
      </c>
      <c r="E226" s="151" t="s">
        <v>933</v>
      </c>
      <c r="F226" s="57" t="s">
        <v>517</v>
      </c>
      <c r="G226" s="57"/>
      <c r="H226" s="57"/>
      <c r="I226" s="57" t="s">
        <v>934</v>
      </c>
      <c r="J226" s="57" t="s">
        <v>893</v>
      </c>
      <c r="K226" s="152"/>
      <c r="L226" s="145"/>
      <c r="M226" s="57"/>
    </row>
    <row r="227" spans="1:15" ht="19.5" customHeight="1">
      <c r="A227" s="57" t="s">
        <v>935</v>
      </c>
      <c r="B227" s="58">
        <v>46083</v>
      </c>
      <c r="C227" s="396">
        <f xml:space="preserve"> VLOOKUP(E227, $A$3:$E$942, 2, FALSE)</f>
        <v>46084</v>
      </c>
      <c r="D227" s="45" t="s">
        <v>788</v>
      </c>
      <c r="E227" s="151" t="s">
        <v>936</v>
      </c>
      <c r="F227" s="57" t="s">
        <v>86</v>
      </c>
      <c r="G227" s="57"/>
      <c r="H227" s="57"/>
      <c r="I227" s="57" t="s">
        <v>937</v>
      </c>
      <c r="J227" s="57" t="s">
        <v>519</v>
      </c>
      <c r="K227" s="152"/>
      <c r="L227" s="145"/>
      <c r="M227" s="57"/>
    </row>
    <row r="228" spans="1:15" ht="19.5" customHeight="1">
      <c r="A228" s="57" t="s">
        <v>938</v>
      </c>
      <c r="B228" s="58">
        <v>46083</v>
      </c>
      <c r="C228" s="396">
        <f xml:space="preserve"> VLOOKUP(E228, $A$3:$E$942, 2, FALSE)</f>
        <v>46119</v>
      </c>
      <c r="D228" s="45" t="s">
        <v>788</v>
      </c>
      <c r="E228" s="151" t="s">
        <v>939</v>
      </c>
      <c r="F228" s="57" t="s">
        <v>66</v>
      </c>
      <c r="G228" s="57"/>
      <c r="H228" s="57"/>
      <c r="I228" s="57" t="s">
        <v>925</v>
      </c>
      <c r="J228" s="57" t="s">
        <v>940</v>
      </c>
      <c r="K228" s="152"/>
      <c r="L228" s="145" t="s">
        <v>924</v>
      </c>
      <c r="M228" s="57"/>
    </row>
    <row r="229" spans="1:15" ht="19.5" customHeight="1">
      <c r="A229" s="57" t="s">
        <v>941</v>
      </c>
      <c r="B229" s="58">
        <v>46083</v>
      </c>
      <c r="C229" s="396">
        <f xml:space="preserve"> VLOOKUP(E229, $A$3:$E$942, 2, FALSE)</f>
        <v>46078</v>
      </c>
      <c r="D229" s="45" t="s">
        <v>788</v>
      </c>
      <c r="E229" s="151" t="s">
        <v>919</v>
      </c>
      <c r="F229" s="57" t="s">
        <v>517</v>
      </c>
      <c r="G229" s="57"/>
      <c r="H229" s="57"/>
      <c r="I229" s="57" t="s">
        <v>496</v>
      </c>
      <c r="J229" s="57" t="s">
        <v>942</v>
      </c>
      <c r="K229" s="152"/>
      <c r="L229" s="145"/>
      <c r="M229" s="57"/>
    </row>
    <row r="230" spans="1:15" ht="19.5" customHeight="1">
      <c r="A230" s="57" t="s">
        <v>939</v>
      </c>
      <c r="B230" s="58">
        <v>46119</v>
      </c>
      <c r="C230" s="396">
        <f xml:space="preserve"> VLOOKUP(E230, $A$3:$E$942, 2, FALSE)</f>
        <v>46056</v>
      </c>
      <c r="D230" s="45" t="s">
        <v>788</v>
      </c>
      <c r="E230" s="151" t="s">
        <v>891</v>
      </c>
      <c r="F230" s="57" t="s">
        <v>166</v>
      </c>
      <c r="G230" s="57" t="s">
        <v>45</v>
      </c>
      <c r="H230" s="57" t="s">
        <v>943</v>
      </c>
      <c r="I230" s="57" t="s">
        <v>911</v>
      </c>
      <c r="J230" s="57" t="s">
        <v>944</v>
      </c>
      <c r="K230" s="152"/>
      <c r="L230" s="145"/>
      <c r="M230" s="57"/>
    </row>
    <row r="231" spans="1:15" ht="19.5" customHeight="1">
      <c r="A231" s="57" t="s">
        <v>945</v>
      </c>
      <c r="B231" s="58">
        <v>46079</v>
      </c>
      <c r="C231" s="396">
        <f xml:space="preserve"> VLOOKUP(E231, $A$3:$E$942, 2, FALSE)</f>
        <v>46083</v>
      </c>
      <c r="D231" s="45" t="s">
        <v>788</v>
      </c>
      <c r="E231" s="151" t="s">
        <v>889</v>
      </c>
      <c r="F231" s="57" t="s">
        <v>820</v>
      </c>
      <c r="G231" s="57"/>
      <c r="H231" s="57"/>
      <c r="I231" s="57" t="s">
        <v>937</v>
      </c>
      <c r="J231" s="57" t="s">
        <v>946</v>
      </c>
      <c r="K231" s="152">
        <v>45818</v>
      </c>
      <c r="L231" s="145"/>
      <c r="M231" s="57"/>
    </row>
    <row r="232" spans="1:15" ht="19.5" customHeight="1">
      <c r="A232" s="57" t="s">
        <v>936</v>
      </c>
      <c r="B232" s="58">
        <v>46084</v>
      </c>
      <c r="C232" s="396">
        <f xml:space="preserve"> VLOOKUP(E232, $A$3:$E$942, 2, FALSE)</f>
        <v>46062</v>
      </c>
      <c r="D232" s="45" t="s">
        <v>788</v>
      </c>
      <c r="E232" s="151" t="s">
        <v>882</v>
      </c>
      <c r="F232" s="57" t="s">
        <v>86</v>
      </c>
      <c r="G232" s="57"/>
      <c r="H232" s="57"/>
      <c r="I232" s="57" t="s">
        <v>641</v>
      </c>
      <c r="J232" s="57" t="s">
        <v>947</v>
      </c>
      <c r="K232" s="152" t="s">
        <v>948</v>
      </c>
      <c r="L232" s="145" t="s">
        <v>949</v>
      </c>
      <c r="M232" s="57"/>
    </row>
    <row r="233" spans="1:15" ht="19.5" customHeight="1">
      <c r="A233" s="57" t="s">
        <v>933</v>
      </c>
      <c r="B233" s="58">
        <v>46087</v>
      </c>
      <c r="C233" s="396" t="e">
        <f xml:space="preserve"> VLOOKUP(E233, $A$3:$E$942, 2, FALSE)</f>
        <v>#N/A</v>
      </c>
      <c r="D233" s="45" t="s">
        <v>788</v>
      </c>
      <c r="E233" s="151" t="s">
        <v>950</v>
      </c>
      <c r="F233" s="57" t="s">
        <v>86</v>
      </c>
      <c r="G233" s="57"/>
      <c r="H233" s="57"/>
      <c r="I233" s="57" t="s">
        <v>467</v>
      </c>
      <c r="J233" s="57" t="s">
        <v>951</v>
      </c>
      <c r="K233" s="152"/>
      <c r="L233" s="145" t="s">
        <v>578</v>
      </c>
      <c r="M233" s="57"/>
    </row>
    <row r="234" spans="1:15" ht="19.5" customHeight="1">
      <c r="A234" s="57" t="s">
        <v>952</v>
      </c>
      <c r="B234" s="58">
        <v>46078</v>
      </c>
      <c r="C234" s="396">
        <f xml:space="preserve"> VLOOKUP(E234, $A$3:$E$942, 2, FALSE)</f>
        <v>46231</v>
      </c>
      <c r="D234" s="45" t="s">
        <v>788</v>
      </c>
      <c r="E234" s="151" t="s">
        <v>860</v>
      </c>
      <c r="F234" s="57" t="s">
        <v>90</v>
      </c>
      <c r="G234" s="57" t="s">
        <v>45</v>
      </c>
      <c r="H234" s="57" t="s">
        <v>953</v>
      </c>
      <c r="I234" s="57" t="s">
        <v>954</v>
      </c>
      <c r="J234" s="57" t="s">
        <v>955</v>
      </c>
      <c r="K234" s="152"/>
      <c r="L234" s="145"/>
      <c r="M234" s="57"/>
      <c r="N234" s="59"/>
      <c r="O234" s="59"/>
    </row>
    <row r="235" spans="1:15" ht="19.5" customHeight="1">
      <c r="A235" s="57" t="s">
        <v>929</v>
      </c>
      <c r="B235" s="58">
        <v>46149</v>
      </c>
      <c r="C235" s="396">
        <f xml:space="preserve"> VLOOKUP(E235, $A$3:$E$942, 2, FALSE)</f>
        <v>46069</v>
      </c>
      <c r="D235" s="45" t="s">
        <v>788</v>
      </c>
      <c r="E235" s="151" t="s">
        <v>843</v>
      </c>
      <c r="F235" s="57" t="s">
        <v>230</v>
      </c>
      <c r="G235" s="57"/>
      <c r="H235" s="57"/>
      <c r="I235" s="57" t="s">
        <v>956</v>
      </c>
      <c r="J235" s="57" t="s">
        <v>957</v>
      </c>
      <c r="K235" s="152"/>
      <c r="L235" s="145"/>
      <c r="M235" s="57"/>
      <c r="N235" s="59"/>
      <c r="O235" s="59"/>
    </row>
    <row r="236" spans="1:15" ht="19.5" customHeight="1">
      <c r="A236" s="57" t="s">
        <v>924</v>
      </c>
      <c r="B236" s="58">
        <v>46119</v>
      </c>
      <c r="C236" s="396">
        <f xml:space="preserve"> VLOOKUP(E236, $A$3:$E$942, 2, FALSE)</f>
        <v>46058</v>
      </c>
      <c r="D236" s="45" t="s">
        <v>788</v>
      </c>
      <c r="E236" s="151" t="s">
        <v>832</v>
      </c>
      <c r="F236" s="57" t="s">
        <v>52</v>
      </c>
      <c r="G236" s="57"/>
      <c r="H236" s="304" t="s">
        <v>958</v>
      </c>
      <c r="I236" s="57" t="s">
        <v>959</v>
      </c>
      <c r="J236" s="57" t="s">
        <v>960</v>
      </c>
      <c r="K236" s="152">
        <v>45681</v>
      </c>
      <c r="L236" s="145" t="s">
        <v>961</v>
      </c>
      <c r="M236" s="57"/>
      <c r="N236" s="59"/>
      <c r="O236" s="59"/>
    </row>
    <row r="237" spans="1:15" ht="19.5" customHeight="1">
      <c r="A237" s="57" t="s">
        <v>962</v>
      </c>
      <c r="B237" s="58">
        <v>46083</v>
      </c>
      <c r="C237" s="396">
        <f xml:space="preserve"> VLOOKUP(E237, $A$3:$E$942, 2, FALSE)</f>
        <v>45978</v>
      </c>
      <c r="D237" s="45" t="s">
        <v>788</v>
      </c>
      <c r="E237" s="151" t="s">
        <v>829</v>
      </c>
      <c r="F237" s="57" t="s">
        <v>136</v>
      </c>
      <c r="G237" s="57" t="s">
        <v>45</v>
      </c>
      <c r="H237" s="57" t="s">
        <v>963</v>
      </c>
      <c r="I237" s="57" t="s">
        <v>964</v>
      </c>
      <c r="J237" s="57" t="s">
        <v>965</v>
      </c>
      <c r="K237" s="152"/>
      <c r="L237" s="145"/>
      <c r="M237" s="57"/>
      <c r="N237" s="59"/>
      <c r="O237" s="59"/>
    </row>
    <row r="238" spans="1:15" ht="19.5" customHeight="1">
      <c r="A238" s="57" t="s">
        <v>966</v>
      </c>
      <c r="B238" s="58">
        <v>46083</v>
      </c>
      <c r="C238" s="396">
        <f xml:space="preserve"> VLOOKUP(E238, $A$3:$E$942, 2, FALSE)</f>
        <v>46115</v>
      </c>
      <c r="D238" s="57" t="s">
        <v>788</v>
      </c>
      <c r="E238" s="250" t="s">
        <v>967</v>
      </c>
      <c r="F238" s="57" t="s">
        <v>44</v>
      </c>
      <c r="G238" s="57" t="s">
        <v>45</v>
      </c>
      <c r="H238" s="57"/>
      <c r="I238" s="57" t="s">
        <v>487</v>
      </c>
      <c r="J238" s="57" t="s">
        <v>968</v>
      </c>
      <c r="K238" s="152">
        <v>46042</v>
      </c>
      <c r="L238" s="313" t="s">
        <v>700</v>
      </c>
      <c r="M238" s="57"/>
      <c r="N238" s="59"/>
      <c r="O238" s="59"/>
    </row>
    <row r="239" spans="1:15" ht="19.5" customHeight="1">
      <c r="A239" s="57" t="s">
        <v>969</v>
      </c>
      <c r="B239" s="58">
        <v>46073</v>
      </c>
      <c r="C239" s="396">
        <f xml:space="preserve"> VLOOKUP(E239, $A$3:$E$942, 2, FALSE)</f>
        <v>46100</v>
      </c>
      <c r="D239" s="57" t="s">
        <v>788</v>
      </c>
      <c r="E239" s="250" t="s">
        <v>970</v>
      </c>
      <c r="F239" s="57" t="s">
        <v>688</v>
      </c>
      <c r="G239" s="57" t="s">
        <v>45</v>
      </c>
      <c r="H239" s="57"/>
      <c r="I239" s="57" t="s">
        <v>956</v>
      </c>
      <c r="J239" s="57" t="s">
        <v>971</v>
      </c>
      <c r="K239" s="152">
        <v>46051</v>
      </c>
      <c r="L239" s="145" t="s">
        <v>972</v>
      </c>
      <c r="M239" s="57"/>
      <c r="N239" s="59"/>
      <c r="O239" s="59"/>
    </row>
    <row r="240" spans="1:15" ht="19.5" customHeight="1">
      <c r="A240" s="305"/>
      <c r="B240" s="391"/>
      <c r="C240" s="396">
        <f xml:space="preserve"> VLOOKUP(E240, $A$3:$E$942, 2, FALSE)</f>
        <v>46252</v>
      </c>
      <c r="D240" s="36" t="s">
        <v>788</v>
      </c>
      <c r="E240" s="11" t="s">
        <v>654</v>
      </c>
      <c r="F240" s="36" t="s">
        <v>90</v>
      </c>
      <c r="G240" s="36" t="s">
        <v>141</v>
      </c>
      <c r="I240" s="36" t="s">
        <v>847</v>
      </c>
      <c r="J240" s="36" t="s">
        <v>973</v>
      </c>
      <c r="K240" s="277">
        <v>46049</v>
      </c>
      <c r="L240" s="275"/>
      <c r="N240" s="59"/>
      <c r="O240" s="59"/>
    </row>
    <row r="241" spans="1:15" ht="19.5" customHeight="1">
      <c r="A241" s="305"/>
      <c r="B241" s="391"/>
      <c r="C241" s="396">
        <f xml:space="preserve"> VLOOKUP(E241, $A$3:$E$942, 2, FALSE)</f>
        <v>46252</v>
      </c>
      <c r="D241" s="36" t="s">
        <v>788</v>
      </c>
      <c r="E241" s="36" t="s">
        <v>98</v>
      </c>
      <c r="F241" s="36" t="s">
        <v>90</v>
      </c>
      <c r="H241" s="36" t="s">
        <v>974</v>
      </c>
      <c r="I241" s="36" t="s">
        <v>975</v>
      </c>
      <c r="J241" s="36" t="s">
        <v>976</v>
      </c>
      <c r="K241" s="276">
        <v>45729</v>
      </c>
      <c r="N241" s="59"/>
      <c r="O241" s="59"/>
    </row>
    <row r="242" spans="1:15" ht="19.5" customHeight="1">
      <c r="A242" s="305"/>
      <c r="B242" s="391"/>
      <c r="C242" s="396">
        <f xml:space="preserve"> VLOOKUP(E242, $A$3:$E$942, 2, FALSE)</f>
        <v>46252</v>
      </c>
      <c r="D242" s="36" t="s">
        <v>788</v>
      </c>
      <c r="E242" s="36" t="s">
        <v>217</v>
      </c>
      <c r="F242" s="36" t="s">
        <v>90</v>
      </c>
      <c r="I242" s="36" t="s">
        <v>47</v>
      </c>
      <c r="J242" s="36" t="s">
        <v>977</v>
      </c>
      <c r="K242" s="276">
        <v>45875</v>
      </c>
      <c r="N242" s="59"/>
      <c r="O242" s="59"/>
    </row>
    <row r="243" spans="1:15" ht="19.5" customHeight="1">
      <c r="A243" s="305"/>
      <c r="B243" s="391"/>
      <c r="C243" s="396">
        <f xml:space="preserve"> VLOOKUP(E243, $A$3:$E$942, 2, FALSE)</f>
        <v>46253</v>
      </c>
      <c r="D243" s="36" t="s">
        <v>788</v>
      </c>
      <c r="E243" s="11" t="s">
        <v>588</v>
      </c>
      <c r="F243" s="36" t="s">
        <v>90</v>
      </c>
      <c r="G243" s="36" t="s">
        <v>141</v>
      </c>
      <c r="I243" s="36" t="s">
        <v>814</v>
      </c>
      <c r="J243" s="36" t="s">
        <v>978</v>
      </c>
      <c r="K243" s="277">
        <v>46035</v>
      </c>
      <c r="L243" s="146" t="s">
        <v>979</v>
      </c>
      <c r="M243" s="29"/>
      <c r="N243" s="59"/>
      <c r="O243" s="59"/>
    </row>
    <row r="244" spans="1:15" ht="19.5" customHeight="1">
      <c r="A244" s="305"/>
      <c r="B244" s="391"/>
      <c r="C244" s="396">
        <f xml:space="preserve"> VLOOKUP(E244, $A$3:$E$942, 2, FALSE)</f>
        <v>46078</v>
      </c>
      <c r="D244" s="36" t="s">
        <v>788</v>
      </c>
      <c r="E244" s="11" t="s">
        <v>689</v>
      </c>
      <c r="F244" s="36" t="s">
        <v>230</v>
      </c>
      <c r="G244" s="36" t="s">
        <v>141</v>
      </c>
      <c r="I244" s="36" t="s">
        <v>299</v>
      </c>
      <c r="J244" s="36" t="s">
        <v>980</v>
      </c>
      <c r="K244" s="277">
        <v>46056</v>
      </c>
      <c r="L244" s="146" t="s">
        <v>981</v>
      </c>
      <c r="N244" s="59"/>
      <c r="O244" s="59"/>
    </row>
    <row r="245" spans="1:15" ht="19.5" customHeight="1">
      <c r="A245" s="57"/>
      <c r="B245" s="57"/>
      <c r="C245" s="396">
        <f xml:space="preserve"> VLOOKUP(E245, $A$3:$E$942, 2, FALSE)</f>
        <v>46254</v>
      </c>
      <c r="D245" s="57" t="s">
        <v>788</v>
      </c>
      <c r="E245" s="147" t="s">
        <v>982</v>
      </c>
      <c r="F245" s="57" t="s">
        <v>90</v>
      </c>
      <c r="G245" s="57"/>
      <c r="H245" s="57"/>
      <c r="I245" s="57" t="s">
        <v>983</v>
      </c>
      <c r="J245" s="57" t="s">
        <v>519</v>
      </c>
      <c r="K245" s="152"/>
      <c r="L245" s="145"/>
      <c r="M245" s="57"/>
      <c r="N245" s="59"/>
      <c r="O245" s="59"/>
    </row>
    <row r="246" spans="1:15" ht="19.5" customHeight="1">
      <c r="A246" s="57"/>
      <c r="B246" s="58"/>
      <c r="C246" s="396">
        <f xml:space="preserve"> VLOOKUP(E246, $A$3:$E$942, 2, FALSE)</f>
        <v>46254</v>
      </c>
      <c r="D246" s="57" t="s">
        <v>788</v>
      </c>
      <c r="E246" s="250" t="s">
        <v>984</v>
      </c>
      <c r="F246" s="57" t="s">
        <v>688</v>
      </c>
      <c r="G246" s="57"/>
      <c r="H246" s="57"/>
      <c r="I246" s="57" t="s">
        <v>985</v>
      </c>
      <c r="J246" s="57" t="s">
        <v>986</v>
      </c>
      <c r="K246" s="152">
        <v>45975</v>
      </c>
      <c r="L246" s="145" t="s">
        <v>987</v>
      </c>
      <c r="M246" s="57"/>
      <c r="N246" s="59"/>
      <c r="O246" s="59"/>
    </row>
    <row r="247" spans="1:15" ht="19.5" customHeight="1">
      <c r="A247" s="57"/>
      <c r="B247" s="58"/>
      <c r="C247" s="396">
        <f xml:space="preserve"> VLOOKUP(E247, $A$3:$E$942, 2, FALSE)</f>
        <v>46104</v>
      </c>
      <c r="D247" s="57" t="s">
        <v>788</v>
      </c>
      <c r="E247" s="250" t="s">
        <v>988</v>
      </c>
      <c r="F247" s="57" t="s">
        <v>243</v>
      </c>
      <c r="G247" s="57"/>
      <c r="H247" s="57"/>
      <c r="I247" s="57" t="s">
        <v>506</v>
      </c>
      <c r="J247" s="57" t="s">
        <v>989</v>
      </c>
      <c r="K247" s="152">
        <v>46055</v>
      </c>
      <c r="L247" s="145" t="s">
        <v>990</v>
      </c>
      <c r="M247" s="57"/>
      <c r="N247" s="59"/>
      <c r="O247" s="59"/>
    </row>
    <row r="248" spans="1:15" ht="19.5" customHeight="1">
      <c r="A248" s="305" t="s">
        <v>991</v>
      </c>
      <c r="B248" s="391">
        <v>46083</v>
      </c>
      <c r="C248" s="396">
        <f xml:space="preserve"> VLOOKUP(E248, $A$3:$E$942, 2, FALSE)</f>
        <v>46100</v>
      </c>
      <c r="D248" s="36" t="s">
        <v>992</v>
      </c>
      <c r="E248" s="11" t="s">
        <v>494</v>
      </c>
      <c r="F248" s="36">
        <v>72</v>
      </c>
      <c r="G248" s="36" t="s">
        <v>141</v>
      </c>
      <c r="H248" s="36" t="s">
        <v>993</v>
      </c>
      <c r="I248" s="36" t="s">
        <v>994</v>
      </c>
      <c r="J248" s="36" t="s">
        <v>995</v>
      </c>
      <c r="K248" s="277">
        <v>46041</v>
      </c>
      <c r="L248" s="146" t="s">
        <v>996</v>
      </c>
      <c r="N248" s="59"/>
      <c r="O248" s="59"/>
    </row>
    <row r="249" spans="1:15" ht="19.5" customHeight="1">
      <c r="A249" s="305" t="s">
        <v>997</v>
      </c>
      <c r="B249" s="391">
        <v>46078</v>
      </c>
      <c r="C249" s="396">
        <f xml:space="preserve"> VLOOKUP(E249, $A$3:$E$942, 2, FALSE)</f>
        <v>46090</v>
      </c>
      <c r="D249" s="36" t="s">
        <v>992</v>
      </c>
      <c r="E249" s="11" t="s">
        <v>281</v>
      </c>
      <c r="F249" s="36" t="s">
        <v>820</v>
      </c>
      <c r="I249" s="36" t="s">
        <v>127</v>
      </c>
      <c r="J249" s="36" t="s">
        <v>998</v>
      </c>
      <c r="K249" s="277">
        <v>45937</v>
      </c>
      <c r="N249" s="59"/>
      <c r="O249" s="59"/>
    </row>
    <row r="250" spans="1:15" ht="19.5" customHeight="1">
      <c r="A250" s="305" t="s">
        <v>999</v>
      </c>
      <c r="B250" s="391">
        <v>46086</v>
      </c>
      <c r="C250" s="396">
        <f xml:space="preserve"> VLOOKUP(E250, $A$3:$E$942, 2, FALSE)</f>
        <v>46086</v>
      </c>
      <c r="D250" s="36" t="s">
        <v>992</v>
      </c>
      <c r="E250" s="11" t="s">
        <v>360</v>
      </c>
      <c r="F250" s="36">
        <v>72</v>
      </c>
      <c r="G250" s="36" t="s">
        <v>45</v>
      </c>
      <c r="I250" s="36" t="s">
        <v>1000</v>
      </c>
      <c r="J250" s="36" t="s">
        <v>1001</v>
      </c>
      <c r="K250" s="276">
        <v>45985</v>
      </c>
      <c r="L250" s="146" t="s">
        <v>1002</v>
      </c>
      <c r="N250" s="59"/>
      <c r="O250" s="59"/>
    </row>
    <row r="251" spans="1:15" ht="19.5" customHeight="1">
      <c r="A251" s="305" t="s">
        <v>984</v>
      </c>
      <c r="B251" s="391">
        <v>46254</v>
      </c>
      <c r="C251" s="396">
        <f xml:space="preserve"> VLOOKUP(E251, $A$3:$E$942, 2, FALSE)</f>
        <v>46218</v>
      </c>
      <c r="D251" s="36" t="s">
        <v>992</v>
      </c>
      <c r="E251" s="36" t="s">
        <v>257</v>
      </c>
      <c r="F251" s="36" t="s">
        <v>44</v>
      </c>
      <c r="G251" s="36" t="s">
        <v>45</v>
      </c>
      <c r="I251" s="36" t="s">
        <v>879</v>
      </c>
      <c r="J251" s="36" t="s">
        <v>1003</v>
      </c>
      <c r="K251" s="276"/>
      <c r="L251" s="146" t="s">
        <v>1004</v>
      </c>
      <c r="N251" s="59"/>
      <c r="O251" s="59"/>
    </row>
    <row r="252" spans="1:15" ht="19.5" customHeight="1">
      <c r="A252" s="305" t="s">
        <v>1005</v>
      </c>
      <c r="B252" s="391">
        <v>46076</v>
      </c>
      <c r="C252" s="396">
        <f xml:space="preserve"> VLOOKUP(E252, $A$3:$E$942, 2, FALSE)</f>
        <v>46111</v>
      </c>
      <c r="D252" s="36" t="s">
        <v>992</v>
      </c>
      <c r="E252" s="36" t="s">
        <v>69</v>
      </c>
      <c r="F252" s="36" t="s">
        <v>100</v>
      </c>
      <c r="G252" s="36" t="s">
        <v>45</v>
      </c>
      <c r="I252" s="36" t="s">
        <v>1006</v>
      </c>
      <c r="J252" s="36" t="s">
        <v>715</v>
      </c>
      <c r="K252" s="276"/>
      <c r="L252" s="146" t="s">
        <v>1007</v>
      </c>
      <c r="M252" s="36">
        <v>565445012</v>
      </c>
      <c r="N252" s="59"/>
      <c r="O252" s="59"/>
    </row>
    <row r="253" spans="1:15" ht="19.5" customHeight="1">
      <c r="A253" s="305" t="s">
        <v>1008</v>
      </c>
      <c r="B253" s="391">
        <v>46077</v>
      </c>
      <c r="C253" s="396">
        <f xml:space="preserve"> VLOOKUP(E253, $A$3:$E$942, 2, FALSE)</f>
        <v>46076</v>
      </c>
      <c r="D253" s="36" t="s">
        <v>992</v>
      </c>
      <c r="E253" s="36" t="s">
        <v>75</v>
      </c>
      <c r="F253" s="36" t="s">
        <v>100</v>
      </c>
      <c r="G253" s="36" t="s">
        <v>45</v>
      </c>
      <c r="I253" s="36" t="s">
        <v>1009</v>
      </c>
      <c r="J253" s="36" t="s">
        <v>1010</v>
      </c>
      <c r="K253" s="276"/>
      <c r="L253" s="146" t="s">
        <v>1011</v>
      </c>
      <c r="M253" s="36">
        <v>688892099</v>
      </c>
      <c r="N253" s="59"/>
      <c r="O253" s="59"/>
    </row>
    <row r="254" spans="1:15" ht="19.5" customHeight="1">
      <c r="A254" s="305" t="s">
        <v>1012</v>
      </c>
      <c r="B254" s="391">
        <v>46078</v>
      </c>
      <c r="C254" s="396">
        <f xml:space="preserve"> VLOOKUP(E254, $A$3:$E$942, 2, FALSE)</f>
        <v>46079</v>
      </c>
      <c r="D254" s="36" t="s">
        <v>992</v>
      </c>
      <c r="E254" s="36" t="s">
        <v>84</v>
      </c>
      <c r="F254" s="36" t="s">
        <v>230</v>
      </c>
      <c r="I254" s="36" t="s">
        <v>1013</v>
      </c>
      <c r="J254" s="36" t="s">
        <v>1014</v>
      </c>
      <c r="K254" s="276"/>
      <c r="L254" s="146" t="s">
        <v>1015</v>
      </c>
      <c r="N254" s="59"/>
      <c r="O254" s="59"/>
    </row>
    <row r="255" spans="1:15" ht="19.5" customHeight="1">
      <c r="A255" s="305" t="s">
        <v>1016</v>
      </c>
      <c r="B255" s="391">
        <v>46078</v>
      </c>
      <c r="C255" s="396">
        <f xml:space="preserve"> VLOOKUP(E255, $A$3:$E$942, 2, FALSE)</f>
        <v>46099</v>
      </c>
      <c r="D255" s="36" t="s">
        <v>992</v>
      </c>
      <c r="E255" s="36" t="s">
        <v>108</v>
      </c>
      <c r="F255" s="36" t="s">
        <v>230</v>
      </c>
      <c r="I255" s="36" t="s">
        <v>1017</v>
      </c>
      <c r="J255" s="36" t="s">
        <v>1018</v>
      </c>
      <c r="K255" s="276"/>
      <c r="L255" s="146" t="s">
        <v>1019</v>
      </c>
      <c r="N255" s="59"/>
      <c r="O255" s="59"/>
    </row>
    <row r="256" spans="1:15" ht="19.5" customHeight="1">
      <c r="A256" s="305" t="s">
        <v>1020</v>
      </c>
      <c r="B256" s="391">
        <v>46097</v>
      </c>
      <c r="C256" s="396">
        <f xml:space="preserve"> VLOOKUP(E256, $A$3:$E$942, 2, FALSE)</f>
        <v>46091</v>
      </c>
      <c r="D256" s="36" t="s">
        <v>992</v>
      </c>
      <c r="E256" s="36" t="s">
        <v>125</v>
      </c>
      <c r="F256" s="36" t="s">
        <v>230</v>
      </c>
      <c r="H256" s="30">
        <v>46055</v>
      </c>
      <c r="I256" s="36" t="s">
        <v>341</v>
      </c>
      <c r="J256" s="36" t="s">
        <v>1021</v>
      </c>
      <c r="K256" s="276">
        <v>45743</v>
      </c>
      <c r="L256" s="146" t="s">
        <v>1015</v>
      </c>
      <c r="N256" s="59"/>
      <c r="O256" s="59"/>
    </row>
    <row r="257" spans="1:15" ht="19.5" customHeight="1">
      <c r="A257" s="305" t="s">
        <v>1022</v>
      </c>
      <c r="B257" s="391">
        <v>46146</v>
      </c>
      <c r="C257" s="396">
        <f xml:space="preserve"> VLOOKUP(E257, $A$3:$E$942, 2, FALSE)</f>
        <v>46086</v>
      </c>
      <c r="D257" s="36" t="s">
        <v>992</v>
      </c>
      <c r="E257" s="36" t="s">
        <v>129</v>
      </c>
      <c r="F257" s="36" t="s">
        <v>100</v>
      </c>
      <c r="G257" s="36" t="s">
        <v>45</v>
      </c>
      <c r="I257" s="36" t="s">
        <v>96</v>
      </c>
      <c r="J257" s="36" t="s">
        <v>1023</v>
      </c>
      <c r="K257" s="276">
        <v>45800</v>
      </c>
      <c r="L257" s="146" t="s">
        <v>1024</v>
      </c>
      <c r="N257" s="59"/>
      <c r="O257" s="59"/>
    </row>
    <row r="258" spans="1:15" ht="19.5" customHeight="1">
      <c r="A258" s="305" t="s">
        <v>1025</v>
      </c>
      <c r="B258" s="391">
        <v>46091</v>
      </c>
      <c r="C258" s="396">
        <f xml:space="preserve"> VLOOKUP(E258, $A$3:$E$942, 2, FALSE)</f>
        <v>46086</v>
      </c>
      <c r="D258" s="36" t="s">
        <v>992</v>
      </c>
      <c r="E258" s="36" t="s">
        <v>144</v>
      </c>
      <c r="F258" s="36" t="s">
        <v>100</v>
      </c>
      <c r="G258" s="36" t="s">
        <v>45</v>
      </c>
      <c r="I258" s="36" t="s">
        <v>244</v>
      </c>
      <c r="J258" s="36" t="s">
        <v>367</v>
      </c>
      <c r="K258" s="276" t="s">
        <v>1026</v>
      </c>
      <c r="L258" s="146" t="s">
        <v>1027</v>
      </c>
      <c r="M258" s="36">
        <v>785973431</v>
      </c>
      <c r="N258" s="59"/>
      <c r="O258" s="59"/>
    </row>
    <row r="259" spans="1:15" ht="19.5" customHeight="1">
      <c r="A259" s="305" t="s">
        <v>920</v>
      </c>
      <c r="B259" s="391">
        <v>46100</v>
      </c>
      <c r="C259" s="396">
        <f xml:space="preserve"> VLOOKUP(E259, $A$3:$E$942, 2, FALSE)</f>
        <v>46078</v>
      </c>
      <c r="D259" s="36" t="s">
        <v>992</v>
      </c>
      <c r="E259" s="36" t="s">
        <v>147</v>
      </c>
      <c r="F259" s="36" t="s">
        <v>100</v>
      </c>
      <c r="G259" s="36" t="s">
        <v>45</v>
      </c>
      <c r="I259" s="36" t="s">
        <v>278</v>
      </c>
      <c r="J259" s="36" t="s">
        <v>1028</v>
      </c>
      <c r="K259" s="276" t="s">
        <v>1029</v>
      </c>
      <c r="L259" s="146" t="s">
        <v>1015</v>
      </c>
      <c r="N259" s="59"/>
      <c r="O259" s="59"/>
    </row>
    <row r="260" spans="1:15" ht="19.5" customHeight="1">
      <c r="A260" s="305" t="s">
        <v>1030</v>
      </c>
      <c r="B260" s="391">
        <v>46112</v>
      </c>
      <c r="C260" s="396">
        <f xml:space="preserve"> VLOOKUP(E260, $A$3:$E$942, 2, FALSE)</f>
        <v>46086</v>
      </c>
      <c r="D260" s="36" t="s">
        <v>992</v>
      </c>
      <c r="E260" s="36" t="s">
        <v>152</v>
      </c>
      <c r="F260" s="36" t="s">
        <v>44</v>
      </c>
      <c r="G260" s="36" t="s">
        <v>45</v>
      </c>
      <c r="I260" s="36" t="s">
        <v>278</v>
      </c>
      <c r="J260" s="36" t="s">
        <v>1031</v>
      </c>
      <c r="K260" s="276"/>
      <c r="L260" s="146" t="s">
        <v>1032</v>
      </c>
      <c r="N260" s="59"/>
      <c r="O260" s="59"/>
    </row>
    <row r="261" spans="1:15" ht="19.5" customHeight="1">
      <c r="A261" s="305" t="s">
        <v>982</v>
      </c>
      <c r="B261" s="391">
        <v>46254</v>
      </c>
      <c r="C261" s="396">
        <f xml:space="preserve"> VLOOKUP(E261, $A$3:$E$942, 2, FALSE)</f>
        <v>46272</v>
      </c>
      <c r="D261" s="36" t="s">
        <v>992</v>
      </c>
      <c r="E261" s="36" t="s">
        <v>160</v>
      </c>
      <c r="F261" s="36" t="s">
        <v>100</v>
      </c>
      <c r="G261" s="36" t="s">
        <v>45</v>
      </c>
      <c r="I261" s="36" t="s">
        <v>1000</v>
      </c>
      <c r="J261" s="36" t="s">
        <v>1033</v>
      </c>
      <c r="K261" s="276"/>
      <c r="L261" s="146" t="s">
        <v>1034</v>
      </c>
      <c r="N261" s="59"/>
      <c r="O261" s="59"/>
    </row>
    <row r="262" spans="1:15" ht="19.5" customHeight="1">
      <c r="A262" s="305" t="s">
        <v>914</v>
      </c>
      <c r="B262" s="391">
        <v>46119</v>
      </c>
      <c r="C262" s="396">
        <f xml:space="preserve"> VLOOKUP(E262, $A$3:$E$942, 2, FALSE)</f>
        <v>46084</v>
      </c>
      <c r="D262" s="36" t="s">
        <v>992</v>
      </c>
      <c r="E262" s="36" t="s">
        <v>164</v>
      </c>
      <c r="F262" s="36" t="s">
        <v>100</v>
      </c>
      <c r="G262" s="36" t="s">
        <v>45</v>
      </c>
      <c r="I262" s="36" t="s">
        <v>1035</v>
      </c>
      <c r="J262" s="36" t="s">
        <v>1036</v>
      </c>
      <c r="K262" s="276"/>
      <c r="L262" s="146" t="s">
        <v>1037</v>
      </c>
      <c r="N262" s="59"/>
      <c r="O262" s="59"/>
    </row>
    <row r="263" spans="1:15" ht="19.5" customHeight="1">
      <c r="A263" s="305" t="s">
        <v>784</v>
      </c>
      <c r="B263" s="391">
        <v>46101</v>
      </c>
      <c r="C263" s="396">
        <f xml:space="preserve"> VLOOKUP(E263, $A$3:$E$942, 2, FALSE)</f>
        <v>46213</v>
      </c>
      <c r="D263" s="36" t="s">
        <v>992</v>
      </c>
      <c r="E263" s="36" t="s">
        <v>172</v>
      </c>
      <c r="F263" s="36" t="s">
        <v>100</v>
      </c>
      <c r="G263" s="36" t="s">
        <v>45</v>
      </c>
      <c r="I263" s="36" t="s">
        <v>1038</v>
      </c>
      <c r="J263" s="36" t="s">
        <v>1039</v>
      </c>
      <c r="K263" s="276" t="s">
        <v>1040</v>
      </c>
      <c r="L263" s="315">
        <v>46296</v>
      </c>
      <c r="N263" s="59"/>
      <c r="O263" s="59"/>
    </row>
    <row r="264" spans="1:15" ht="19.5" customHeight="1">
      <c r="A264" s="305" t="s">
        <v>1041</v>
      </c>
      <c r="B264" s="391">
        <v>46111</v>
      </c>
      <c r="C264" s="396">
        <f xml:space="preserve"> VLOOKUP(E264, $A$3:$E$942, 2, FALSE)</f>
        <v>46106</v>
      </c>
      <c r="D264" s="36" t="s">
        <v>992</v>
      </c>
      <c r="E264" s="36" t="s">
        <v>199</v>
      </c>
      <c r="F264" s="36" t="s">
        <v>106</v>
      </c>
      <c r="G264" s="36" t="s">
        <v>45</v>
      </c>
      <c r="I264" s="36" t="s">
        <v>244</v>
      </c>
      <c r="J264" s="36" t="s">
        <v>1042</v>
      </c>
      <c r="K264" s="276"/>
      <c r="L264" s="146" t="s">
        <v>1043</v>
      </c>
      <c r="N264" s="59"/>
      <c r="O264" s="59"/>
    </row>
    <row r="265" spans="1:15" ht="19.5" customHeight="1">
      <c r="A265" s="305" t="s">
        <v>1044</v>
      </c>
      <c r="B265" s="391">
        <v>46073</v>
      </c>
      <c r="C265" s="396">
        <f xml:space="preserve"> VLOOKUP(E265, $A$3:$E$942, 2, FALSE)</f>
        <v>46101</v>
      </c>
      <c r="D265" s="36" t="s">
        <v>992</v>
      </c>
      <c r="E265" s="36" t="s">
        <v>194</v>
      </c>
      <c r="F265" s="36" t="s">
        <v>100</v>
      </c>
      <c r="G265" s="36" t="s">
        <v>45</v>
      </c>
      <c r="I265" s="36" t="s">
        <v>299</v>
      </c>
      <c r="J265" s="36" t="s">
        <v>300</v>
      </c>
      <c r="K265" s="276" t="s">
        <v>1045</v>
      </c>
      <c r="L265" s="146" t="s">
        <v>1046</v>
      </c>
      <c r="N265" s="59"/>
      <c r="O265" s="59"/>
    </row>
    <row r="266" spans="1:15" ht="19.5" customHeight="1">
      <c r="A266" s="305" t="s">
        <v>988</v>
      </c>
      <c r="B266" s="391">
        <v>46104</v>
      </c>
      <c r="C266" s="396">
        <f xml:space="preserve"> VLOOKUP(E266, $A$3:$E$942, 2, FALSE)</f>
        <v>46104</v>
      </c>
      <c r="D266" s="36" t="s">
        <v>992</v>
      </c>
      <c r="E266" s="36" t="s">
        <v>237</v>
      </c>
      <c r="F266" s="36" t="s">
        <v>230</v>
      </c>
      <c r="I266" s="36" t="s">
        <v>1047</v>
      </c>
      <c r="J266" s="36" t="s">
        <v>1048</v>
      </c>
      <c r="K266" s="276" t="s">
        <v>1049</v>
      </c>
      <c r="L266" s="146" t="s">
        <v>1050</v>
      </c>
      <c r="N266" s="59"/>
      <c r="O266" s="59"/>
    </row>
    <row r="267" spans="1:15" ht="19.5" customHeight="1">
      <c r="A267" s="305" t="s">
        <v>910</v>
      </c>
      <c r="B267" s="391">
        <v>46100</v>
      </c>
      <c r="C267" s="396">
        <f xml:space="preserve"> VLOOKUP(E267, $A$3:$E$942, 2, FALSE)</f>
        <v>46083</v>
      </c>
      <c r="D267" s="36" t="s">
        <v>992</v>
      </c>
      <c r="E267" s="36" t="s">
        <v>246</v>
      </c>
      <c r="F267" s="36">
        <v>72</v>
      </c>
      <c r="I267" s="36" t="s">
        <v>1051</v>
      </c>
      <c r="J267" s="36" t="s">
        <v>1052</v>
      </c>
      <c r="K267" s="276">
        <v>45911</v>
      </c>
      <c r="L267" s="146" t="s">
        <v>1053</v>
      </c>
      <c r="N267" s="59"/>
      <c r="O267" s="59"/>
    </row>
    <row r="268" spans="1:15" ht="19.5" customHeight="1">
      <c r="A268" s="305" t="s">
        <v>769</v>
      </c>
      <c r="B268" s="391">
        <v>46083</v>
      </c>
      <c r="C268" s="396">
        <f xml:space="preserve"> VLOOKUP(E268, $A$3:$E$942, 2, FALSE)</f>
        <v>46391</v>
      </c>
      <c r="D268" s="36" t="s">
        <v>992</v>
      </c>
      <c r="E268" s="36" t="s">
        <v>276</v>
      </c>
      <c r="F268" s="36" t="s">
        <v>100</v>
      </c>
      <c r="I268" s="36" t="s">
        <v>154</v>
      </c>
      <c r="J268" s="36" t="s">
        <v>1054</v>
      </c>
      <c r="K268" s="277">
        <v>45932</v>
      </c>
      <c r="L268" s="146" t="s">
        <v>1055</v>
      </c>
      <c r="N268" s="59"/>
      <c r="O268" s="59"/>
    </row>
    <row r="269" spans="1:15" ht="19.5" customHeight="1">
      <c r="A269" s="305" t="s">
        <v>776</v>
      </c>
      <c r="B269" s="391">
        <v>46083</v>
      </c>
      <c r="C269" s="396">
        <f xml:space="preserve"> VLOOKUP(E269, $A$3:$E$942, 2, FALSE)</f>
        <v>46078</v>
      </c>
      <c r="D269" s="36" t="s">
        <v>992</v>
      </c>
      <c r="E269" s="36" t="s">
        <v>271</v>
      </c>
      <c r="F269" s="36" t="s">
        <v>230</v>
      </c>
      <c r="I269" s="36" t="s">
        <v>115</v>
      </c>
      <c r="J269" s="36" t="s">
        <v>1056</v>
      </c>
      <c r="K269" s="277">
        <v>45926</v>
      </c>
      <c r="L269" s="146" t="s">
        <v>1057</v>
      </c>
      <c r="N269" s="59"/>
      <c r="O269" s="59"/>
    </row>
    <row r="270" spans="1:15" ht="19.5" customHeight="1">
      <c r="A270" s="305" t="s">
        <v>1058</v>
      </c>
      <c r="B270" s="391">
        <v>46073</v>
      </c>
      <c r="C270" s="396">
        <f xml:space="preserve"> VLOOKUP(E270, $A$3:$E$942, 2, FALSE)</f>
        <v>46092</v>
      </c>
      <c r="D270" s="36" t="s">
        <v>992</v>
      </c>
      <c r="E270" s="11" t="s">
        <v>289</v>
      </c>
      <c r="F270" s="36" t="s">
        <v>230</v>
      </c>
      <c r="I270" s="36" t="s">
        <v>1059</v>
      </c>
      <c r="J270" s="36" t="s">
        <v>1060</v>
      </c>
      <c r="K270" s="277">
        <v>45947</v>
      </c>
      <c r="L270" s="146" t="s">
        <v>1061</v>
      </c>
      <c r="N270" s="59"/>
      <c r="O270" s="59"/>
    </row>
    <row r="271" spans="1:15" ht="19.5" customHeight="1">
      <c r="A271" s="305" t="s">
        <v>702</v>
      </c>
      <c r="B271" s="391">
        <v>46079</v>
      </c>
      <c r="C271" s="396">
        <f xml:space="preserve"> VLOOKUP(E271, $A$3:$E$942, 2, FALSE)</f>
        <v>46195</v>
      </c>
      <c r="D271" s="36" t="s">
        <v>992</v>
      </c>
      <c r="E271" s="36" t="s">
        <v>334</v>
      </c>
      <c r="F271" s="36" t="s">
        <v>44</v>
      </c>
      <c r="I271" s="36" t="s">
        <v>1000</v>
      </c>
      <c r="J271" s="36" t="s">
        <v>1062</v>
      </c>
      <c r="K271" s="276"/>
      <c r="L271" s="146" t="s">
        <v>1063</v>
      </c>
      <c r="N271" s="59"/>
      <c r="O271" s="59"/>
    </row>
    <row r="272" spans="1:15" ht="19.5" customHeight="1">
      <c r="A272" s="305" t="s">
        <v>1064</v>
      </c>
      <c r="B272" s="391">
        <v>46090</v>
      </c>
      <c r="C272" s="396">
        <f xml:space="preserve"> VLOOKUP(E272, $A$3:$E$942, 2, FALSE)</f>
        <v>46077</v>
      </c>
      <c r="D272" s="36" t="s">
        <v>992</v>
      </c>
      <c r="E272" s="36" t="s">
        <v>323</v>
      </c>
      <c r="F272" s="36" t="s">
        <v>166</v>
      </c>
      <c r="I272" s="36" t="s">
        <v>1065</v>
      </c>
      <c r="J272" s="36" t="s">
        <v>1066</v>
      </c>
      <c r="K272" s="276">
        <v>45966</v>
      </c>
      <c r="L272" s="146" t="s">
        <v>1067</v>
      </c>
      <c r="N272" s="59"/>
      <c r="O272" s="59"/>
    </row>
    <row r="273" spans="1:15" ht="19.5" customHeight="1">
      <c r="A273" s="305" t="s">
        <v>970</v>
      </c>
      <c r="B273" s="391">
        <v>46100</v>
      </c>
      <c r="C273" s="396">
        <f xml:space="preserve"> VLOOKUP(E273, $A$3:$E$942, 2, FALSE)</f>
        <v>46164</v>
      </c>
      <c r="D273" s="36" t="s">
        <v>992</v>
      </c>
      <c r="E273" s="11" t="s">
        <v>350</v>
      </c>
      <c r="F273" s="36">
        <v>72</v>
      </c>
      <c r="I273" s="36" t="s">
        <v>1068</v>
      </c>
      <c r="J273" s="36" t="s">
        <v>1069</v>
      </c>
      <c r="K273" s="276">
        <v>45973</v>
      </c>
      <c r="L273" s="146" t="s">
        <v>1070</v>
      </c>
      <c r="N273" s="59"/>
      <c r="O273" s="59"/>
    </row>
    <row r="274" spans="1:15" ht="19.5" customHeight="1">
      <c r="A274" s="305" t="s">
        <v>905</v>
      </c>
      <c r="B274" s="391">
        <v>46098</v>
      </c>
      <c r="C274" s="396">
        <f xml:space="preserve"> VLOOKUP(E274, $A$3:$E$942, 2, FALSE)</f>
        <v>46231</v>
      </c>
      <c r="D274" s="36" t="s">
        <v>992</v>
      </c>
      <c r="E274" s="36" t="s">
        <v>319</v>
      </c>
      <c r="F274" s="36" t="s">
        <v>230</v>
      </c>
      <c r="I274" s="36" t="s">
        <v>158</v>
      </c>
      <c r="J274" s="36" t="s">
        <v>1071</v>
      </c>
      <c r="K274" s="276"/>
      <c r="L274" s="146" t="s">
        <v>1072</v>
      </c>
      <c r="N274" s="59"/>
      <c r="O274" s="59"/>
    </row>
    <row r="275" spans="1:15" ht="19.5" customHeight="1">
      <c r="A275" s="305" t="s">
        <v>967</v>
      </c>
      <c r="B275" s="391">
        <v>46115</v>
      </c>
      <c r="C275" s="396">
        <f xml:space="preserve"> VLOOKUP(E275, $A$3:$E$942, 2, FALSE)</f>
        <v>46097</v>
      </c>
      <c r="D275" s="36" t="s">
        <v>992</v>
      </c>
      <c r="E275" s="11" t="s">
        <v>365</v>
      </c>
      <c r="F275" s="36" t="s">
        <v>230</v>
      </c>
      <c r="I275" s="36" t="s">
        <v>1073</v>
      </c>
      <c r="J275" s="36" t="s">
        <v>1074</v>
      </c>
      <c r="K275" s="276">
        <v>45980</v>
      </c>
      <c r="L275" s="146" t="s">
        <v>1075</v>
      </c>
      <c r="N275" s="59"/>
      <c r="O275" s="59"/>
    </row>
    <row r="276" spans="1:15" ht="19.5" customHeight="1">
      <c r="A276" s="305" t="s">
        <v>1076</v>
      </c>
      <c r="B276" s="391">
        <v>46367</v>
      </c>
      <c r="C276" s="396">
        <f xml:space="preserve"> VLOOKUP(E276, $A$3:$E$942, 2, FALSE)</f>
        <v>46097</v>
      </c>
      <c r="D276" s="36" t="s">
        <v>992</v>
      </c>
      <c r="E276" s="11" t="s">
        <v>55</v>
      </c>
      <c r="F276" s="36" t="s">
        <v>230</v>
      </c>
      <c r="I276" s="36" t="s">
        <v>1077</v>
      </c>
      <c r="J276" s="36" t="s">
        <v>1078</v>
      </c>
      <c r="K276" s="276"/>
      <c r="L276" s="146" t="s">
        <v>1079</v>
      </c>
      <c r="N276" s="59"/>
      <c r="O276" s="59"/>
    </row>
    <row r="277" spans="1:15" ht="19.5" customHeight="1">
      <c r="A277" s="305" t="s">
        <v>765</v>
      </c>
      <c r="B277" s="391">
        <v>46083</v>
      </c>
      <c r="C277" s="396">
        <f xml:space="preserve"> VLOOKUP(E277, $A$3:$E$942, 2, FALSE)</f>
        <v>46083</v>
      </c>
      <c r="D277" s="36" t="s">
        <v>992</v>
      </c>
      <c r="E277" s="11" t="s">
        <v>432</v>
      </c>
      <c r="F277" s="36" t="s">
        <v>230</v>
      </c>
      <c r="I277" s="36" t="s">
        <v>370</v>
      </c>
      <c r="J277" s="36" t="s">
        <v>1080</v>
      </c>
      <c r="K277" s="277">
        <v>45994</v>
      </c>
      <c r="L277" s="146" t="s">
        <v>1081</v>
      </c>
      <c r="N277" s="59"/>
      <c r="O277" s="59"/>
    </row>
    <row r="278" spans="1:15" ht="19.5" customHeight="1">
      <c r="A278" s="305" t="s">
        <v>1082</v>
      </c>
      <c r="B278" s="391">
        <v>46076</v>
      </c>
      <c r="C278" s="396">
        <f xml:space="preserve"> VLOOKUP(E278, $A$3:$E$942, 2, FALSE)</f>
        <v>46090</v>
      </c>
      <c r="D278" s="36" t="s">
        <v>992</v>
      </c>
      <c r="E278" s="11" t="s">
        <v>60</v>
      </c>
      <c r="F278" s="36" t="s">
        <v>230</v>
      </c>
      <c r="H278" s="36" t="s">
        <v>1083</v>
      </c>
      <c r="I278" s="36" t="s">
        <v>341</v>
      </c>
      <c r="J278" s="36" t="s">
        <v>1084</v>
      </c>
      <c r="K278" s="276">
        <v>45987</v>
      </c>
      <c r="L278" s="146" t="s">
        <v>1085</v>
      </c>
      <c r="N278" s="59"/>
      <c r="O278" s="59"/>
    </row>
    <row r="279" spans="1:15" ht="19.5" customHeight="1">
      <c r="A279" s="305" t="s">
        <v>698</v>
      </c>
      <c r="B279" s="391">
        <v>46083</v>
      </c>
      <c r="C279" s="396">
        <f xml:space="preserve"> VLOOKUP(E279, $A$3:$E$942, 2, FALSE)</f>
        <v>46086</v>
      </c>
      <c r="D279" s="36" t="s">
        <v>992</v>
      </c>
      <c r="E279" s="11" t="s">
        <v>480</v>
      </c>
      <c r="F279" s="36" t="s">
        <v>100</v>
      </c>
      <c r="G279" s="36" t="s">
        <v>45</v>
      </c>
      <c r="I279" s="36" t="s">
        <v>1086</v>
      </c>
      <c r="J279" s="36" t="s">
        <v>1087</v>
      </c>
      <c r="K279" s="277">
        <v>46002</v>
      </c>
      <c r="L279" s="146" t="s">
        <v>1061</v>
      </c>
      <c r="N279" s="59"/>
      <c r="O279" s="59"/>
    </row>
    <row r="280" spans="1:15" ht="19.5" customHeight="1">
      <c r="A280" s="305" t="s">
        <v>1088</v>
      </c>
      <c r="B280" s="391">
        <v>46100</v>
      </c>
      <c r="C280" s="396">
        <f xml:space="preserve"> VLOOKUP(E280, $A$3:$E$942, 2, FALSE)</f>
        <v>46090</v>
      </c>
      <c r="D280" s="36" t="s">
        <v>992</v>
      </c>
      <c r="E280" s="11" t="s">
        <v>451</v>
      </c>
      <c r="F280" s="36" t="s">
        <v>230</v>
      </c>
      <c r="I280" s="36" t="s">
        <v>1089</v>
      </c>
      <c r="J280" s="36" t="s">
        <v>1090</v>
      </c>
      <c r="K280" s="277">
        <v>46010</v>
      </c>
      <c r="L280" s="146" t="s">
        <v>1015</v>
      </c>
      <c r="N280" s="59"/>
      <c r="O280" s="59"/>
    </row>
    <row r="281" spans="1:15" ht="19.5" customHeight="1">
      <c r="A281" s="305" t="s">
        <v>1091</v>
      </c>
      <c r="B281" s="391">
        <v>46083</v>
      </c>
      <c r="C281" s="396">
        <f xml:space="preserve"> VLOOKUP(E281, $A$3:$E$942, 2, FALSE)</f>
        <v>46122</v>
      </c>
      <c r="D281" s="36" t="s">
        <v>992</v>
      </c>
      <c r="E281" s="11" t="s">
        <v>418</v>
      </c>
      <c r="F281" s="36" t="s">
        <v>44</v>
      </c>
      <c r="G281" s="36" t="s">
        <v>45</v>
      </c>
      <c r="I281" s="36" t="s">
        <v>1092</v>
      </c>
      <c r="J281" s="36" t="s">
        <v>1093</v>
      </c>
      <c r="K281" s="277">
        <v>45994</v>
      </c>
      <c r="L281" s="146" t="s">
        <v>1094</v>
      </c>
      <c r="N281" s="59"/>
      <c r="O281" s="59"/>
    </row>
    <row r="282" spans="1:15" ht="19.5" customHeight="1">
      <c r="A282" s="305" t="s">
        <v>772</v>
      </c>
      <c r="B282" s="391">
        <v>46083</v>
      </c>
      <c r="C282" s="396">
        <f xml:space="preserve"> VLOOKUP(E282, $A$3:$E$942, 2, FALSE)</f>
        <v>46076</v>
      </c>
      <c r="D282" s="36" t="s">
        <v>992</v>
      </c>
      <c r="E282" s="11" t="s">
        <v>285</v>
      </c>
      <c r="F282" s="36" t="s">
        <v>86</v>
      </c>
      <c r="I282" s="36" t="s">
        <v>127</v>
      </c>
      <c r="J282" s="36" t="s">
        <v>998</v>
      </c>
      <c r="K282" s="277">
        <v>45937</v>
      </c>
      <c r="N282" s="59"/>
      <c r="O282" s="59"/>
    </row>
    <row r="283" spans="1:15" ht="19.5" customHeight="1">
      <c r="A283" s="305" t="s">
        <v>1095</v>
      </c>
      <c r="B283" s="391">
        <v>46111</v>
      </c>
      <c r="C283" s="396">
        <f xml:space="preserve"> VLOOKUP(E283, $A$3:$E$942, 2, FALSE)</f>
        <v>46078</v>
      </c>
      <c r="D283" s="36" t="s">
        <v>992</v>
      </c>
      <c r="E283" s="11" t="s">
        <v>410</v>
      </c>
      <c r="F283" s="36">
        <v>72</v>
      </c>
      <c r="H283" s="36" t="s">
        <v>1096</v>
      </c>
      <c r="I283" s="36" t="s">
        <v>1097</v>
      </c>
      <c r="J283" s="36" t="s">
        <v>1098</v>
      </c>
      <c r="K283" s="276">
        <v>46003</v>
      </c>
      <c r="L283" s="280" t="s">
        <v>1099</v>
      </c>
      <c r="M283" s="36" t="s">
        <v>1100</v>
      </c>
      <c r="N283" s="59"/>
      <c r="O283" s="59"/>
    </row>
    <row r="284" spans="1:15" ht="19.5" customHeight="1">
      <c r="A284" s="305" t="s">
        <v>1101</v>
      </c>
      <c r="B284" s="391">
        <v>46084</v>
      </c>
      <c r="C284" s="396">
        <f xml:space="preserve"> VLOOKUP(E284, $A$3:$E$942, 2, FALSE)</f>
        <v>46097</v>
      </c>
      <c r="D284" s="36" t="s">
        <v>992</v>
      </c>
      <c r="E284" s="11" t="s">
        <v>489</v>
      </c>
      <c r="F284" s="36" t="s">
        <v>44</v>
      </c>
      <c r="G284" s="36" t="s">
        <v>45</v>
      </c>
      <c r="I284" s="36" t="s">
        <v>299</v>
      </c>
      <c r="J284" s="36" t="s">
        <v>300</v>
      </c>
      <c r="K284" s="276" t="s">
        <v>1102</v>
      </c>
      <c r="L284" s="146" t="s">
        <v>922</v>
      </c>
      <c r="N284" s="59"/>
      <c r="O284" s="59"/>
    </row>
    <row r="285" spans="1:15" ht="19.5" customHeight="1">
      <c r="A285" s="305" t="s">
        <v>1103</v>
      </c>
      <c r="B285" s="391">
        <v>46092</v>
      </c>
      <c r="C285" s="396">
        <f xml:space="preserve"> VLOOKUP(E285, $A$3:$E$942, 2, FALSE)</f>
        <v>46286</v>
      </c>
      <c r="D285" s="36" t="s">
        <v>992</v>
      </c>
      <c r="E285" s="11" t="s">
        <v>50</v>
      </c>
      <c r="F285" s="36" t="s">
        <v>100</v>
      </c>
      <c r="G285" s="36" t="s">
        <v>45</v>
      </c>
      <c r="I285" s="36" t="s">
        <v>154</v>
      </c>
      <c r="J285" s="36" t="s">
        <v>1104</v>
      </c>
      <c r="K285" s="277" t="s">
        <v>1102</v>
      </c>
      <c r="L285" s="146" t="s">
        <v>1105</v>
      </c>
      <c r="N285" s="59"/>
      <c r="O285" s="59"/>
    </row>
    <row r="286" spans="1:15" ht="19.5" customHeight="1">
      <c r="A286" s="305" t="s">
        <v>1106</v>
      </c>
      <c r="B286" s="391">
        <v>46083</v>
      </c>
      <c r="C286" s="396">
        <f xml:space="preserve"> VLOOKUP(E286, $A$3:$E$942, 2, FALSE)</f>
        <v>46286</v>
      </c>
      <c r="D286" s="36" t="s">
        <v>992</v>
      </c>
      <c r="E286" s="11" t="s">
        <v>64</v>
      </c>
      <c r="F286" s="36" t="s">
        <v>106</v>
      </c>
      <c r="G286" s="36" t="s">
        <v>45</v>
      </c>
      <c r="I286" s="36" t="s">
        <v>154</v>
      </c>
      <c r="J286" s="36" t="s">
        <v>1104</v>
      </c>
      <c r="K286" s="277" t="s">
        <v>1102</v>
      </c>
      <c r="L286" s="146" t="s">
        <v>1105</v>
      </c>
      <c r="N286" s="59"/>
      <c r="O286" s="59"/>
    </row>
    <row r="287" spans="1:15" ht="19.5" customHeight="1">
      <c r="A287" s="305" t="s">
        <v>1107</v>
      </c>
      <c r="B287" s="391">
        <v>46090</v>
      </c>
      <c r="C287" s="396">
        <f xml:space="preserve"> VLOOKUP(E287, $A$3:$E$942, 2, FALSE)</f>
        <v>46079</v>
      </c>
      <c r="D287" s="36" t="s">
        <v>992</v>
      </c>
      <c r="E287" s="36" t="s">
        <v>264</v>
      </c>
      <c r="F287" s="36">
        <v>72</v>
      </c>
      <c r="I287" s="160" t="s">
        <v>158</v>
      </c>
      <c r="J287" s="36" t="s">
        <v>1108</v>
      </c>
      <c r="K287" s="276" t="s">
        <v>1109</v>
      </c>
      <c r="L287" s="146" t="s">
        <v>1110</v>
      </c>
      <c r="N287" s="59"/>
      <c r="O287" s="59"/>
    </row>
    <row r="288" spans="1:15" ht="19.5" customHeight="1">
      <c r="A288" s="305" t="s">
        <v>1111</v>
      </c>
      <c r="B288" s="391">
        <v>46090</v>
      </c>
      <c r="C288" s="396">
        <f xml:space="preserve"> VLOOKUP(E288, $A$3:$E$942, 2, FALSE)</f>
        <v>46106</v>
      </c>
      <c r="D288" s="36" t="s">
        <v>992</v>
      </c>
      <c r="E288" s="11" t="s">
        <v>596</v>
      </c>
      <c r="F288" s="36" t="s">
        <v>44</v>
      </c>
      <c r="G288" s="36" t="s">
        <v>45</v>
      </c>
      <c r="I288" s="36" t="s">
        <v>1112</v>
      </c>
      <c r="J288" s="36" t="s">
        <v>1113</v>
      </c>
      <c r="K288" s="277"/>
      <c r="M288" s="29"/>
      <c r="N288" s="59"/>
      <c r="O288" s="59"/>
    </row>
    <row r="289" spans="1:15" ht="19.5" customHeight="1">
      <c r="A289" s="305" t="s">
        <v>1114</v>
      </c>
      <c r="B289" s="391">
        <v>46083</v>
      </c>
      <c r="C289" s="396">
        <f xml:space="preserve"> VLOOKUP(E289, $A$3:$E$942, 2, FALSE)</f>
        <v>46099</v>
      </c>
      <c r="D289" s="36" t="s">
        <v>992</v>
      </c>
      <c r="E289" s="11" t="s">
        <v>521</v>
      </c>
      <c r="F289" s="36" t="s">
        <v>396</v>
      </c>
      <c r="I289" s="36" t="s">
        <v>1092</v>
      </c>
      <c r="J289" s="36" t="s">
        <v>1115</v>
      </c>
      <c r="K289" s="277">
        <v>46030</v>
      </c>
      <c r="L289" s="146" t="s">
        <v>1116</v>
      </c>
      <c r="N289" s="59"/>
      <c r="O289" s="59"/>
    </row>
    <row r="290" spans="1:15" ht="19.5" customHeight="1">
      <c r="A290" s="305" t="s">
        <v>1117</v>
      </c>
      <c r="B290" s="391">
        <v>46083</v>
      </c>
      <c r="C290" s="396">
        <f xml:space="preserve"> VLOOKUP(E290, $A$3:$E$942, 2, FALSE)</f>
        <v>46398</v>
      </c>
      <c r="D290" s="36" t="s">
        <v>992</v>
      </c>
      <c r="E290" s="11" t="s">
        <v>485</v>
      </c>
      <c r="F290" s="36" t="s">
        <v>106</v>
      </c>
      <c r="G290" s="36" t="s">
        <v>45</v>
      </c>
      <c r="I290" s="36" t="s">
        <v>154</v>
      </c>
      <c r="J290" s="36" t="s">
        <v>1054</v>
      </c>
      <c r="K290" s="277" t="s">
        <v>1102</v>
      </c>
      <c r="L290" s="146" t="s">
        <v>1118</v>
      </c>
      <c r="N290" s="59"/>
      <c r="O290" s="59"/>
    </row>
    <row r="291" spans="1:15" ht="19.5" customHeight="1">
      <c r="A291" s="305" t="s">
        <v>1119</v>
      </c>
      <c r="B291" s="391">
        <v>46079</v>
      </c>
      <c r="C291" s="396">
        <f xml:space="preserve"> VLOOKUP(E291, $A$3:$E$942, 2, FALSE)</f>
        <v>46125</v>
      </c>
      <c r="D291" s="36" t="s">
        <v>992</v>
      </c>
      <c r="E291" s="11" t="s">
        <v>566</v>
      </c>
      <c r="F291" s="36" t="s">
        <v>230</v>
      </c>
      <c r="H291" s="30">
        <v>45753</v>
      </c>
      <c r="I291" s="36" t="s">
        <v>1120</v>
      </c>
      <c r="J291" s="36" t="s">
        <v>1121</v>
      </c>
      <c r="K291" s="277">
        <v>46036</v>
      </c>
      <c r="L291" s="146" t="s">
        <v>1122</v>
      </c>
      <c r="N291" s="59"/>
      <c r="O291" s="59"/>
    </row>
    <row r="292" spans="1:15" ht="19.5" customHeight="1">
      <c r="A292" s="305" t="s">
        <v>1123</v>
      </c>
      <c r="B292" s="391">
        <v>46087</v>
      </c>
      <c r="C292" s="396">
        <f xml:space="preserve"> VLOOKUP(E292, $A$3:$E$942, 2, FALSE)</f>
        <v>46106</v>
      </c>
      <c r="D292" s="36" t="s">
        <v>992</v>
      </c>
      <c r="E292" s="36" t="s">
        <v>664</v>
      </c>
      <c r="F292" s="36" t="s">
        <v>523</v>
      </c>
      <c r="I292" s="36" t="s">
        <v>278</v>
      </c>
      <c r="J292" s="36" t="s">
        <v>1124</v>
      </c>
      <c r="N292" s="59"/>
      <c r="O292" s="59"/>
    </row>
    <row r="293" spans="1:15" ht="19.5" customHeight="1">
      <c r="A293" s="305" t="s">
        <v>1125</v>
      </c>
      <c r="B293" s="391">
        <v>46090</v>
      </c>
      <c r="C293" s="396">
        <f xml:space="preserve"> VLOOKUP(E293, $A$3:$E$942, 2, FALSE)</f>
        <v>46106</v>
      </c>
      <c r="D293" s="36" t="s">
        <v>992</v>
      </c>
      <c r="E293" s="36" t="s">
        <v>668</v>
      </c>
      <c r="F293" s="36" t="s">
        <v>517</v>
      </c>
      <c r="I293" s="36" t="s">
        <v>278</v>
      </c>
      <c r="J293" s="36" t="s">
        <v>1124</v>
      </c>
      <c r="N293" s="59"/>
      <c r="O293" s="59"/>
    </row>
    <row r="294" spans="1:15" ht="19.5" customHeight="1">
      <c r="A294" s="305" t="s">
        <v>1126</v>
      </c>
      <c r="B294" s="391">
        <v>46086</v>
      </c>
      <c r="C294" s="396">
        <f xml:space="preserve"> VLOOKUP(E294, $A$3:$E$942, 2, FALSE)</f>
        <v>46111</v>
      </c>
      <c r="D294" s="36" t="s">
        <v>992</v>
      </c>
      <c r="E294" s="11" t="s">
        <v>620</v>
      </c>
      <c r="F294" s="36">
        <v>72</v>
      </c>
      <c r="G294" s="36" t="s">
        <v>45</v>
      </c>
      <c r="H294" s="36" t="s">
        <v>1127</v>
      </c>
      <c r="I294" s="36" t="s">
        <v>123</v>
      </c>
      <c r="J294" s="36" t="s">
        <v>1128</v>
      </c>
      <c r="K294" s="277">
        <v>46043</v>
      </c>
      <c r="L294" s="275" t="s">
        <v>1129</v>
      </c>
      <c r="N294" s="59"/>
      <c r="O294" s="59"/>
    </row>
    <row r="295" spans="1:15" ht="19.5" customHeight="1">
      <c r="A295" s="305" t="s">
        <v>1130</v>
      </c>
      <c r="B295" s="391">
        <v>46078</v>
      </c>
      <c r="C295" s="396">
        <f xml:space="preserve"> VLOOKUP(E295, $A$3:$E$942, 2, FALSE)</f>
        <v>46111</v>
      </c>
      <c r="D295" s="36" t="s">
        <v>992</v>
      </c>
      <c r="E295" s="11" t="s">
        <v>474</v>
      </c>
      <c r="F295" s="36" t="s">
        <v>396</v>
      </c>
      <c r="I295" s="36" t="s">
        <v>278</v>
      </c>
      <c r="J295" s="36" t="s">
        <v>1131</v>
      </c>
      <c r="K295" s="277">
        <v>46037</v>
      </c>
      <c r="L295" s="275" t="s">
        <v>1132</v>
      </c>
      <c r="M295" s="29"/>
      <c r="N295" s="59"/>
      <c r="O295" s="59"/>
    </row>
    <row r="296" spans="1:15" ht="19.5" customHeight="1">
      <c r="A296" s="305"/>
      <c r="B296" s="391"/>
      <c r="C296" s="396">
        <f xml:space="preserve"> VLOOKUP(E296, $A$3:$E$942, 2, FALSE)</f>
        <v>46087</v>
      </c>
      <c r="D296" s="36" t="s">
        <v>992</v>
      </c>
      <c r="E296" s="11" t="s">
        <v>658</v>
      </c>
      <c r="F296" s="36">
        <v>72</v>
      </c>
      <c r="I296" s="36" t="s">
        <v>814</v>
      </c>
      <c r="J296" s="36" t="s">
        <v>1133</v>
      </c>
      <c r="K296" s="277">
        <v>46051</v>
      </c>
      <c r="L296" s="275"/>
      <c r="M296" s="36">
        <v>565784691</v>
      </c>
      <c r="N296" s="59"/>
      <c r="O296" s="59"/>
    </row>
    <row r="297" spans="1:15" ht="19.5" customHeight="1">
      <c r="A297" s="305"/>
      <c r="B297" s="391"/>
      <c r="C297" s="396">
        <f xml:space="preserve"> VLOOKUP(E297, $A$3:$E$942, 2, FALSE)</f>
        <v>46112</v>
      </c>
      <c r="D297" s="36" t="s">
        <v>992</v>
      </c>
      <c r="E297" s="11" t="s">
        <v>643</v>
      </c>
      <c r="F297" s="36">
        <v>72</v>
      </c>
      <c r="G297" s="36" t="s">
        <v>45</v>
      </c>
      <c r="H297" s="36" t="s">
        <v>1134</v>
      </c>
      <c r="I297" s="36" t="s">
        <v>681</v>
      </c>
      <c r="J297" s="36" t="s">
        <v>1135</v>
      </c>
      <c r="K297" s="277">
        <v>46045</v>
      </c>
      <c r="L297" s="275"/>
      <c r="N297" s="59"/>
      <c r="O297" s="59"/>
    </row>
    <row r="298" spans="1:15" ht="19.5" customHeight="1">
      <c r="A298" s="305"/>
      <c r="B298" s="391"/>
      <c r="C298" s="396">
        <f xml:space="preserve"> VLOOKUP(E298, $A$3:$E$942, 2, FALSE)</f>
        <v>46079</v>
      </c>
      <c r="D298" s="36" t="s">
        <v>992</v>
      </c>
      <c r="E298" s="36" t="s">
        <v>228</v>
      </c>
      <c r="F298" s="36" t="s">
        <v>230</v>
      </c>
      <c r="H298" s="36" t="s">
        <v>1136</v>
      </c>
      <c r="I298" s="36" t="s">
        <v>370</v>
      </c>
      <c r="J298" s="36" t="s">
        <v>1137</v>
      </c>
      <c r="K298" s="277">
        <v>46037</v>
      </c>
      <c r="L298" s="146" t="s">
        <v>343</v>
      </c>
      <c r="N298" s="59"/>
      <c r="O298" s="59"/>
    </row>
    <row r="299" spans="1:15" ht="19.5" customHeight="1">
      <c r="A299" s="305"/>
      <c r="B299" s="391"/>
      <c r="C299" s="396">
        <f xml:space="preserve"> VLOOKUP(E299, $A$3:$E$942, 2, FALSE)</f>
        <v>46083</v>
      </c>
      <c r="D299" s="36" t="s">
        <v>992</v>
      </c>
      <c r="E299" s="11" t="s">
        <v>671</v>
      </c>
      <c r="F299" s="36" t="s">
        <v>57</v>
      </c>
      <c r="H299" s="36" t="s">
        <v>1138</v>
      </c>
      <c r="I299" s="36" t="s">
        <v>1139</v>
      </c>
      <c r="J299" s="36" t="s">
        <v>1140</v>
      </c>
      <c r="K299" s="277">
        <v>46057</v>
      </c>
      <c r="L299" s="298" t="s">
        <v>1141</v>
      </c>
      <c r="M299" s="36">
        <v>785688655</v>
      </c>
      <c r="N299" s="59"/>
      <c r="O299" s="59"/>
    </row>
    <row r="300" spans="1:15" ht="19.5" customHeight="1">
      <c r="A300" s="305"/>
      <c r="B300" s="391"/>
      <c r="C300" s="396">
        <f xml:space="preserve"> VLOOKUP(E300, $A$3:$E$942, 2, FALSE)</f>
        <v>46097</v>
      </c>
      <c r="D300" s="36" t="s">
        <v>992</v>
      </c>
      <c r="E300" s="11" t="s">
        <v>674</v>
      </c>
      <c r="F300" s="36" t="s">
        <v>66</v>
      </c>
      <c r="I300" s="36" t="s">
        <v>1142</v>
      </c>
      <c r="J300" s="36" t="s">
        <v>1143</v>
      </c>
      <c r="K300" s="277">
        <v>46051</v>
      </c>
      <c r="L300" s="146" t="s">
        <v>1144</v>
      </c>
      <c r="N300" s="59"/>
      <c r="O300" s="59"/>
    </row>
    <row r="301" spans="1:15" ht="19.5" customHeight="1">
      <c r="A301" s="305"/>
      <c r="B301" s="391"/>
      <c r="C301" s="396">
        <f xml:space="preserve"> VLOOKUP(E301, $A$3:$E$942, 2, FALSE)</f>
        <v>46086</v>
      </c>
      <c r="D301" s="36" t="s">
        <v>992</v>
      </c>
      <c r="E301" s="11" t="s">
        <v>697</v>
      </c>
      <c r="F301" s="36" t="s">
        <v>396</v>
      </c>
      <c r="G301" s="36" t="s">
        <v>141</v>
      </c>
      <c r="H301" s="36" t="s">
        <v>1145</v>
      </c>
      <c r="I301" s="36" t="s">
        <v>154</v>
      </c>
      <c r="J301" s="36" t="s">
        <v>1146</v>
      </c>
      <c r="K301" s="277">
        <v>46059</v>
      </c>
      <c r="L301" s="146" t="s">
        <v>1147</v>
      </c>
      <c r="N301" s="59"/>
      <c r="O301" s="59"/>
    </row>
    <row r="302" spans="1:15" ht="19.5" customHeight="1">
      <c r="A302" s="57"/>
      <c r="B302" s="58"/>
      <c r="C302" s="396">
        <f xml:space="preserve"> VLOOKUP(E302, $A$3:$E$942, 2, FALSE)</f>
        <v>46073</v>
      </c>
      <c r="D302" s="57" t="s">
        <v>992</v>
      </c>
      <c r="E302" s="250" t="s">
        <v>1058</v>
      </c>
      <c r="F302" s="57" t="s">
        <v>396</v>
      </c>
      <c r="G302" s="57"/>
      <c r="H302" s="57"/>
      <c r="I302" s="57" t="s">
        <v>1148</v>
      </c>
      <c r="J302" s="57" t="s">
        <v>1149</v>
      </c>
      <c r="K302" s="152">
        <v>46038</v>
      </c>
      <c r="L302" s="145" t="s">
        <v>1150</v>
      </c>
      <c r="M302" s="57"/>
      <c r="N302" s="59"/>
      <c r="O302" s="59"/>
    </row>
    <row r="303" spans="1:15" ht="19.5" customHeight="1">
      <c r="A303" s="57"/>
      <c r="B303" s="58"/>
      <c r="C303" s="396">
        <f xml:space="preserve"> VLOOKUP(E303, $A$3:$E$942, 2, FALSE)</f>
        <v>46146</v>
      </c>
      <c r="D303" s="57" t="s">
        <v>992</v>
      </c>
      <c r="E303" s="250" t="s">
        <v>1022</v>
      </c>
      <c r="F303" s="57" t="s">
        <v>396</v>
      </c>
      <c r="G303" s="57"/>
      <c r="H303" s="57"/>
      <c r="I303" s="57" t="s">
        <v>609</v>
      </c>
      <c r="J303" s="57" t="s">
        <v>1151</v>
      </c>
      <c r="K303" s="152">
        <v>45996</v>
      </c>
      <c r="L303" s="145" t="s">
        <v>1152</v>
      </c>
      <c r="M303" s="57"/>
      <c r="N303" s="59"/>
      <c r="O303" s="59"/>
    </row>
    <row r="304" spans="1:15" ht="19.5" customHeight="1">
      <c r="A304" s="57"/>
      <c r="B304" s="58"/>
      <c r="C304" s="396">
        <f xml:space="preserve"> VLOOKUP(E304, $A$3:$E$942, 2, FALSE)</f>
        <v>46078</v>
      </c>
      <c r="D304" s="57" t="s">
        <v>992</v>
      </c>
      <c r="E304" s="250" t="s">
        <v>997</v>
      </c>
      <c r="F304" s="57" t="s">
        <v>44</v>
      </c>
      <c r="G304" s="57" t="s">
        <v>45</v>
      </c>
      <c r="H304" s="57"/>
      <c r="I304" s="57" t="s">
        <v>531</v>
      </c>
      <c r="J304" s="57" t="s">
        <v>1153</v>
      </c>
      <c r="K304" s="152"/>
      <c r="L304" s="145"/>
      <c r="M304" s="57"/>
      <c r="N304" s="59"/>
      <c r="O304" s="59"/>
    </row>
    <row r="305" spans="1:15" ht="19.5" customHeight="1">
      <c r="A305" s="57"/>
      <c r="B305" s="58"/>
      <c r="C305" s="396">
        <f xml:space="preserve"> VLOOKUP(E305, $A$3:$E$942, 2, FALSE)</f>
        <v>46083</v>
      </c>
      <c r="D305" s="45" t="s">
        <v>992</v>
      </c>
      <c r="E305" s="11" t="s">
        <v>966</v>
      </c>
      <c r="F305" s="57" t="s">
        <v>44</v>
      </c>
      <c r="G305" s="57" t="s">
        <v>45</v>
      </c>
      <c r="H305" s="57"/>
      <c r="I305" s="57" t="s">
        <v>1154</v>
      </c>
      <c r="J305" s="57" t="s">
        <v>540</v>
      </c>
      <c r="K305" s="152"/>
      <c r="L305" s="145" t="s">
        <v>1155</v>
      </c>
      <c r="M305" s="57"/>
      <c r="N305" s="59"/>
      <c r="O305" s="59"/>
    </row>
    <row r="306" spans="1:15" ht="19.5" customHeight="1">
      <c r="A306" s="57"/>
      <c r="B306" s="58"/>
      <c r="C306" s="396">
        <f xml:space="preserve"> VLOOKUP(E306, $A$3:$E$942, 2, FALSE)</f>
        <v>46078</v>
      </c>
      <c r="D306" s="45" t="s">
        <v>992</v>
      </c>
      <c r="E306" s="11" t="s">
        <v>952</v>
      </c>
      <c r="F306" s="57" t="s">
        <v>523</v>
      </c>
      <c r="G306" s="57"/>
      <c r="H306" s="57" t="s">
        <v>1156</v>
      </c>
      <c r="I306" s="57" t="s">
        <v>934</v>
      </c>
      <c r="J306" s="57" t="s">
        <v>893</v>
      </c>
      <c r="K306" s="152">
        <v>46000</v>
      </c>
      <c r="L306" s="145" t="s">
        <v>343</v>
      </c>
      <c r="M306" s="57"/>
      <c r="N306" s="59"/>
      <c r="O306" s="59"/>
    </row>
    <row r="307" spans="1:15" ht="19.5" customHeight="1">
      <c r="A307" s="57"/>
      <c r="B307" s="58"/>
      <c r="C307" s="396">
        <f xml:space="preserve"> VLOOKUP(E307, $A$3:$E$942, 2, FALSE)</f>
        <v>46079</v>
      </c>
      <c r="D307" s="45" t="s">
        <v>992</v>
      </c>
      <c r="E307" s="151" t="s">
        <v>945</v>
      </c>
      <c r="F307" s="57" t="s">
        <v>523</v>
      </c>
      <c r="G307" s="57"/>
      <c r="H307" s="57"/>
      <c r="I307" s="57" t="s">
        <v>1157</v>
      </c>
      <c r="J307" s="57" t="s">
        <v>1158</v>
      </c>
      <c r="K307" s="152"/>
      <c r="L307" s="145"/>
      <c r="M307" s="57"/>
      <c r="N307" s="59"/>
      <c r="O307" s="59"/>
    </row>
    <row r="308" spans="1:15" ht="19.5" customHeight="1">
      <c r="A308" s="57"/>
      <c r="B308" s="58"/>
      <c r="C308" s="396">
        <f xml:space="preserve"> VLOOKUP(E308, $A$3:$E$942, 2, FALSE)</f>
        <v>46083</v>
      </c>
      <c r="D308" s="45" t="s">
        <v>992</v>
      </c>
      <c r="E308" s="151" t="s">
        <v>938</v>
      </c>
      <c r="F308" s="57">
        <v>72</v>
      </c>
      <c r="G308" s="57" t="s">
        <v>45</v>
      </c>
      <c r="H308" s="57"/>
      <c r="I308" s="57" t="s">
        <v>708</v>
      </c>
      <c r="J308" s="57" t="s">
        <v>519</v>
      </c>
      <c r="K308" s="152">
        <v>45911</v>
      </c>
      <c r="L308" s="145" t="s">
        <v>1159</v>
      </c>
      <c r="M308" s="57"/>
      <c r="N308" s="59"/>
      <c r="O308" s="59"/>
    </row>
    <row r="309" spans="1:15" ht="19.5" customHeight="1">
      <c r="A309" s="57"/>
      <c r="B309" s="58"/>
      <c r="C309" s="396">
        <f xml:space="preserve"> VLOOKUP(E309, $A$3:$E$942, 2, FALSE)</f>
        <v>46086</v>
      </c>
      <c r="D309" s="45" t="s">
        <v>992</v>
      </c>
      <c r="E309" s="151" t="s">
        <v>932</v>
      </c>
      <c r="F309" s="57" t="s">
        <v>44</v>
      </c>
      <c r="G309" s="57" t="s">
        <v>45</v>
      </c>
      <c r="H309" s="57"/>
      <c r="I309" s="57" t="s">
        <v>641</v>
      </c>
      <c r="J309" s="57" t="s">
        <v>642</v>
      </c>
      <c r="K309" s="152">
        <v>45866</v>
      </c>
      <c r="L309" s="145" t="s">
        <v>1160</v>
      </c>
      <c r="M309" s="57"/>
      <c r="N309" s="59"/>
      <c r="O309" s="59"/>
    </row>
    <row r="310" spans="1:15" ht="19.5" customHeight="1">
      <c r="A310" s="57"/>
      <c r="B310" s="58"/>
      <c r="C310" s="396">
        <f xml:space="preserve"> VLOOKUP(E310, $A$3:$E$942, 2, FALSE)</f>
        <v>46083</v>
      </c>
      <c r="D310" s="45" t="s">
        <v>992</v>
      </c>
      <c r="E310" s="151" t="s">
        <v>928</v>
      </c>
      <c r="F310" s="57" t="s">
        <v>106</v>
      </c>
      <c r="G310" s="57" t="s">
        <v>45</v>
      </c>
      <c r="H310" s="57"/>
      <c r="I310" s="57" t="s">
        <v>1161</v>
      </c>
      <c r="J310" s="57" t="s">
        <v>1162</v>
      </c>
      <c r="K310" s="152"/>
      <c r="L310" s="145"/>
      <c r="M310" s="57"/>
      <c r="N310" s="59"/>
      <c r="O310" s="59"/>
    </row>
    <row r="311" spans="1:15" ht="19.5" customHeight="1">
      <c r="A311" s="57"/>
      <c r="B311" s="58"/>
      <c r="C311" s="396">
        <f xml:space="preserve"> VLOOKUP(E311, $A$3:$E$942, 2, FALSE)</f>
        <v>46084</v>
      </c>
      <c r="D311" s="45" t="s">
        <v>992</v>
      </c>
      <c r="E311" s="151" t="s">
        <v>913</v>
      </c>
      <c r="F311" s="57" t="s">
        <v>517</v>
      </c>
      <c r="G311" s="57"/>
      <c r="H311" s="57"/>
      <c r="I311" s="57" t="s">
        <v>1163</v>
      </c>
      <c r="J311" s="57" t="s">
        <v>1164</v>
      </c>
      <c r="K311" s="152"/>
      <c r="L311" s="145" t="s">
        <v>502</v>
      </c>
      <c r="M311" s="57"/>
      <c r="N311" s="59"/>
      <c r="O311" s="59"/>
    </row>
    <row r="312" spans="1:15" ht="19.5" customHeight="1">
      <c r="A312" s="57"/>
      <c r="B312" s="58"/>
      <c r="C312" s="396">
        <f xml:space="preserve"> VLOOKUP(E312, $A$3:$E$942, 2, FALSE)</f>
        <v>46078</v>
      </c>
      <c r="D312" s="45" t="s">
        <v>992</v>
      </c>
      <c r="E312" s="151" t="s">
        <v>904</v>
      </c>
      <c r="F312" s="57" t="s">
        <v>517</v>
      </c>
      <c r="G312" s="57"/>
      <c r="H312" s="57"/>
      <c r="I312" s="57" t="s">
        <v>1165</v>
      </c>
      <c r="J312" s="57" t="s">
        <v>1166</v>
      </c>
      <c r="K312" s="152"/>
      <c r="L312" s="145" t="s">
        <v>502</v>
      </c>
      <c r="M312" s="57"/>
      <c r="N312" s="59"/>
      <c r="O312" s="59"/>
    </row>
    <row r="313" spans="1:15" ht="19.5" customHeight="1">
      <c r="A313" s="57"/>
      <c r="B313" s="58"/>
      <c r="C313" s="396">
        <f xml:space="preserve"> VLOOKUP(E313, $A$3:$E$942, 2, FALSE)</f>
        <v>46073</v>
      </c>
      <c r="D313" s="45" t="s">
        <v>992</v>
      </c>
      <c r="E313" s="151" t="s">
        <v>898</v>
      </c>
      <c r="F313" s="57" t="s">
        <v>517</v>
      </c>
      <c r="G313" s="57"/>
      <c r="H313" s="57"/>
      <c r="I313" s="57" t="s">
        <v>559</v>
      </c>
      <c r="J313" s="57" t="s">
        <v>1167</v>
      </c>
      <c r="K313" s="152"/>
      <c r="L313" s="145" t="s">
        <v>502</v>
      </c>
      <c r="M313" s="57"/>
      <c r="N313" s="59"/>
      <c r="O313" s="59"/>
    </row>
    <row r="314" spans="1:15" ht="19.5" customHeight="1">
      <c r="A314" s="57"/>
      <c r="B314" s="58"/>
      <c r="C314" s="396">
        <f xml:space="preserve"> VLOOKUP(E314, $A$3:$E$942, 2, FALSE)</f>
        <v>46083</v>
      </c>
      <c r="D314" s="45" t="s">
        <v>992</v>
      </c>
      <c r="E314" s="151" t="s">
        <v>895</v>
      </c>
      <c r="F314" s="57" t="s">
        <v>100</v>
      </c>
      <c r="G314" s="57" t="s">
        <v>45</v>
      </c>
      <c r="H314" s="57"/>
      <c r="I314" s="57" t="s">
        <v>1161</v>
      </c>
      <c r="J314" s="57" t="s">
        <v>1162</v>
      </c>
      <c r="K314" s="152" t="s">
        <v>1168</v>
      </c>
      <c r="L314" s="145" t="s">
        <v>1169</v>
      </c>
      <c r="M314" s="57"/>
      <c r="N314" s="59"/>
      <c r="O314" s="59"/>
    </row>
    <row r="315" spans="1:15" ht="19.5" customHeight="1">
      <c r="A315" s="57"/>
      <c r="B315" s="58"/>
      <c r="C315" s="396">
        <f xml:space="preserve"> VLOOKUP(E315, $A$3:$E$942, 2, FALSE)</f>
        <v>46080</v>
      </c>
      <c r="D315" s="57" t="s">
        <v>992</v>
      </c>
      <c r="E315" s="151" t="s">
        <v>878</v>
      </c>
      <c r="F315" s="57" t="s">
        <v>100</v>
      </c>
      <c r="G315" s="57" t="s">
        <v>45</v>
      </c>
      <c r="H315" s="57"/>
      <c r="I315" s="57" t="s">
        <v>467</v>
      </c>
      <c r="J315" s="57" t="s">
        <v>1170</v>
      </c>
      <c r="K315" s="152">
        <v>46034</v>
      </c>
      <c r="L315" s="145" t="s">
        <v>881</v>
      </c>
      <c r="M315" s="57"/>
      <c r="N315" s="59"/>
      <c r="O315" s="59"/>
    </row>
    <row r="316" spans="1:15" ht="19.5" customHeight="1">
      <c r="A316" s="57"/>
      <c r="B316" s="58"/>
      <c r="C316" s="396">
        <f xml:space="preserve"> VLOOKUP(E316, $A$3:$E$942, 2, FALSE)</f>
        <v>46127</v>
      </c>
      <c r="D316" s="45" t="s">
        <v>992</v>
      </c>
      <c r="E316" s="151" t="s">
        <v>875</v>
      </c>
      <c r="F316" s="57" t="s">
        <v>100</v>
      </c>
      <c r="G316" s="57" t="s">
        <v>45</v>
      </c>
      <c r="H316" s="57"/>
      <c r="I316" s="57" t="s">
        <v>609</v>
      </c>
      <c r="J316" s="57" t="s">
        <v>1171</v>
      </c>
      <c r="K316" s="152" t="s">
        <v>1172</v>
      </c>
      <c r="L316" s="145" t="s">
        <v>1173</v>
      </c>
      <c r="M316" s="57"/>
      <c r="N316" s="59"/>
      <c r="O316" s="59"/>
    </row>
    <row r="317" spans="1:15" ht="19.5" customHeight="1">
      <c r="A317" s="57"/>
      <c r="B317" s="58"/>
      <c r="C317" s="396">
        <f xml:space="preserve"> VLOOKUP(E317, $A$3:$E$942, 2, FALSE)</f>
        <v>46086</v>
      </c>
      <c r="D317" s="45" t="s">
        <v>992</v>
      </c>
      <c r="E317" s="11" t="s">
        <v>855</v>
      </c>
      <c r="F317" s="57" t="s">
        <v>100</v>
      </c>
      <c r="G317" s="57" t="s">
        <v>45</v>
      </c>
      <c r="H317" s="57"/>
      <c r="I317" s="57" t="s">
        <v>641</v>
      </c>
      <c r="J317" s="57" t="s">
        <v>1174</v>
      </c>
      <c r="K317" s="152">
        <v>46007</v>
      </c>
      <c r="L317" s="145" t="s">
        <v>1175</v>
      </c>
      <c r="M317" s="57"/>
      <c r="N317" s="59"/>
      <c r="O317" s="59"/>
    </row>
    <row r="318" spans="1:15" ht="19.5" customHeight="1">
      <c r="A318" s="57"/>
      <c r="B318" s="58"/>
      <c r="C318" s="396">
        <f xml:space="preserve"> VLOOKUP(E318, $A$3:$E$942, 2, FALSE)</f>
        <v>46086</v>
      </c>
      <c r="D318" s="45" t="s">
        <v>992</v>
      </c>
      <c r="E318" s="11" t="s">
        <v>852</v>
      </c>
      <c r="F318" s="57" t="s">
        <v>100</v>
      </c>
      <c r="G318" s="57" t="s">
        <v>45</v>
      </c>
      <c r="H318" s="57"/>
      <c r="I318" s="57" t="s">
        <v>531</v>
      </c>
      <c r="J318" s="57" t="s">
        <v>1176</v>
      </c>
      <c r="K318" s="152" t="s">
        <v>1177</v>
      </c>
      <c r="L318" s="145" t="s">
        <v>1178</v>
      </c>
      <c r="M318" s="57">
        <v>466473331</v>
      </c>
      <c r="N318" s="59"/>
      <c r="O318" s="59"/>
    </row>
    <row r="319" spans="1:15" ht="19.5" customHeight="1">
      <c r="A319" s="57"/>
      <c r="B319" s="58"/>
      <c r="C319" s="396">
        <f xml:space="preserve"> VLOOKUP(E319, $A$3:$E$942, 2, FALSE)</f>
        <v>46087</v>
      </c>
      <c r="D319" s="45" t="s">
        <v>992</v>
      </c>
      <c r="E319" s="151" t="s">
        <v>838</v>
      </c>
      <c r="F319" s="57" t="s">
        <v>820</v>
      </c>
      <c r="G319" s="57"/>
      <c r="H319" s="57"/>
      <c r="I319" s="57" t="s">
        <v>1179</v>
      </c>
      <c r="J319" s="57" t="s">
        <v>1180</v>
      </c>
      <c r="K319" s="152"/>
      <c r="L319" s="145"/>
      <c r="M319" s="57"/>
      <c r="N319" s="59"/>
      <c r="O319" s="59"/>
    </row>
    <row r="320" spans="1:15" ht="19.5" customHeight="1">
      <c r="A320" s="57"/>
      <c r="B320" s="58"/>
      <c r="C320" s="396">
        <f xml:space="preserve"> VLOOKUP(E320, $A$3:$E$942, 2, FALSE)</f>
        <v>46078</v>
      </c>
      <c r="D320" s="45" t="s">
        <v>992</v>
      </c>
      <c r="E320" s="151" t="s">
        <v>802</v>
      </c>
      <c r="F320" s="57" t="s">
        <v>517</v>
      </c>
      <c r="G320" s="57"/>
      <c r="H320" s="57"/>
      <c r="I320" s="57" t="s">
        <v>641</v>
      </c>
      <c r="J320" s="57" t="s">
        <v>1181</v>
      </c>
      <c r="K320" s="152"/>
      <c r="L320" s="145"/>
      <c r="M320" s="57"/>
      <c r="N320" s="59"/>
      <c r="O320" s="59"/>
    </row>
    <row r="321" spans="1:15" ht="19.5" customHeight="1">
      <c r="A321" s="57"/>
      <c r="B321" s="58"/>
      <c r="C321" s="396">
        <f xml:space="preserve"> VLOOKUP(E321, $A$3:$E$942, 2, FALSE)</f>
        <v>46073</v>
      </c>
      <c r="D321" s="45" t="s">
        <v>992</v>
      </c>
      <c r="E321" s="151" t="s">
        <v>800</v>
      </c>
      <c r="F321" s="57" t="s">
        <v>517</v>
      </c>
      <c r="G321" s="57"/>
      <c r="H321" s="57"/>
      <c r="I321" s="57" t="s">
        <v>1182</v>
      </c>
      <c r="J321" s="57" t="s">
        <v>1183</v>
      </c>
      <c r="K321" s="152"/>
      <c r="L321" s="145"/>
      <c r="M321" s="57"/>
      <c r="N321" s="59"/>
      <c r="O321" s="59"/>
    </row>
    <row r="322" spans="1:15" ht="19.5" customHeight="1">
      <c r="A322" s="57"/>
      <c r="B322" s="58"/>
      <c r="C322" s="396">
        <f xml:space="preserve"> VLOOKUP(E322, $A$3:$E$942, 2, FALSE)</f>
        <v>46111</v>
      </c>
      <c r="D322" s="45" t="s">
        <v>992</v>
      </c>
      <c r="E322" s="151" t="s">
        <v>796</v>
      </c>
      <c r="F322" s="57" t="s">
        <v>523</v>
      </c>
      <c r="G322" s="57"/>
      <c r="H322" s="57"/>
      <c r="I322" s="57" t="s">
        <v>1182</v>
      </c>
      <c r="J322" s="57" t="s">
        <v>1183</v>
      </c>
      <c r="K322" s="152"/>
      <c r="L322" s="145"/>
      <c r="M322" s="57"/>
      <c r="N322" s="59"/>
      <c r="O322" s="59"/>
    </row>
    <row r="323" spans="1:15" ht="19.5" customHeight="1">
      <c r="A323" s="57"/>
      <c r="B323" s="58"/>
      <c r="C323" s="396">
        <f xml:space="preserve"> VLOOKUP(E323, $A$3:$E$942, 2, FALSE)</f>
        <v>46077</v>
      </c>
      <c r="D323" s="45" t="s">
        <v>992</v>
      </c>
      <c r="E323" s="151" t="s">
        <v>792</v>
      </c>
      <c r="F323" s="57" t="s">
        <v>517</v>
      </c>
      <c r="G323" s="57"/>
      <c r="H323" s="57" t="s">
        <v>1184</v>
      </c>
      <c r="I323" s="57" t="s">
        <v>609</v>
      </c>
      <c r="J323" s="57" t="s">
        <v>610</v>
      </c>
      <c r="K323" s="152"/>
      <c r="L323" s="145"/>
      <c r="M323" s="57"/>
      <c r="N323" s="59"/>
      <c r="O323" s="59"/>
    </row>
    <row r="324" spans="1:15" ht="19.5" customHeight="1">
      <c r="A324" s="57"/>
      <c r="B324" s="58"/>
      <c r="C324" s="396">
        <f xml:space="preserve"> VLOOKUP(E324, $A$3:$E$942, 2, FALSE)</f>
        <v>46078</v>
      </c>
      <c r="D324" s="45" t="s">
        <v>992</v>
      </c>
      <c r="E324" s="151" t="s">
        <v>789</v>
      </c>
      <c r="F324" s="57" t="s">
        <v>517</v>
      </c>
      <c r="G324" s="57"/>
      <c r="H324" s="57" t="s">
        <v>1185</v>
      </c>
      <c r="I324" s="57" t="s">
        <v>581</v>
      </c>
      <c r="J324" s="57" t="s">
        <v>1186</v>
      </c>
      <c r="K324" s="152"/>
      <c r="L324" s="145"/>
      <c r="M324" s="57"/>
      <c r="N324" s="59"/>
      <c r="O324" s="59"/>
    </row>
    <row r="325" spans="1:15" ht="19.5" customHeight="1">
      <c r="A325" s="57"/>
      <c r="B325" s="58"/>
      <c r="C325" s="396">
        <f xml:space="preserve"> VLOOKUP(E325, $A$3:$E$942, 2, FALSE)</f>
        <v>46087</v>
      </c>
      <c r="D325" s="45" t="s">
        <v>992</v>
      </c>
      <c r="E325" s="151" t="s">
        <v>771</v>
      </c>
      <c r="F325" s="57" t="s">
        <v>523</v>
      </c>
      <c r="G325" s="57"/>
      <c r="H325" s="57" t="s">
        <v>1156</v>
      </c>
      <c r="I325" s="57" t="s">
        <v>576</v>
      </c>
      <c r="J325" s="57" t="s">
        <v>615</v>
      </c>
      <c r="K325" s="152"/>
      <c r="L325" s="145"/>
      <c r="M325" s="57"/>
      <c r="N325" s="59"/>
      <c r="O325" s="59"/>
    </row>
    <row r="326" spans="1:15" ht="19.5" customHeight="1">
      <c r="A326" s="57"/>
      <c r="B326" s="58"/>
      <c r="C326" s="396">
        <f xml:space="preserve"> VLOOKUP(E326, $A$3:$E$942, 2, FALSE)</f>
        <v>46077</v>
      </c>
      <c r="D326" s="45" t="s">
        <v>992</v>
      </c>
      <c r="E326" s="151" t="s">
        <v>768</v>
      </c>
      <c r="F326" s="57" t="s">
        <v>517</v>
      </c>
      <c r="G326" s="57"/>
      <c r="H326" s="57"/>
      <c r="I326" s="57" t="s">
        <v>708</v>
      </c>
      <c r="J326" s="57" t="s">
        <v>519</v>
      </c>
      <c r="K326" s="152"/>
      <c r="L326" s="145" t="s">
        <v>314</v>
      </c>
      <c r="M326" s="57"/>
      <c r="N326" s="59"/>
      <c r="O326" s="59"/>
    </row>
    <row r="327" spans="1:15" ht="19.5" customHeight="1">
      <c r="A327" s="57"/>
      <c r="B327" s="58"/>
      <c r="C327" s="396">
        <f xml:space="preserve"> VLOOKUP(E327, $A$3:$E$942, 2, FALSE)</f>
        <v>46111</v>
      </c>
      <c r="D327" s="45" t="s">
        <v>992</v>
      </c>
      <c r="E327" s="151" t="s">
        <v>764</v>
      </c>
      <c r="F327" s="57" t="s">
        <v>44</v>
      </c>
      <c r="G327" s="57" t="s">
        <v>45</v>
      </c>
      <c r="H327" s="57"/>
      <c r="I327" s="57" t="s">
        <v>1187</v>
      </c>
      <c r="J327" s="57" t="s">
        <v>1188</v>
      </c>
      <c r="K327" s="152"/>
      <c r="L327" s="145" t="s">
        <v>1189</v>
      </c>
      <c r="M327" s="57"/>
      <c r="N327" s="59"/>
      <c r="O327" s="59"/>
    </row>
    <row r="328" spans="1:15" ht="19.5" customHeight="1">
      <c r="A328" s="57"/>
      <c r="B328" s="58"/>
      <c r="C328" s="396">
        <f xml:space="preserve"> VLOOKUP(E328, $A$3:$E$942, 2, FALSE)</f>
        <v>46091</v>
      </c>
      <c r="D328" s="57" t="s">
        <v>992</v>
      </c>
      <c r="E328" s="250" t="s">
        <v>1025</v>
      </c>
      <c r="F328" s="57" t="s">
        <v>44</v>
      </c>
      <c r="G328" s="57" t="s">
        <v>45</v>
      </c>
      <c r="H328" s="57" t="s">
        <v>1190</v>
      </c>
      <c r="I328" s="57" t="s">
        <v>956</v>
      </c>
      <c r="J328" s="57" t="s">
        <v>1191</v>
      </c>
      <c r="K328" s="152">
        <v>46055</v>
      </c>
      <c r="L328" s="145" t="s">
        <v>1192</v>
      </c>
      <c r="M328" s="57" t="s">
        <v>1193</v>
      </c>
      <c r="N328" s="59"/>
      <c r="O328" s="59"/>
    </row>
    <row r="329" spans="1:15" ht="19.5" customHeight="1">
      <c r="A329" s="57"/>
      <c r="B329" s="58"/>
      <c r="C329" s="396">
        <f xml:space="preserve"> VLOOKUP(E329, $A$3:$E$942, 2, FALSE)</f>
        <v>46367</v>
      </c>
      <c r="D329" s="57" t="s">
        <v>992</v>
      </c>
      <c r="E329" s="250" t="s">
        <v>1076</v>
      </c>
      <c r="F329" s="57" t="s">
        <v>396</v>
      </c>
      <c r="G329" s="57"/>
      <c r="H329" s="57"/>
      <c r="I329" s="57" t="s">
        <v>956</v>
      </c>
      <c r="J329" s="57" t="s">
        <v>1194</v>
      </c>
      <c r="K329" s="152"/>
      <c r="L329" s="145" t="s">
        <v>1195</v>
      </c>
      <c r="M329" s="57"/>
      <c r="N329" s="59"/>
      <c r="O329" s="59"/>
    </row>
    <row r="330" spans="1:15" ht="19.5" customHeight="1">
      <c r="A330" s="57"/>
      <c r="B330" s="58"/>
      <c r="C330" s="396">
        <f xml:space="preserve"> VLOOKUP(E330, $A$3:$E$942, 2, FALSE)</f>
        <v>46094</v>
      </c>
      <c r="D330" s="45" t="s">
        <v>992</v>
      </c>
      <c r="E330" s="11" t="s">
        <v>857</v>
      </c>
      <c r="F330" s="57" t="s">
        <v>820</v>
      </c>
      <c r="G330" s="57"/>
      <c r="H330" s="57"/>
      <c r="I330" s="57" t="s">
        <v>467</v>
      </c>
      <c r="J330" s="57" t="s">
        <v>1196</v>
      </c>
      <c r="K330" s="152">
        <v>46057</v>
      </c>
      <c r="L330" s="145" t="s">
        <v>1197</v>
      </c>
      <c r="M330" s="57"/>
      <c r="N330" s="59"/>
      <c r="O330" s="59"/>
    </row>
    <row r="331" spans="1:15" ht="19.5" customHeight="1">
      <c r="A331" s="57"/>
      <c r="B331" s="58"/>
      <c r="C331" s="396">
        <f xml:space="preserve"> VLOOKUP(E331, $A$3:$E$942, 2, FALSE)</f>
        <v>46078</v>
      </c>
      <c r="D331" s="45" t="s">
        <v>992</v>
      </c>
      <c r="E331" s="151" t="s">
        <v>923</v>
      </c>
      <c r="F331" s="57" t="s">
        <v>100</v>
      </c>
      <c r="G331" s="57" t="s">
        <v>45</v>
      </c>
      <c r="H331" s="57"/>
      <c r="I331" s="57" t="s">
        <v>634</v>
      </c>
      <c r="J331" s="57" t="s">
        <v>1198</v>
      </c>
      <c r="K331" s="152">
        <v>46057</v>
      </c>
      <c r="L331" s="145" t="s">
        <v>1199</v>
      </c>
      <c r="M331" s="57"/>
      <c r="N331" s="59"/>
      <c r="O331" s="59"/>
    </row>
    <row r="332" spans="1:15" ht="19.5" customHeight="1">
      <c r="A332" s="57"/>
      <c r="B332" s="58"/>
      <c r="C332" s="396">
        <f xml:space="preserve"> VLOOKUP(E332, $A$3:$E$942, 2, FALSE)</f>
        <v>46112</v>
      </c>
      <c r="D332" s="57" t="s">
        <v>992</v>
      </c>
      <c r="E332" s="250" t="s">
        <v>1030</v>
      </c>
      <c r="F332" s="57" t="s">
        <v>396</v>
      </c>
      <c r="G332" s="57"/>
      <c r="H332" s="57" t="s">
        <v>1200</v>
      </c>
      <c r="I332" s="57" t="s">
        <v>1201</v>
      </c>
      <c r="J332" s="57" t="s">
        <v>1202</v>
      </c>
      <c r="K332" s="152">
        <v>46038</v>
      </c>
      <c r="L332" s="145" t="s">
        <v>1203</v>
      </c>
      <c r="M332" s="57"/>
      <c r="N332" s="59"/>
      <c r="O332" s="59"/>
    </row>
    <row r="333" spans="1:15" ht="19.5" customHeight="1">
      <c r="A333" s="305"/>
      <c r="B333" s="391"/>
      <c r="C333" s="396">
        <f xml:space="preserve"> VLOOKUP(E333, $A$3:$E$942, 2, FALSE)</f>
        <v>46083</v>
      </c>
      <c r="D333" s="36" t="s">
        <v>992</v>
      </c>
      <c r="E333" s="11" t="s">
        <v>719</v>
      </c>
      <c r="F333" s="36" t="s">
        <v>396</v>
      </c>
      <c r="H333" s="30">
        <v>46101</v>
      </c>
      <c r="I333" s="36" t="s">
        <v>790</v>
      </c>
      <c r="J333" s="36" t="s">
        <v>1204</v>
      </c>
      <c r="K333" s="277">
        <v>46066</v>
      </c>
      <c r="L333" s="275" t="s">
        <v>1205</v>
      </c>
      <c r="N333" s="59"/>
      <c r="O333" s="59"/>
    </row>
    <row r="334" spans="1:15" ht="19.5" customHeight="1">
      <c r="A334" s="305"/>
      <c r="B334" s="391"/>
      <c r="C334" s="396">
        <f xml:space="preserve"> VLOOKUP(E334, $A$3:$E$942, 2, FALSE)</f>
        <v>46084</v>
      </c>
      <c r="D334" s="36" t="s">
        <v>1206</v>
      </c>
      <c r="E334" s="11" t="s">
        <v>583</v>
      </c>
      <c r="F334" s="36" t="s">
        <v>57</v>
      </c>
      <c r="G334" s="36" t="s">
        <v>141</v>
      </c>
      <c r="I334" s="36" t="s">
        <v>841</v>
      </c>
      <c r="J334" s="36" t="s">
        <v>1207</v>
      </c>
      <c r="K334" s="277">
        <v>46036</v>
      </c>
      <c r="L334" s="298" t="s">
        <v>1208</v>
      </c>
      <c r="M334" s="29"/>
      <c r="N334" s="59"/>
      <c r="O334" s="59"/>
    </row>
    <row r="335" spans="1:15" ht="19.5" customHeight="1">
      <c r="A335" s="305"/>
      <c r="B335" s="391"/>
      <c r="C335" s="396">
        <f xml:space="preserve"> VLOOKUP(E335, $A$3:$E$942, 2, FALSE)</f>
        <v>46084</v>
      </c>
      <c r="D335" s="36" t="s">
        <v>1206</v>
      </c>
      <c r="E335" s="11" t="s">
        <v>460</v>
      </c>
      <c r="F335" s="36" t="s">
        <v>57</v>
      </c>
      <c r="G335" s="36" t="s">
        <v>141</v>
      </c>
      <c r="I335" s="36" t="s">
        <v>336</v>
      </c>
      <c r="J335" s="36" t="s">
        <v>1209</v>
      </c>
      <c r="K335" s="277">
        <v>46031</v>
      </c>
      <c r="L335" s="146" t="s">
        <v>1210</v>
      </c>
      <c r="N335" s="59"/>
      <c r="O335" s="59"/>
    </row>
    <row r="336" spans="1:15" ht="19.5" customHeight="1">
      <c r="A336" s="57"/>
      <c r="B336" s="58"/>
      <c r="C336" s="396">
        <f xml:space="preserve"> VLOOKUP(E336, $A$3:$E$942, 2, FALSE)</f>
        <v>46107</v>
      </c>
      <c r="D336" s="45" t="s">
        <v>1206</v>
      </c>
      <c r="E336" s="151" t="s">
        <v>823</v>
      </c>
      <c r="F336" s="57" t="s">
        <v>1211</v>
      </c>
      <c r="G336" s="57"/>
      <c r="H336" s="57"/>
      <c r="I336" s="57" t="s">
        <v>1212</v>
      </c>
      <c r="J336" s="57" t="s">
        <v>1213</v>
      </c>
      <c r="K336" s="152"/>
      <c r="L336" s="145"/>
      <c r="M336" s="57"/>
      <c r="N336" s="59"/>
      <c r="O336" s="59"/>
    </row>
    <row r="337" spans="1:15" ht="19.5" customHeight="1">
      <c r="A337" s="57"/>
      <c r="B337" s="58"/>
      <c r="C337" s="396">
        <f xml:space="preserve"> VLOOKUP(E337, $A$3:$E$942, 2, FALSE)</f>
        <v>46223</v>
      </c>
      <c r="D337" s="45" t="s">
        <v>1206</v>
      </c>
      <c r="E337" s="151" t="s">
        <v>868</v>
      </c>
      <c r="F337" s="57" t="s">
        <v>100</v>
      </c>
      <c r="G337" s="57" t="s">
        <v>45</v>
      </c>
      <c r="H337" s="57"/>
      <c r="I337" s="57" t="s">
        <v>1214</v>
      </c>
      <c r="J337" s="57" t="s">
        <v>1215</v>
      </c>
      <c r="K337" s="152" t="s">
        <v>1216</v>
      </c>
      <c r="L337" s="145" t="s">
        <v>1217</v>
      </c>
      <c r="M337" s="57" t="s">
        <v>1218</v>
      </c>
      <c r="N337" s="59"/>
      <c r="O337" s="59"/>
    </row>
    <row r="338" spans="1:15" ht="19.5" customHeight="1">
      <c r="A338" s="57"/>
      <c r="B338" s="58"/>
      <c r="C338" s="396">
        <f xml:space="preserve"> VLOOKUP(E338, $A$3:$E$942, 2, FALSE)</f>
        <v>46097</v>
      </c>
      <c r="D338" s="45" t="s">
        <v>1206</v>
      </c>
      <c r="E338" s="151" t="s">
        <v>864</v>
      </c>
      <c r="F338" s="57" t="s">
        <v>100</v>
      </c>
      <c r="G338" s="57" t="s">
        <v>45</v>
      </c>
      <c r="H338" s="57"/>
      <c r="I338" s="57" t="s">
        <v>1219</v>
      </c>
      <c r="J338" s="57" t="s">
        <v>1176</v>
      </c>
      <c r="K338" s="152" t="s">
        <v>1220</v>
      </c>
      <c r="L338" s="145"/>
      <c r="M338" s="57">
        <v>669717762</v>
      </c>
      <c r="N338" s="59"/>
      <c r="O338" s="59"/>
    </row>
    <row r="339" spans="1:15" ht="19.5" customHeight="1">
      <c r="A339" s="57"/>
      <c r="B339" s="58"/>
      <c r="C339" s="396">
        <f xml:space="preserve"> VLOOKUP(E339, $A$3:$E$942, 2, FALSE)</f>
        <v>46106</v>
      </c>
      <c r="D339" s="45" t="s">
        <v>1206</v>
      </c>
      <c r="E339" s="151" t="s">
        <v>846</v>
      </c>
      <c r="F339" s="57" t="s">
        <v>100</v>
      </c>
      <c r="G339" s="57" t="s">
        <v>45</v>
      </c>
      <c r="H339" s="57"/>
      <c r="I339" s="57" t="s">
        <v>540</v>
      </c>
      <c r="J339" s="57" t="s">
        <v>1221</v>
      </c>
      <c r="K339" s="152" t="s">
        <v>1222</v>
      </c>
      <c r="L339" s="145" t="s">
        <v>1223</v>
      </c>
      <c r="M339" s="57">
        <v>666323841</v>
      </c>
      <c r="N339" s="59"/>
      <c r="O339" s="59"/>
    </row>
    <row r="340" spans="1:15" ht="19.5" customHeight="1">
      <c r="A340" s="57"/>
      <c r="B340" s="58"/>
      <c r="C340" s="396">
        <f xml:space="preserve"> VLOOKUP(E340, $A$3:$E$942, 2, FALSE)</f>
        <v>46086</v>
      </c>
      <c r="D340" s="45" t="s">
        <v>1206</v>
      </c>
      <c r="E340" s="151" t="s">
        <v>834</v>
      </c>
      <c r="F340" s="57" t="s">
        <v>100</v>
      </c>
      <c r="G340" s="57" t="s">
        <v>45</v>
      </c>
      <c r="H340" s="57"/>
      <c r="I340" s="57" t="s">
        <v>1224</v>
      </c>
      <c r="J340" s="57" t="s">
        <v>1225</v>
      </c>
      <c r="K340" s="152">
        <v>45685</v>
      </c>
      <c r="L340" s="145"/>
      <c r="M340" s="57"/>
      <c r="N340" s="59"/>
      <c r="O340" s="59"/>
    </row>
    <row r="341" spans="1:15" ht="19.5" customHeight="1">
      <c r="A341" s="57"/>
      <c r="B341" s="58"/>
      <c r="C341" s="396">
        <f xml:space="preserve"> VLOOKUP(E341, $A$3:$E$942, 2, FALSE)</f>
        <v>46111</v>
      </c>
      <c r="D341" s="45" t="s">
        <v>1206</v>
      </c>
      <c r="E341" s="151" t="s">
        <v>762</v>
      </c>
      <c r="F341" s="57" t="s">
        <v>100</v>
      </c>
      <c r="G341" s="57" t="s">
        <v>45</v>
      </c>
      <c r="H341" s="57"/>
      <c r="I341" s="57" t="s">
        <v>1187</v>
      </c>
      <c r="J341" s="57" t="s">
        <v>1226</v>
      </c>
      <c r="K341" s="152" t="s">
        <v>1227</v>
      </c>
      <c r="L341" s="145" t="s">
        <v>1228</v>
      </c>
      <c r="M341" s="57" t="s">
        <v>1229</v>
      </c>
      <c r="N341" s="59"/>
      <c r="O341" s="59"/>
    </row>
    <row r="342" spans="1:15" ht="19.5" customHeight="1">
      <c r="A342" s="57"/>
      <c r="B342" s="58"/>
      <c r="C342" s="396">
        <f xml:space="preserve"> VLOOKUP(E342, $A$3:$E$942, 2, FALSE)</f>
        <v>46083</v>
      </c>
      <c r="D342" s="57" t="s">
        <v>1206</v>
      </c>
      <c r="E342" s="250" t="s">
        <v>1091</v>
      </c>
      <c r="F342" s="57" t="s">
        <v>396</v>
      </c>
      <c r="G342" s="57" t="s">
        <v>45</v>
      </c>
      <c r="H342" s="57"/>
      <c r="I342" s="57" t="s">
        <v>1224</v>
      </c>
      <c r="J342" s="57" t="s">
        <v>1230</v>
      </c>
      <c r="K342" s="152">
        <v>46050</v>
      </c>
      <c r="L342" s="145" t="s">
        <v>1231</v>
      </c>
      <c r="M342" s="57"/>
      <c r="N342" s="59"/>
      <c r="O342" s="59"/>
    </row>
    <row r="343" spans="1:15" ht="19.5" customHeight="1">
      <c r="A343" s="305"/>
      <c r="B343" s="391"/>
      <c r="C343" s="396">
        <f xml:space="preserve"> VLOOKUP(E343, $A$3:$E$942, 2, FALSE)</f>
        <v>46078</v>
      </c>
      <c r="D343" s="36" t="s">
        <v>1206</v>
      </c>
      <c r="E343" s="11" t="s">
        <v>639</v>
      </c>
      <c r="F343" s="36" t="s">
        <v>1232</v>
      </c>
      <c r="H343" s="36" t="s">
        <v>1233</v>
      </c>
      <c r="I343" s="36" t="s">
        <v>1234</v>
      </c>
      <c r="J343" s="36" t="s">
        <v>1235</v>
      </c>
      <c r="K343" s="277">
        <v>46045</v>
      </c>
      <c r="L343" s="298" t="s">
        <v>1236</v>
      </c>
      <c r="N343" s="59"/>
      <c r="O343" s="59"/>
    </row>
    <row r="344" spans="1:15" ht="19.5" customHeight="1">
      <c r="A344" s="305" t="s">
        <v>1237</v>
      </c>
      <c r="B344" s="391">
        <v>46072</v>
      </c>
      <c r="C344" s="396">
        <f xml:space="preserve"> VLOOKUP(E344, $A$2:$E$822, 2, FALSE)</f>
        <v>46091</v>
      </c>
      <c r="D344" s="36" t="s">
        <v>1238</v>
      </c>
      <c r="E344" s="36" t="s">
        <v>41</v>
      </c>
      <c r="F344" s="36" t="s">
        <v>52</v>
      </c>
      <c r="G344" s="36" t="s">
        <v>141</v>
      </c>
      <c r="I344" s="36" t="s">
        <v>1239</v>
      </c>
      <c r="J344" s="36" t="s">
        <v>1240</v>
      </c>
      <c r="K344" s="276"/>
      <c r="N344" s="59"/>
      <c r="O344" s="59"/>
    </row>
    <row r="345" spans="1:15" ht="19.5" customHeight="1">
      <c r="A345" s="57"/>
      <c r="B345" s="58"/>
      <c r="C345" s="396">
        <f xml:space="preserve"> VLOOKUP(E345, $A$3:$E$942, 2, FALSE)</f>
        <v>46087</v>
      </c>
      <c r="D345" s="45" t="s">
        <v>1238</v>
      </c>
      <c r="E345" s="151" t="s">
        <v>872</v>
      </c>
      <c r="F345" s="400" t="s">
        <v>482</v>
      </c>
      <c r="G345" s="57"/>
      <c r="H345" s="57"/>
      <c r="I345" s="57" t="s">
        <v>1224</v>
      </c>
      <c r="J345" s="57" t="s">
        <v>1241</v>
      </c>
      <c r="K345" s="152"/>
      <c r="L345" s="145" t="s">
        <v>578</v>
      </c>
      <c r="M345" s="57"/>
      <c r="N345" s="59"/>
      <c r="O345" s="59"/>
    </row>
    <row r="346" spans="1:15" ht="19.5" customHeight="1">
      <c r="A346" s="57"/>
      <c r="B346" s="58"/>
      <c r="C346" s="396">
        <f xml:space="preserve"> VLOOKUP(E346, $A$3:$E$942, 2, FALSE)</f>
        <v>46083</v>
      </c>
      <c r="D346" s="45" t="s">
        <v>1238</v>
      </c>
      <c r="E346" s="151" t="s">
        <v>935</v>
      </c>
      <c r="F346" s="400" t="s">
        <v>505</v>
      </c>
      <c r="G346" s="57"/>
      <c r="H346" s="57"/>
      <c r="I346" s="57" t="s">
        <v>1242</v>
      </c>
      <c r="J346" s="57" t="s">
        <v>1243</v>
      </c>
      <c r="K346" s="152">
        <v>45873</v>
      </c>
      <c r="L346" s="145"/>
      <c r="M346" s="57"/>
      <c r="N346" s="59"/>
      <c r="O346" s="59"/>
    </row>
    <row r="347" spans="1:15" ht="19.5" customHeight="1">
      <c r="A347" s="305"/>
      <c r="B347" s="391"/>
      <c r="C347" s="396">
        <f xml:space="preserve"> VLOOKUP(E347, $A$3:$E$942, 2, FALSE)</f>
        <v>46083</v>
      </c>
      <c r="D347" s="36" t="s">
        <v>1244</v>
      </c>
      <c r="E347" s="11" t="s">
        <v>498</v>
      </c>
      <c r="F347" s="36" t="s">
        <v>688</v>
      </c>
      <c r="H347" s="36" t="s">
        <v>1245</v>
      </c>
      <c r="I347" s="36" t="s">
        <v>1246</v>
      </c>
      <c r="J347" s="36" t="s">
        <v>1247</v>
      </c>
      <c r="K347" s="277">
        <v>46009</v>
      </c>
      <c r="L347" s="146" t="s">
        <v>867</v>
      </c>
      <c r="N347" s="59"/>
      <c r="O347" s="59"/>
    </row>
    <row r="348" spans="1:15" ht="19.5" customHeight="1">
      <c r="A348" s="305"/>
      <c r="B348" s="391"/>
      <c r="C348" s="396">
        <f xml:space="preserve"> VLOOKUP(E348, $A$3:$E$942, 2, FALSE)</f>
        <v>46083</v>
      </c>
      <c r="D348" s="36" t="s">
        <v>1244</v>
      </c>
      <c r="E348" s="11" t="s">
        <v>592</v>
      </c>
      <c r="F348" s="393" t="s">
        <v>44</v>
      </c>
      <c r="G348" s="36" t="s">
        <v>45</v>
      </c>
      <c r="I348" s="36" t="s">
        <v>1112</v>
      </c>
      <c r="J348" s="36" t="s">
        <v>1113</v>
      </c>
      <c r="K348" s="277"/>
      <c r="L348" s="146" t="s">
        <v>1248</v>
      </c>
      <c r="M348" s="29"/>
    </row>
    <row r="349" spans="1:15" ht="19.5" customHeight="1">
      <c r="A349" s="305"/>
      <c r="B349" s="391"/>
      <c r="C349" s="396">
        <f xml:space="preserve"> VLOOKUP(E349, $A$3:$E$942, 2, FALSE)</f>
        <v>46251</v>
      </c>
      <c r="D349" s="36" t="s">
        <v>1244</v>
      </c>
      <c r="E349" s="11" t="s">
        <v>347</v>
      </c>
      <c r="F349" s="36" t="s">
        <v>688</v>
      </c>
      <c r="I349" s="36" t="s">
        <v>1097</v>
      </c>
      <c r="J349" s="36" t="s">
        <v>1098</v>
      </c>
      <c r="K349" s="276"/>
    </row>
    <row r="350" spans="1:15" ht="19.5" customHeight="1">
      <c r="A350" s="305"/>
      <c r="B350" s="391"/>
      <c r="C350" s="396">
        <f xml:space="preserve"> VLOOKUP(E350, $A$3:$E$942, 2, FALSE)</f>
        <v>46056</v>
      </c>
      <c r="D350" s="36" t="s">
        <v>1244</v>
      </c>
      <c r="E350" s="11" t="s">
        <v>562</v>
      </c>
      <c r="F350" s="36" t="s">
        <v>90</v>
      </c>
      <c r="H350" s="36" t="s">
        <v>793</v>
      </c>
      <c r="I350" s="36" t="s">
        <v>1249</v>
      </c>
      <c r="J350" s="36" t="s">
        <v>1250</v>
      </c>
      <c r="K350" s="277">
        <v>46027</v>
      </c>
      <c r="L350" s="146" t="s">
        <v>380</v>
      </c>
    </row>
    <row r="351" spans="1:15" ht="19.5" customHeight="1">
      <c r="A351" s="305"/>
      <c r="B351" s="391"/>
      <c r="C351" s="396">
        <f xml:space="preserve"> VLOOKUP(E351, $A$3:$E$942, 2, FALSE)</f>
        <v>46080</v>
      </c>
      <c r="D351" s="36" t="s">
        <v>1244</v>
      </c>
      <c r="E351" s="36" t="s">
        <v>268</v>
      </c>
      <c r="F351" s="36" t="s">
        <v>52</v>
      </c>
      <c r="G351" s="36" t="s">
        <v>141</v>
      </c>
      <c r="I351" s="36" t="s">
        <v>1251</v>
      </c>
      <c r="J351" s="36" t="s">
        <v>1252</v>
      </c>
      <c r="K351" s="277">
        <v>46009</v>
      </c>
      <c r="L351" s="146" t="s">
        <v>380</v>
      </c>
    </row>
    <row r="352" spans="1:15" ht="19.5" customHeight="1">
      <c r="A352" s="305"/>
      <c r="B352" s="391"/>
      <c r="C352" s="396">
        <f xml:space="preserve"> VLOOKUP(E352, $A$3:$E$942, 2, FALSE)</f>
        <v>46090</v>
      </c>
      <c r="D352" s="36" t="s">
        <v>1244</v>
      </c>
      <c r="E352" s="36" t="s">
        <v>241</v>
      </c>
      <c r="F352" s="36" t="s">
        <v>86</v>
      </c>
      <c r="I352" s="36" t="s">
        <v>821</v>
      </c>
      <c r="J352" s="36" t="s">
        <v>822</v>
      </c>
      <c r="K352" s="276"/>
    </row>
    <row r="353" spans="1:13" ht="19.5" customHeight="1">
      <c r="A353" s="305"/>
      <c r="B353" s="391"/>
      <c r="C353" s="396">
        <f xml:space="preserve"> VLOOKUP(E353, $A$3:$E$942, 2, FALSE)</f>
        <v>46083</v>
      </c>
      <c r="D353" s="36" t="s">
        <v>1244</v>
      </c>
      <c r="E353" s="36" t="s">
        <v>404</v>
      </c>
      <c r="F353" s="36" t="s">
        <v>230</v>
      </c>
      <c r="G353" s="36" t="s">
        <v>141</v>
      </c>
      <c r="I353" s="36" t="s">
        <v>249</v>
      </c>
      <c r="J353" s="36" t="s">
        <v>250</v>
      </c>
    </row>
    <row r="354" spans="1:13" ht="19.5" customHeight="1">
      <c r="A354" s="305"/>
      <c r="B354" s="391"/>
      <c r="C354" s="396">
        <f xml:space="preserve"> VLOOKUP(E354, $A$3:$E$942, 2, FALSE)</f>
        <v>46069</v>
      </c>
      <c r="D354" s="36" t="s">
        <v>1244</v>
      </c>
      <c r="E354" s="11" t="s">
        <v>386</v>
      </c>
      <c r="F354" s="36" t="s">
        <v>517</v>
      </c>
      <c r="I354" s="36" t="s">
        <v>244</v>
      </c>
      <c r="J354" s="36" t="s">
        <v>1253</v>
      </c>
      <c r="K354" s="276"/>
      <c r="L354" s="146" t="s">
        <v>1254</v>
      </c>
    </row>
    <row r="355" spans="1:13" ht="19.5" customHeight="1">
      <c r="A355" s="305"/>
      <c r="B355" s="391"/>
      <c r="C355" s="396">
        <f xml:space="preserve"> VLOOKUP(E355, $A$3:$E$942, 2, FALSE)</f>
        <v>46072</v>
      </c>
      <c r="D355" s="36" t="s">
        <v>1244</v>
      </c>
      <c r="E355" s="11" t="s">
        <v>446</v>
      </c>
      <c r="F355" s="36" t="s">
        <v>230</v>
      </c>
      <c r="G355" s="36" t="s">
        <v>141</v>
      </c>
      <c r="I355" s="36" t="s">
        <v>254</v>
      </c>
      <c r="J355" s="36" t="s">
        <v>255</v>
      </c>
    </row>
    <row r="356" spans="1:13" ht="19.5" customHeight="1">
      <c r="A356" s="305"/>
      <c r="B356" s="391"/>
      <c r="C356" s="396">
        <f xml:space="preserve"> VLOOKUP(E356, $A$3:$E$942, 2, FALSE)</f>
        <v>46083</v>
      </c>
      <c r="D356" s="36" t="s">
        <v>1244</v>
      </c>
      <c r="E356" s="11" t="s">
        <v>390</v>
      </c>
      <c r="F356" s="36" t="s">
        <v>66</v>
      </c>
      <c r="I356" s="36" t="s">
        <v>1255</v>
      </c>
      <c r="J356" s="36" t="s">
        <v>1256</v>
      </c>
      <c r="K356" s="276">
        <v>45989</v>
      </c>
      <c r="L356" s="146" t="s">
        <v>1257</v>
      </c>
    </row>
    <row r="357" spans="1:13" ht="19.5" customHeight="1">
      <c r="A357" s="305"/>
      <c r="B357" s="391"/>
      <c r="C357" s="396">
        <f xml:space="preserve"> VLOOKUP(E357, $A$3:$E$942, 2, FALSE)</f>
        <v>46072</v>
      </c>
      <c r="D357" s="36" t="s">
        <v>1244</v>
      </c>
      <c r="E357" s="36" t="s">
        <v>222</v>
      </c>
      <c r="F357" s="36" t="s">
        <v>1258</v>
      </c>
      <c r="I357" s="36" t="s">
        <v>115</v>
      </c>
      <c r="J357" s="36" t="s">
        <v>1259</v>
      </c>
      <c r="K357" s="276">
        <v>45877</v>
      </c>
    </row>
    <row r="358" spans="1:13" ht="19.5" customHeight="1">
      <c r="A358" s="305"/>
      <c r="B358" s="391"/>
      <c r="C358" s="396">
        <f xml:space="preserve"> VLOOKUP(E358, $A$3:$E$942, 2, FALSE)</f>
        <v>46069</v>
      </c>
      <c r="D358" s="36" t="s">
        <v>1244</v>
      </c>
      <c r="E358" s="36" t="s">
        <v>330</v>
      </c>
      <c r="F358" s="36" t="s">
        <v>1258</v>
      </c>
      <c r="I358" s="36" t="s">
        <v>1260</v>
      </c>
      <c r="J358" s="36" t="s">
        <v>1261</v>
      </c>
      <c r="K358" s="276">
        <v>45978</v>
      </c>
      <c r="L358" s="146" t="s">
        <v>1262</v>
      </c>
    </row>
    <row r="359" spans="1:13" ht="19.5" customHeight="1">
      <c r="A359" s="305"/>
      <c r="B359" s="391"/>
      <c r="C359" s="396">
        <f xml:space="preserve"> VLOOKUP(E359, $A$3:$E$942, 2, FALSE)</f>
        <v>46062</v>
      </c>
      <c r="D359" s="36" t="s">
        <v>1244</v>
      </c>
      <c r="E359" s="11" t="s">
        <v>399</v>
      </c>
      <c r="F359" s="36" t="s">
        <v>57</v>
      </c>
      <c r="I359" s="36" t="s">
        <v>1263</v>
      </c>
      <c r="J359" s="36" t="s">
        <v>1264</v>
      </c>
      <c r="K359" s="277">
        <v>45994</v>
      </c>
      <c r="L359" s="146" t="s">
        <v>1265</v>
      </c>
    </row>
    <row r="360" spans="1:13" ht="19.5" customHeight="1">
      <c r="A360" s="305"/>
      <c r="B360" s="391"/>
      <c r="C360" s="396">
        <f xml:space="preserve"> VLOOKUP(E360, $A$3:$E$942, 2, FALSE)</f>
        <v>46072</v>
      </c>
      <c r="D360" s="36" t="s">
        <v>1244</v>
      </c>
      <c r="E360" s="11" t="s">
        <v>465</v>
      </c>
      <c r="F360" s="36" t="s">
        <v>66</v>
      </c>
      <c r="I360" s="36" t="s">
        <v>170</v>
      </c>
      <c r="J360" s="36" t="s">
        <v>1266</v>
      </c>
      <c r="K360" s="277">
        <v>46027</v>
      </c>
      <c r="L360" s="146" t="s">
        <v>1267</v>
      </c>
    </row>
    <row r="361" spans="1:13" ht="19.5" customHeight="1">
      <c r="A361" s="305"/>
      <c r="B361" s="391"/>
      <c r="C361" s="396">
        <f xml:space="preserve"> VLOOKUP(E361, $A$3:$E$942, 2, FALSE)</f>
        <v>46078</v>
      </c>
      <c r="D361" s="36" t="s">
        <v>1244</v>
      </c>
      <c r="E361" s="11" t="s">
        <v>716</v>
      </c>
      <c r="F361" s="36" t="s">
        <v>1268</v>
      </c>
      <c r="G361" s="36" t="s">
        <v>141</v>
      </c>
      <c r="I361" s="36" t="s">
        <v>725</v>
      </c>
      <c r="J361" s="36" t="s">
        <v>726</v>
      </c>
    </row>
    <row r="362" spans="1:13" ht="19.5" customHeight="1">
      <c r="A362" s="305"/>
      <c r="B362" s="391"/>
      <c r="C362" s="396">
        <f xml:space="preserve"> VLOOKUP(E362, $A$3:$E$942, 2, FALSE)</f>
        <v>46076</v>
      </c>
      <c r="D362" s="36" t="s">
        <v>1244</v>
      </c>
      <c r="E362" s="11" t="s">
        <v>538</v>
      </c>
      <c r="F362" s="36" t="s">
        <v>517</v>
      </c>
      <c r="I362" s="36" t="s">
        <v>341</v>
      </c>
      <c r="J362" s="36" t="s">
        <v>1269</v>
      </c>
    </row>
    <row r="363" spans="1:13" ht="19.5" customHeight="1">
      <c r="A363" s="305"/>
      <c r="B363" s="391"/>
      <c r="C363" s="396">
        <f xml:space="preserve"> VLOOKUP(E363, $A$3:$E$942, 2, FALSE)</f>
        <v>46086</v>
      </c>
      <c r="D363" s="36" t="s">
        <v>1244</v>
      </c>
      <c r="E363" s="11" t="s">
        <v>694</v>
      </c>
      <c r="F363" s="36" t="s">
        <v>688</v>
      </c>
      <c r="H363" s="36" t="s">
        <v>1270</v>
      </c>
      <c r="I363" s="36" t="s">
        <v>821</v>
      </c>
      <c r="J363" s="36" t="s">
        <v>1271</v>
      </c>
      <c r="K363" s="277">
        <v>46057</v>
      </c>
      <c r="L363" s="146" t="s">
        <v>1272</v>
      </c>
    </row>
    <row r="364" spans="1:13" ht="19.5" customHeight="1">
      <c r="A364" s="57"/>
      <c r="B364" s="58"/>
      <c r="C364" s="396">
        <f xml:space="preserve"> VLOOKUP(E364, $A$3:$E$942, 2, FALSE)</f>
        <v>46073</v>
      </c>
      <c r="D364" s="57" t="s">
        <v>1244</v>
      </c>
      <c r="E364" s="250" t="s">
        <v>1044</v>
      </c>
      <c r="F364" s="57" t="s">
        <v>396</v>
      </c>
      <c r="G364" s="57"/>
      <c r="H364" s="57"/>
      <c r="I364" s="57" t="s">
        <v>985</v>
      </c>
      <c r="J364" s="303" t="s">
        <v>986</v>
      </c>
      <c r="K364" s="277">
        <v>46015</v>
      </c>
      <c r="L364" s="145" t="s">
        <v>402</v>
      </c>
      <c r="M364" s="57"/>
    </row>
    <row r="365" spans="1:13" ht="19.5" customHeight="1">
      <c r="A365" s="57"/>
      <c r="B365" s="57"/>
      <c r="C365" s="396">
        <f xml:space="preserve"> VLOOKUP(E365, $A$3:$E$942, 2, FALSE)</f>
        <v>46111</v>
      </c>
      <c r="D365" s="57" t="s">
        <v>1244</v>
      </c>
      <c r="E365" s="250" t="s">
        <v>1041</v>
      </c>
      <c r="F365" s="57" t="s">
        <v>90</v>
      </c>
      <c r="G365" s="57"/>
      <c r="H365" s="253" t="s">
        <v>1273</v>
      </c>
      <c r="I365" s="57" t="s">
        <v>564</v>
      </c>
      <c r="J365" s="57" t="s">
        <v>1274</v>
      </c>
      <c r="K365" s="152"/>
      <c r="L365" s="145"/>
      <c r="M365" s="57"/>
    </row>
    <row r="366" spans="1:13" ht="19.5" customHeight="1">
      <c r="A366" s="57"/>
      <c r="B366" s="57"/>
      <c r="C366" s="396">
        <f xml:space="preserve"> VLOOKUP(E366, $A$3:$E$942, 2, FALSE)</f>
        <v>46083</v>
      </c>
      <c r="D366" s="57" t="s">
        <v>1244</v>
      </c>
      <c r="E366" s="147" t="s">
        <v>991</v>
      </c>
      <c r="F366" s="57" t="s">
        <v>517</v>
      </c>
      <c r="G366" s="57"/>
      <c r="H366" s="57" t="s">
        <v>1185</v>
      </c>
      <c r="I366" s="57" t="s">
        <v>571</v>
      </c>
      <c r="J366" s="57" t="s">
        <v>648</v>
      </c>
      <c r="K366" s="152"/>
      <c r="L366" s="145"/>
      <c r="M366" s="57"/>
    </row>
    <row r="367" spans="1:13" ht="19.5" customHeight="1">
      <c r="A367" s="57"/>
      <c r="B367" s="58"/>
      <c r="C367" s="396">
        <f xml:space="preserve"> VLOOKUP(E367, $A$3:$E$942, 2, FALSE)</f>
        <v>46073</v>
      </c>
      <c r="D367" s="57" t="s">
        <v>1244</v>
      </c>
      <c r="E367" s="11" t="s">
        <v>969</v>
      </c>
      <c r="F367" s="57" t="s">
        <v>95</v>
      </c>
      <c r="G367" s="57" t="s">
        <v>45</v>
      </c>
      <c r="H367" s="57" t="s">
        <v>1275</v>
      </c>
      <c r="I367" s="57" t="s">
        <v>708</v>
      </c>
      <c r="J367" s="57" t="s">
        <v>1276</v>
      </c>
      <c r="K367" s="277">
        <v>46028</v>
      </c>
      <c r="L367" s="145" t="s">
        <v>1277</v>
      </c>
      <c r="M367" s="57"/>
    </row>
    <row r="368" spans="1:13" ht="19.5" customHeight="1">
      <c r="A368" s="57"/>
      <c r="B368" s="58"/>
      <c r="C368" s="396">
        <f xml:space="preserve"> VLOOKUP(E368, $A$3:$E$942, 2, FALSE)</f>
        <v>46083</v>
      </c>
      <c r="D368" s="45" t="s">
        <v>1244</v>
      </c>
      <c r="E368" s="151" t="s">
        <v>941</v>
      </c>
      <c r="F368" s="57" t="s">
        <v>517</v>
      </c>
      <c r="G368" s="57"/>
      <c r="H368" s="57"/>
      <c r="I368" s="57" t="s">
        <v>581</v>
      </c>
      <c r="J368" s="57" t="s">
        <v>1278</v>
      </c>
      <c r="K368" s="152"/>
      <c r="L368" s="145"/>
      <c r="M368" s="57"/>
    </row>
    <row r="369" spans="1:13" ht="19.5" customHeight="1">
      <c r="A369" s="57"/>
      <c r="B369" s="58"/>
      <c r="C369" s="396">
        <f xml:space="preserve"> VLOOKUP(E369, $A$3:$E$942, 2, FALSE)</f>
        <v>46073</v>
      </c>
      <c r="D369" s="45" t="s">
        <v>1244</v>
      </c>
      <c r="E369" s="151" t="s">
        <v>827</v>
      </c>
      <c r="F369" s="57" t="s">
        <v>482</v>
      </c>
      <c r="G369" s="57"/>
      <c r="H369" s="57" t="s">
        <v>1279</v>
      </c>
      <c r="I369" s="57" t="s">
        <v>1280</v>
      </c>
      <c r="J369" s="57" t="s">
        <v>1281</v>
      </c>
      <c r="K369" s="152"/>
      <c r="L369" s="145"/>
      <c r="M369" s="57"/>
    </row>
    <row r="370" spans="1:13" ht="19.5" customHeight="1">
      <c r="A370" s="57"/>
      <c r="B370" s="58"/>
      <c r="C370" s="396">
        <f xml:space="preserve"> VLOOKUP(E370, $A$3:$E$942, 2, FALSE)</f>
        <v>46087</v>
      </c>
      <c r="D370" s="45" t="s">
        <v>1244</v>
      </c>
      <c r="E370" s="11" t="s">
        <v>783</v>
      </c>
      <c r="F370" s="57" t="s">
        <v>66</v>
      </c>
      <c r="G370" s="57"/>
      <c r="H370" s="57"/>
      <c r="I370" s="57" t="s">
        <v>1282</v>
      </c>
      <c r="J370" s="57" t="s">
        <v>1283</v>
      </c>
      <c r="K370" s="152" t="s">
        <v>1284</v>
      </c>
      <c r="L370" s="145"/>
      <c r="M370" s="57"/>
    </row>
    <row r="371" spans="1:13" ht="19.5" customHeight="1">
      <c r="A371" s="305"/>
      <c r="B371" s="391"/>
      <c r="C371" s="396">
        <f xml:space="preserve"> VLOOKUP(E371, $A$3:$E$942, 2, FALSE)</f>
        <v>46090</v>
      </c>
      <c r="D371" s="36" t="s">
        <v>1244</v>
      </c>
      <c r="E371" s="11" t="s">
        <v>750</v>
      </c>
      <c r="F371" s="36" t="s">
        <v>166</v>
      </c>
      <c r="G371" s="36" t="s">
        <v>141</v>
      </c>
      <c r="I371" s="36" t="s">
        <v>759</v>
      </c>
      <c r="J371" s="36" t="s">
        <v>760</v>
      </c>
      <c r="K371" s="146" t="s">
        <v>876</v>
      </c>
      <c r="L371" s="146" t="s">
        <v>877</v>
      </c>
    </row>
    <row r="372" spans="1:13" ht="19.5" customHeight="1">
      <c r="A372" s="57"/>
      <c r="B372" s="58"/>
      <c r="C372" s="396">
        <f xml:space="preserve"> VLOOKUP(E372, $A$3:$E$942, 2, FALSE)</f>
        <v>46090</v>
      </c>
      <c r="D372" s="57" t="s">
        <v>1244</v>
      </c>
      <c r="E372" s="250" t="s">
        <v>1064</v>
      </c>
      <c r="F372" s="57" t="s">
        <v>688</v>
      </c>
      <c r="G372" s="57" t="s">
        <v>141</v>
      </c>
      <c r="H372" s="57"/>
      <c r="I372" s="57" t="s">
        <v>1148</v>
      </c>
      <c r="J372" s="57" t="s">
        <v>1149</v>
      </c>
      <c r="K372" s="152">
        <v>46063</v>
      </c>
      <c r="L372" s="152" t="s">
        <v>1285</v>
      </c>
      <c r="M372" s="57"/>
    </row>
    <row r="373" spans="1:13" ht="19.5" customHeight="1">
      <c r="A373" s="305"/>
      <c r="B373" s="391"/>
      <c r="C373" s="396">
        <f xml:space="preserve"> VLOOKUP(E373, $A$3:$E$942, 2, FALSE)</f>
        <v>46072</v>
      </c>
      <c r="D373" s="36" t="s">
        <v>1286</v>
      </c>
      <c r="E373" s="36" t="s">
        <v>93</v>
      </c>
      <c r="F373" s="36" t="s">
        <v>1258</v>
      </c>
      <c r="I373" s="36" t="s">
        <v>67</v>
      </c>
      <c r="J373" s="36" t="s">
        <v>1287</v>
      </c>
      <c r="K373" s="276">
        <v>45715</v>
      </c>
    </row>
    <row r="374" spans="1:13" ht="19.5" customHeight="1">
      <c r="A374" s="305"/>
      <c r="B374" s="391"/>
      <c r="C374" s="396">
        <f xml:space="preserve"> VLOOKUP(E374, $A$3:$E$942, 2, FALSE)</f>
        <v>46064</v>
      </c>
      <c r="D374" s="36" t="s">
        <v>1286</v>
      </c>
      <c r="E374" s="11" t="s">
        <v>550</v>
      </c>
      <c r="F374" s="36" t="s">
        <v>803</v>
      </c>
      <c r="I374" s="36" t="s">
        <v>1288</v>
      </c>
      <c r="J374" s="36" t="s">
        <v>1289</v>
      </c>
    </row>
    <row r="375" spans="1:13" ht="19.5" customHeight="1">
      <c r="A375" s="305"/>
      <c r="B375" s="391"/>
      <c r="C375" s="396">
        <f xml:space="preserve"> VLOOKUP(E375, $A$3:$E$942, 2, FALSE)</f>
        <v>46064</v>
      </c>
      <c r="D375" s="36" t="s">
        <v>1286</v>
      </c>
      <c r="E375" s="11" t="s">
        <v>554</v>
      </c>
      <c r="F375" s="36" t="s">
        <v>517</v>
      </c>
      <c r="I375" s="36" t="s">
        <v>1288</v>
      </c>
      <c r="J375" s="36" t="s">
        <v>1289</v>
      </c>
    </row>
    <row r="376" spans="1:13" ht="19.5" customHeight="1">
      <c r="A376" s="305"/>
      <c r="B376" s="391"/>
      <c r="C376" s="396">
        <f xml:space="preserve"> VLOOKUP(E376, $A$3:$E$942, 2, FALSE)</f>
        <v>46083</v>
      </c>
      <c r="D376" s="36" t="s">
        <v>1286</v>
      </c>
      <c r="E376" s="11" t="s">
        <v>713</v>
      </c>
      <c r="F376" s="36" t="s">
        <v>44</v>
      </c>
      <c r="G376" s="36" t="s">
        <v>45</v>
      </c>
      <c r="I376" s="36" t="s">
        <v>1290</v>
      </c>
      <c r="J376" s="36" t="s">
        <v>1291</v>
      </c>
      <c r="K376" s="277">
        <v>46070</v>
      </c>
      <c r="L376" s="275" t="s">
        <v>881</v>
      </c>
      <c r="M376" s="36">
        <v>565420901</v>
      </c>
    </row>
    <row r="377" spans="1:13" ht="19.5" customHeight="1">
      <c r="A377" s="305"/>
      <c r="B377" s="391"/>
      <c r="C377" s="396">
        <f xml:space="preserve"> VLOOKUP(E377, $A$3:$E$942, 2, FALSE)</f>
        <v>46090</v>
      </c>
      <c r="D377" s="36" t="s">
        <v>1286</v>
      </c>
      <c r="E377" s="11" t="s">
        <v>757</v>
      </c>
      <c r="F377" s="36" t="s">
        <v>149</v>
      </c>
      <c r="G377" s="36" t="s">
        <v>45</v>
      </c>
      <c r="I377" s="36" t="s">
        <v>115</v>
      </c>
      <c r="J377" s="36" t="s">
        <v>116</v>
      </c>
    </row>
    <row r="378" spans="1:13" ht="19.5" customHeight="1">
      <c r="A378" s="57"/>
      <c r="B378" s="58"/>
      <c r="C378" s="396">
        <f xml:space="preserve"> VLOOKUP(E378, $A$3:$E$942, 2, FALSE)</f>
        <v>46083</v>
      </c>
      <c r="D378" s="45" t="s">
        <v>1286</v>
      </c>
      <c r="E378" s="151" t="s">
        <v>886</v>
      </c>
      <c r="F378" s="57" t="s">
        <v>820</v>
      </c>
      <c r="G378" s="57"/>
      <c r="H378" s="57" t="s">
        <v>1292</v>
      </c>
      <c r="I378" s="57" t="s">
        <v>1293</v>
      </c>
      <c r="J378" s="57" t="s">
        <v>1294</v>
      </c>
      <c r="K378" s="152"/>
      <c r="L378" s="145"/>
      <c r="M378" s="57"/>
    </row>
    <row r="379" spans="1:13" ht="19.5" customHeight="1">
      <c r="A379" s="57"/>
      <c r="B379" s="58"/>
      <c r="C379" s="396">
        <f xml:space="preserve"> VLOOKUP(E379, $A$3:$E$942, 2, FALSE)</f>
        <v>46078</v>
      </c>
      <c r="D379" s="57" t="s">
        <v>1286</v>
      </c>
      <c r="E379" s="147" t="s">
        <v>1016</v>
      </c>
      <c r="F379" s="57" t="s">
        <v>517</v>
      </c>
      <c r="G379" s="57"/>
      <c r="H379" s="57"/>
      <c r="I379" s="57" t="s">
        <v>1295</v>
      </c>
      <c r="J379" s="57" t="s">
        <v>1296</v>
      </c>
      <c r="K379" s="152"/>
      <c r="L379" s="145"/>
      <c r="M379" s="57"/>
    </row>
    <row r="380" spans="1:13" ht="19.5" customHeight="1">
      <c r="A380" s="57"/>
      <c r="B380" s="58"/>
      <c r="C380" s="396">
        <f xml:space="preserve"> VLOOKUP(E380, $A$3:$E$942, 2, FALSE)</f>
        <v>46078</v>
      </c>
      <c r="D380" s="57" t="s">
        <v>1286</v>
      </c>
      <c r="E380" s="147" t="s">
        <v>1012</v>
      </c>
      <c r="F380" s="57" t="s">
        <v>523</v>
      </c>
      <c r="G380" s="57"/>
      <c r="H380" s="57" t="s">
        <v>1297</v>
      </c>
      <c r="I380" s="57" t="s">
        <v>1295</v>
      </c>
      <c r="J380" s="57" t="s">
        <v>1296</v>
      </c>
      <c r="K380" s="152"/>
      <c r="L380" s="145"/>
      <c r="M380" s="57"/>
    </row>
    <row r="381" spans="1:13" ht="19.5" customHeight="1">
      <c r="A381" s="57"/>
      <c r="B381" s="58"/>
      <c r="C381" s="396">
        <f xml:space="preserve"> VLOOKUP(E381, $A$3:$E$942, 2, FALSE)</f>
        <v>46077</v>
      </c>
      <c r="D381" s="57" t="s">
        <v>1286</v>
      </c>
      <c r="E381" s="147" t="s">
        <v>1008</v>
      </c>
      <c r="F381" s="57" t="s">
        <v>523</v>
      </c>
      <c r="G381" s="57"/>
      <c r="H381" s="57"/>
      <c r="I381" s="57" t="s">
        <v>1298</v>
      </c>
      <c r="J381" s="57" t="s">
        <v>1299</v>
      </c>
      <c r="K381" s="152"/>
      <c r="L381" s="145"/>
      <c r="M381" s="57"/>
    </row>
    <row r="382" spans="1:13" ht="19.5" customHeight="1">
      <c r="A382" s="57"/>
      <c r="B382" s="58"/>
      <c r="C382" s="396">
        <f xml:space="preserve"> VLOOKUP(E382, $A$3:$E$942, 2, FALSE)</f>
        <v>46069</v>
      </c>
      <c r="D382" s="45" t="s">
        <v>1286</v>
      </c>
      <c r="E382" s="11" t="s">
        <v>816</v>
      </c>
      <c r="F382" s="57" t="s">
        <v>517</v>
      </c>
      <c r="G382" s="57"/>
      <c r="H382" s="57"/>
      <c r="I382" s="57" t="s">
        <v>1298</v>
      </c>
      <c r="J382" s="57" t="s">
        <v>1299</v>
      </c>
      <c r="K382" s="277">
        <v>46028</v>
      </c>
      <c r="L382" s="145" t="s">
        <v>1300</v>
      </c>
      <c r="M382" s="57"/>
    </row>
    <row r="383" spans="1:13" ht="19.5" customHeight="1">
      <c r="A383" s="57"/>
      <c r="B383" s="58"/>
      <c r="C383" s="396">
        <f xml:space="preserve"> VLOOKUP(E383, $A$3:$E$942, 2, FALSE)</f>
        <v>46063</v>
      </c>
      <c r="D383" s="45" t="s">
        <v>1286</v>
      </c>
      <c r="E383" s="151" t="s">
        <v>813</v>
      </c>
      <c r="F383" s="57" t="s">
        <v>482</v>
      </c>
      <c r="G383" s="57"/>
      <c r="H383" s="57"/>
      <c r="I383" s="57" t="s">
        <v>956</v>
      </c>
      <c r="J383" s="57" t="s">
        <v>1301</v>
      </c>
      <c r="K383" s="152">
        <v>45685</v>
      </c>
      <c r="L383" s="145" t="s">
        <v>1302</v>
      </c>
      <c r="M383" s="57"/>
    </row>
    <row r="384" spans="1:13" ht="19.5" customHeight="1">
      <c r="A384" s="57"/>
      <c r="B384" s="58"/>
      <c r="C384" s="396">
        <f xml:space="preserve"> VLOOKUP(E384, $A$3:$E$942, 2, FALSE)</f>
        <v>46086</v>
      </c>
      <c r="D384" s="57" t="s">
        <v>1286</v>
      </c>
      <c r="E384" s="151" t="s">
        <v>1126</v>
      </c>
      <c r="F384" s="57" t="s">
        <v>106</v>
      </c>
      <c r="G384" s="57" t="s">
        <v>45</v>
      </c>
      <c r="H384" s="57"/>
      <c r="I384" s="57" t="s">
        <v>656</v>
      </c>
      <c r="J384" s="57" t="s">
        <v>1303</v>
      </c>
      <c r="K384" s="152"/>
      <c r="L384" s="145"/>
      <c r="M384" s="57"/>
    </row>
    <row r="385" spans="1:13" ht="19.5" customHeight="1">
      <c r="A385" s="57"/>
      <c r="B385" s="58"/>
      <c r="C385" s="396">
        <f xml:space="preserve"> VLOOKUP(E385, $A$3:$E$942, 2, FALSE)</f>
        <v>46078</v>
      </c>
      <c r="D385" s="57" t="s">
        <v>1286</v>
      </c>
      <c r="E385" s="151" t="s">
        <v>1130</v>
      </c>
      <c r="F385" s="57" t="s">
        <v>106</v>
      </c>
      <c r="G385" s="57" t="s">
        <v>45</v>
      </c>
      <c r="H385" s="57"/>
      <c r="I385" s="57" t="s">
        <v>1304</v>
      </c>
      <c r="J385" s="57" t="s">
        <v>1305</v>
      </c>
      <c r="K385" s="152"/>
      <c r="L385" s="145"/>
      <c r="M385" s="57"/>
    </row>
    <row r="386" spans="1:13" ht="19.5" customHeight="1">
      <c r="A386" s="305"/>
      <c r="B386" s="391"/>
      <c r="C386" s="396">
        <f xml:space="preserve"> VLOOKUP(E386, $A$3:$E$942, 2, FALSE)</f>
        <v>46077</v>
      </c>
      <c r="D386" s="36" t="s">
        <v>1306</v>
      </c>
      <c r="E386" s="11" t="s">
        <v>528</v>
      </c>
      <c r="F386" s="36" t="s">
        <v>66</v>
      </c>
      <c r="H386" s="36" t="s">
        <v>1307</v>
      </c>
      <c r="I386" s="36" t="s">
        <v>249</v>
      </c>
      <c r="J386" s="36" t="s">
        <v>1308</v>
      </c>
      <c r="K386" s="277">
        <v>46071</v>
      </c>
      <c r="L386" s="275" t="s">
        <v>1309</v>
      </c>
    </row>
    <row r="387" spans="1:13" ht="19.5" customHeight="1">
      <c r="A387" s="57"/>
      <c r="B387" s="57"/>
      <c r="C387" s="396">
        <f xml:space="preserve"> VLOOKUP(E387, $A$3:$E$942, 2, FALSE)</f>
        <v>46100</v>
      </c>
      <c r="D387" s="57" t="s">
        <v>1306</v>
      </c>
      <c r="E387" s="250" t="s">
        <v>1088</v>
      </c>
      <c r="F387" s="57" t="s">
        <v>688</v>
      </c>
      <c r="G387" s="57"/>
      <c r="H387" s="57"/>
      <c r="I387" s="57" t="s">
        <v>1310</v>
      </c>
      <c r="J387" s="57" t="s">
        <v>1311</v>
      </c>
      <c r="K387" s="152">
        <v>46042</v>
      </c>
      <c r="L387" s="145" t="s">
        <v>1312</v>
      </c>
      <c r="M387" s="57"/>
    </row>
    <row r="388" spans="1:13" ht="19.5" customHeight="1">
      <c r="A388" s="305"/>
      <c r="B388" s="391"/>
      <c r="C388" s="396">
        <f xml:space="preserve"> VLOOKUP(E388, $A$3:$E$942, 2, FALSE)</f>
        <v>46072</v>
      </c>
      <c r="D388" s="36" t="s">
        <v>1306</v>
      </c>
      <c r="E388" s="11" t="s">
        <v>510</v>
      </c>
      <c r="F388" s="36" t="s">
        <v>396</v>
      </c>
      <c r="H388" s="36" t="s">
        <v>1313</v>
      </c>
      <c r="I388" s="36" t="s">
        <v>1246</v>
      </c>
      <c r="J388" s="36" t="s">
        <v>1247</v>
      </c>
      <c r="K388" s="277">
        <v>46009</v>
      </c>
      <c r="L388" s="146" t="s">
        <v>1314</v>
      </c>
    </row>
    <row r="389" spans="1:13" ht="19.5" customHeight="1">
      <c r="A389" s="57"/>
      <c r="B389" s="58"/>
      <c r="C389" s="396">
        <f xml:space="preserve"> VLOOKUP(E389, $A$3:$E$942, 2, FALSE)</f>
        <v>46083</v>
      </c>
      <c r="D389" s="57" t="s">
        <v>1306</v>
      </c>
      <c r="E389" s="250" t="s">
        <v>1106</v>
      </c>
      <c r="F389" s="57" t="s">
        <v>396</v>
      </c>
      <c r="G389" s="57"/>
      <c r="H389" s="57" t="s">
        <v>1315</v>
      </c>
      <c r="I389" s="57" t="s">
        <v>916</v>
      </c>
      <c r="J389" s="57" t="s">
        <v>917</v>
      </c>
      <c r="K389" s="152">
        <v>46070</v>
      </c>
      <c r="L389" s="145" t="s">
        <v>1316</v>
      </c>
      <c r="M389" s="57"/>
    </row>
    <row r="390" spans="1:13" ht="19.5" customHeight="1">
      <c r="A390" s="305"/>
      <c r="B390" s="391"/>
      <c r="C390" s="396">
        <f xml:space="preserve"> VLOOKUP(E390, $A$3:$E$942, 2, FALSE)</f>
        <v>46083</v>
      </c>
      <c r="D390" s="36" t="s">
        <v>1306</v>
      </c>
      <c r="E390" s="11" t="s">
        <v>735</v>
      </c>
      <c r="F390" s="36" t="s">
        <v>166</v>
      </c>
      <c r="H390" s="36" t="s">
        <v>1317</v>
      </c>
      <c r="I390" s="36" t="s">
        <v>192</v>
      </c>
      <c r="J390" s="36" t="s">
        <v>1318</v>
      </c>
      <c r="K390" s="277">
        <v>46071</v>
      </c>
      <c r="L390" s="275"/>
    </row>
    <row r="391" spans="1:13" ht="19.5" customHeight="1">
      <c r="A391" s="305"/>
      <c r="B391" s="391"/>
      <c r="C391" s="396">
        <f xml:space="preserve"> VLOOKUP(E391, $A$3:$E$942, 2, FALSE)</f>
        <v>46083</v>
      </c>
      <c r="D391" s="36" t="s">
        <v>1319</v>
      </c>
      <c r="E391" s="11" t="s">
        <v>728</v>
      </c>
      <c r="F391" s="36" t="s">
        <v>66</v>
      </c>
      <c r="I391" s="36" t="s">
        <v>1320</v>
      </c>
      <c r="J391" s="36" t="s">
        <v>1321</v>
      </c>
      <c r="K391" s="277">
        <v>46066</v>
      </c>
      <c r="L391" s="146" t="s">
        <v>389</v>
      </c>
    </row>
    <row r="392" spans="1:13" ht="19.5" customHeight="1">
      <c r="A392" s="305"/>
      <c r="B392" s="391"/>
      <c r="C392" s="396">
        <f xml:space="preserve"> VLOOKUP(E392, $A$3:$E$942, 2, FALSE)</f>
        <v>46076</v>
      </c>
      <c r="D392" s="36" t="s">
        <v>1319</v>
      </c>
      <c r="E392" s="11" t="s">
        <v>646</v>
      </c>
      <c r="F392" s="36" t="s">
        <v>90</v>
      </c>
      <c r="I392" s="36" t="s">
        <v>1322</v>
      </c>
      <c r="J392" s="36" t="s">
        <v>1323</v>
      </c>
      <c r="K392" s="277">
        <v>46049</v>
      </c>
    </row>
    <row r="393" spans="1:13" ht="19.5" customHeight="1">
      <c r="A393" s="305"/>
      <c r="B393" s="391"/>
      <c r="C393" s="396" t="e">
        <f xml:space="preserve"> VLOOKUP(E393, $A$3:$E$942, 2, FALSE)</f>
        <v>#N/A</v>
      </c>
      <c r="D393" s="36" t="s">
        <v>1319</v>
      </c>
      <c r="E393" s="11" t="s">
        <v>1324</v>
      </c>
      <c r="F393" s="36" t="s">
        <v>230</v>
      </c>
      <c r="I393" s="36" t="s">
        <v>1325</v>
      </c>
      <c r="K393" s="277">
        <v>46036</v>
      </c>
      <c r="L393" s="146" t="s">
        <v>1326</v>
      </c>
    </row>
    <row r="394" spans="1:13" ht="19.5" customHeight="1">
      <c r="A394" s="305"/>
      <c r="B394" s="391"/>
      <c r="C394" s="396">
        <f xml:space="preserve"> VLOOKUP(E394, $A$3:$E$942, 2, FALSE)</f>
        <v>46080</v>
      </c>
      <c r="D394" s="36" t="s">
        <v>1319</v>
      </c>
      <c r="E394" s="11" t="s">
        <v>381</v>
      </c>
      <c r="F394" s="36" t="s">
        <v>523</v>
      </c>
      <c r="I394" s="36" t="s">
        <v>244</v>
      </c>
      <c r="J394" s="36" t="s">
        <v>1253</v>
      </c>
      <c r="K394" s="277">
        <v>46009</v>
      </c>
      <c r="L394" s="146" t="s">
        <v>1327</v>
      </c>
    </row>
    <row r="395" spans="1:13" ht="19.5" customHeight="1">
      <c r="A395" s="305"/>
      <c r="B395" s="391"/>
      <c r="C395" s="396" t="e">
        <f xml:space="preserve"> VLOOKUP(E395, $A$3:$E$942, 2, FALSE)</f>
        <v>#N/A</v>
      </c>
      <c r="D395" s="36" t="s">
        <v>1319</v>
      </c>
      <c r="E395" s="11" t="s">
        <v>1328</v>
      </c>
      <c r="F395" s="36" t="s">
        <v>81</v>
      </c>
      <c r="I395" s="36" t="s">
        <v>666</v>
      </c>
      <c r="J395" s="36" t="s">
        <v>1329</v>
      </c>
      <c r="K395" s="277">
        <v>46029</v>
      </c>
    </row>
    <row r="396" spans="1:13" ht="19.5" customHeight="1">
      <c r="A396" s="305"/>
      <c r="B396" s="391"/>
      <c r="C396" s="396">
        <f xml:space="preserve"> VLOOKUP(E396, $A$3:$E$942, 2, FALSE)</f>
        <v>46267</v>
      </c>
      <c r="D396" s="36" t="s">
        <v>1319</v>
      </c>
      <c r="E396" s="11" t="s">
        <v>436</v>
      </c>
      <c r="F396" s="36" t="s">
        <v>396</v>
      </c>
      <c r="G396" s="36" t="s">
        <v>45</v>
      </c>
      <c r="I396" s="36" t="s">
        <v>278</v>
      </c>
      <c r="J396" s="36" t="s">
        <v>1330</v>
      </c>
      <c r="K396" s="277">
        <v>45995</v>
      </c>
      <c r="L396" s="146" t="s">
        <v>1331</v>
      </c>
    </row>
    <row r="397" spans="1:13" ht="19.5" customHeight="1">
      <c r="A397" s="305"/>
      <c r="B397" s="391"/>
      <c r="C397" s="396">
        <f xml:space="preserve"> VLOOKUP(E397, $A$3:$E$942, 2, FALSE)</f>
        <v>46076</v>
      </c>
      <c r="D397" s="36" t="s">
        <v>1319</v>
      </c>
      <c r="E397" s="36" t="s">
        <v>190</v>
      </c>
      <c r="F397" s="36" t="s">
        <v>230</v>
      </c>
      <c r="H397" s="36" t="s">
        <v>1332</v>
      </c>
      <c r="I397" s="36" t="s">
        <v>1333</v>
      </c>
      <c r="J397" s="36" t="s">
        <v>1334</v>
      </c>
      <c r="K397" s="277">
        <v>46064</v>
      </c>
      <c r="L397" s="146" t="s">
        <v>343</v>
      </c>
    </row>
    <row r="398" spans="1:13" ht="19.5" customHeight="1">
      <c r="A398" s="305"/>
      <c r="B398" s="391"/>
      <c r="C398" s="396">
        <f xml:space="preserve"> VLOOKUP(E398, $A$3:$E$942, 2, FALSE)</f>
        <v>46072</v>
      </c>
      <c r="D398" s="36" t="s">
        <v>1319</v>
      </c>
      <c r="E398" s="11" t="s">
        <v>701</v>
      </c>
      <c r="F398" s="36" t="s">
        <v>1258</v>
      </c>
      <c r="I398" s="36" t="s">
        <v>1335</v>
      </c>
      <c r="J398" s="36" t="s">
        <v>1336</v>
      </c>
      <c r="K398" s="277">
        <v>46062</v>
      </c>
      <c r="L398" s="146" t="s">
        <v>389</v>
      </c>
    </row>
    <row r="399" spans="1:13" ht="19.5" customHeight="1">
      <c r="A399" s="305"/>
      <c r="B399" s="391"/>
      <c r="C399" s="396">
        <f xml:space="preserve"> VLOOKUP(E399, $A$3:$E$942, 2, FALSE)</f>
        <v>46083</v>
      </c>
      <c r="D399" s="36" t="s">
        <v>1319</v>
      </c>
      <c r="E399" s="11" t="s">
        <v>662</v>
      </c>
      <c r="F399" s="36" t="s">
        <v>44</v>
      </c>
      <c r="G399" s="36" t="s">
        <v>45</v>
      </c>
      <c r="I399" s="36" t="s">
        <v>814</v>
      </c>
      <c r="J399" s="36" t="s">
        <v>1133</v>
      </c>
      <c r="K399" s="277"/>
      <c r="L399" s="275" t="s">
        <v>1337</v>
      </c>
      <c r="M399" s="36" t="s">
        <v>1338</v>
      </c>
    </row>
    <row r="400" spans="1:13" ht="19.5" customHeight="1">
      <c r="A400" s="57"/>
      <c r="B400" s="58"/>
      <c r="C400" s="396">
        <f xml:space="preserve"> VLOOKUP(E400, $A$3:$E$942, 2, FALSE)</f>
        <v>46076</v>
      </c>
      <c r="D400" s="57" t="s">
        <v>1319</v>
      </c>
      <c r="E400" s="250" t="s">
        <v>1082</v>
      </c>
      <c r="F400" s="57" t="s">
        <v>90</v>
      </c>
      <c r="G400" s="57"/>
      <c r="H400" s="57" t="s">
        <v>1339</v>
      </c>
      <c r="I400" s="57" t="s">
        <v>902</v>
      </c>
      <c r="J400" s="57" t="s">
        <v>1340</v>
      </c>
      <c r="K400" s="152">
        <v>46062</v>
      </c>
      <c r="L400" s="145" t="s">
        <v>343</v>
      </c>
      <c r="M400" s="57" t="s">
        <v>1341</v>
      </c>
    </row>
    <row r="401" spans="1:13" ht="19.5" customHeight="1">
      <c r="A401" s="57"/>
      <c r="B401" s="58"/>
      <c r="C401" s="396">
        <f xml:space="preserve"> VLOOKUP(E401, $A$3:$E$942, 2, FALSE)</f>
        <v>46084</v>
      </c>
      <c r="D401" s="57" t="s">
        <v>1319</v>
      </c>
      <c r="E401" s="250" t="s">
        <v>1101</v>
      </c>
      <c r="F401" s="57" t="s">
        <v>66</v>
      </c>
      <c r="G401" s="57"/>
      <c r="H401" s="57" t="s">
        <v>1342</v>
      </c>
      <c r="I401" s="57" t="s">
        <v>1343</v>
      </c>
      <c r="J401" s="57" t="s">
        <v>1344</v>
      </c>
      <c r="K401" s="152">
        <v>46059</v>
      </c>
      <c r="L401" s="145" t="s">
        <v>389</v>
      </c>
      <c r="M401" s="57"/>
    </row>
    <row r="402" spans="1:13" ht="19.5" customHeight="1">
      <c r="A402" s="57"/>
      <c r="B402" s="58"/>
      <c r="C402" s="396">
        <f xml:space="preserve"> VLOOKUP(E402, $A$3:$E$942, 2, FALSE)</f>
        <v>46086</v>
      </c>
      <c r="D402" s="57" t="s">
        <v>1319</v>
      </c>
      <c r="E402" s="250" t="s">
        <v>999</v>
      </c>
      <c r="F402" s="57" t="s">
        <v>44</v>
      </c>
      <c r="G402" s="57" t="s">
        <v>45</v>
      </c>
      <c r="H402" s="57" t="s">
        <v>1345</v>
      </c>
      <c r="I402" s="57" t="s">
        <v>773</v>
      </c>
      <c r="J402" s="57" t="s">
        <v>774</v>
      </c>
      <c r="K402" s="152">
        <v>45988</v>
      </c>
      <c r="L402" s="145" t="s">
        <v>1346</v>
      </c>
      <c r="M402" s="57"/>
    </row>
    <row r="403" spans="1:13" ht="19.5" customHeight="1">
      <c r="A403" s="57"/>
      <c r="B403" s="58"/>
      <c r="C403" s="396">
        <f xml:space="preserve"> VLOOKUP(E403, $A$3:$E$942, 2, FALSE)</f>
        <v>46091</v>
      </c>
      <c r="D403" s="45" t="s">
        <v>1319</v>
      </c>
      <c r="E403" s="151" t="s">
        <v>901</v>
      </c>
      <c r="F403" s="57" t="s">
        <v>523</v>
      </c>
      <c r="G403" s="57"/>
      <c r="H403" s="57"/>
      <c r="I403" s="57" t="s">
        <v>1165</v>
      </c>
      <c r="J403" s="57" t="s">
        <v>1166</v>
      </c>
      <c r="K403" s="152">
        <v>46034</v>
      </c>
      <c r="L403" s="145" t="s">
        <v>1347</v>
      </c>
      <c r="M403" s="57"/>
    </row>
    <row r="404" spans="1:13" ht="19.5" customHeight="1">
      <c r="A404" s="57"/>
      <c r="B404" s="57"/>
      <c r="C404" s="396" t="e">
        <f xml:space="preserve"> VLOOKUP(E404, $A$3:$E$942, 2, FALSE)</f>
        <v>#N/A</v>
      </c>
      <c r="D404" s="45" t="s">
        <v>1319</v>
      </c>
      <c r="E404" s="151" t="s">
        <v>1348</v>
      </c>
      <c r="F404" s="57" t="s">
        <v>523</v>
      </c>
      <c r="G404" s="57"/>
      <c r="H404" s="57"/>
      <c r="I404" s="57" t="s">
        <v>934</v>
      </c>
      <c r="J404" s="57" t="s">
        <v>893</v>
      </c>
      <c r="K404" s="277">
        <v>46043</v>
      </c>
      <c r="L404" s="145" t="s">
        <v>1349</v>
      </c>
      <c r="M404" s="57"/>
    </row>
    <row r="405" spans="1:13" ht="19.5" customHeight="1">
      <c r="A405" s="57"/>
      <c r="B405" s="58"/>
      <c r="C405" s="396">
        <f xml:space="preserve"> VLOOKUP(E405, $A$3:$E$942, 2, FALSE)</f>
        <v>46086</v>
      </c>
      <c r="D405" s="45" t="s">
        <v>1319</v>
      </c>
      <c r="E405" s="11" t="s">
        <v>870</v>
      </c>
      <c r="F405" s="57" t="s">
        <v>517</v>
      </c>
      <c r="G405" s="57"/>
      <c r="H405" s="57"/>
      <c r="I405" s="57" t="s">
        <v>487</v>
      </c>
      <c r="J405" s="57" t="s">
        <v>1174</v>
      </c>
      <c r="K405" s="152">
        <v>45979</v>
      </c>
      <c r="L405" s="145" t="s">
        <v>314</v>
      </c>
      <c r="M405" s="57"/>
    </row>
    <row r="406" spans="1:13" ht="19.5" customHeight="1">
      <c r="A406" s="57"/>
      <c r="B406" s="58"/>
      <c r="C406" s="396" t="e">
        <f xml:space="preserve"> VLOOKUP(E406, $A$3:$E$942, 2, FALSE)</f>
        <v>#N/A</v>
      </c>
      <c r="D406" s="57" t="s">
        <v>1319</v>
      </c>
      <c r="E406" s="250" t="s">
        <v>1350</v>
      </c>
      <c r="F406" s="57" t="s">
        <v>482</v>
      </c>
      <c r="G406" s="57"/>
      <c r="H406" s="57"/>
      <c r="I406" s="57" t="s">
        <v>487</v>
      </c>
      <c r="J406" s="57" t="s">
        <v>1174</v>
      </c>
      <c r="K406" s="152">
        <v>45979</v>
      </c>
      <c r="L406" s="145"/>
      <c r="M406" s="57"/>
    </row>
    <row r="407" spans="1:13" ht="19.5" customHeight="1">
      <c r="A407" s="57"/>
      <c r="B407" s="58"/>
      <c r="C407" s="396">
        <f xml:space="preserve"> VLOOKUP(E407, $A$3:$E$942, 2, FALSE)</f>
        <v>46076</v>
      </c>
      <c r="D407" s="45" t="s">
        <v>1319</v>
      </c>
      <c r="E407" s="11" t="s">
        <v>810</v>
      </c>
      <c r="F407" s="57" t="s">
        <v>517</v>
      </c>
      <c r="G407" s="57"/>
      <c r="H407" s="57"/>
      <c r="I407" s="57" t="s">
        <v>641</v>
      </c>
      <c r="J407" s="57" t="s">
        <v>1351</v>
      </c>
      <c r="K407" s="152">
        <v>46007</v>
      </c>
      <c r="L407" s="145" t="s">
        <v>380</v>
      </c>
      <c r="M407" s="57"/>
    </row>
    <row r="408" spans="1:13" ht="19.5" customHeight="1">
      <c r="A408" s="57"/>
      <c r="B408" s="58"/>
      <c r="C408" s="396">
        <f xml:space="preserve"> VLOOKUP(E408, $A$3:$E$942, 2, FALSE)</f>
        <v>46078</v>
      </c>
      <c r="D408" s="45" t="s">
        <v>1319</v>
      </c>
      <c r="E408" s="11" t="s">
        <v>807</v>
      </c>
      <c r="F408" s="57" t="s">
        <v>517</v>
      </c>
      <c r="G408" s="57"/>
      <c r="H408" s="57"/>
      <c r="I408" s="57" t="s">
        <v>641</v>
      </c>
      <c r="J408" s="57" t="s">
        <v>1352</v>
      </c>
      <c r="K408" s="152">
        <v>46008</v>
      </c>
      <c r="L408" s="145" t="s">
        <v>402</v>
      </c>
      <c r="M408" s="57"/>
    </row>
    <row r="409" spans="1:13" ht="19.5" customHeight="1">
      <c r="A409" s="57"/>
      <c r="B409" s="58"/>
      <c r="C409" s="396" t="e">
        <f xml:space="preserve"> VLOOKUP(E409, $A$3:$E$942, 2, FALSE)</f>
        <v>#N/A</v>
      </c>
      <c r="D409" s="45" t="s">
        <v>1319</v>
      </c>
      <c r="E409" s="11" t="s">
        <v>1353</v>
      </c>
      <c r="F409" s="57" t="s">
        <v>472</v>
      </c>
      <c r="G409" s="57"/>
      <c r="H409" s="57"/>
      <c r="I409" s="57" t="s">
        <v>641</v>
      </c>
      <c r="J409" s="57" t="s">
        <v>1181</v>
      </c>
      <c r="K409" s="152">
        <v>46008</v>
      </c>
      <c r="L409" s="145" t="s">
        <v>380</v>
      </c>
      <c r="M409" s="57"/>
    </row>
    <row r="410" spans="1:13" ht="19.5" customHeight="1">
      <c r="A410" s="57"/>
      <c r="B410" s="58"/>
      <c r="C410" s="396" t="e">
        <f xml:space="preserve"> VLOOKUP(E410, $A$3:$E$942, 2, FALSE)</f>
        <v>#N/A</v>
      </c>
      <c r="D410" s="45" t="s">
        <v>1319</v>
      </c>
      <c r="E410" s="11" t="s">
        <v>1354</v>
      </c>
      <c r="F410" s="57" t="s">
        <v>472</v>
      </c>
      <c r="G410" s="57"/>
      <c r="H410" s="57"/>
      <c r="I410" s="57" t="s">
        <v>1295</v>
      </c>
      <c r="J410" s="57" t="s">
        <v>1296</v>
      </c>
      <c r="K410" s="152">
        <v>45967</v>
      </c>
      <c r="L410" s="145" t="s">
        <v>1355</v>
      </c>
      <c r="M410" s="57"/>
    </row>
    <row r="411" spans="1:13" ht="19.5" customHeight="1">
      <c r="A411" s="57"/>
      <c r="B411" s="58"/>
      <c r="C411" s="396">
        <f xml:space="preserve"> VLOOKUP(E411, $A$3:$E$942, 2, FALSE)</f>
        <v>46072</v>
      </c>
      <c r="D411" s="45" t="s">
        <v>1319</v>
      </c>
      <c r="E411" s="11" t="s">
        <v>787</v>
      </c>
      <c r="F411" s="57" t="s">
        <v>523</v>
      </c>
      <c r="G411" s="57"/>
      <c r="H411" s="57" t="s">
        <v>1356</v>
      </c>
      <c r="I411" s="57" t="s">
        <v>581</v>
      </c>
      <c r="J411" s="57" t="s">
        <v>1186</v>
      </c>
      <c r="K411" s="152">
        <v>45958</v>
      </c>
      <c r="L411" s="145"/>
      <c r="M411" s="57"/>
    </row>
    <row r="412" spans="1:13" ht="19.5" customHeight="1">
      <c r="A412" s="57"/>
      <c r="B412" s="58"/>
      <c r="C412" s="396">
        <f xml:space="preserve"> VLOOKUP(E412, $A$3:$E$942, 2, FALSE)</f>
        <v>46111</v>
      </c>
      <c r="D412" s="57" t="s">
        <v>1319</v>
      </c>
      <c r="E412" s="250" t="s">
        <v>1095</v>
      </c>
      <c r="F412" s="57">
        <v>72</v>
      </c>
      <c r="G412" s="57"/>
      <c r="H412" s="57"/>
      <c r="I412" s="57" t="s">
        <v>467</v>
      </c>
      <c r="J412" s="57" t="s">
        <v>1357</v>
      </c>
      <c r="K412" s="360">
        <v>46063</v>
      </c>
      <c r="L412" s="145" t="s">
        <v>1358</v>
      </c>
      <c r="M412" s="57"/>
    </row>
    <row r="413" spans="1:13" ht="19.5" customHeight="1">
      <c r="A413" s="57"/>
      <c r="B413" s="58"/>
      <c r="C413" s="396" t="e">
        <f xml:space="preserve"> VLOOKUP(E413, $A$3:$E$942, 2, FALSE)</f>
        <v>#N/A</v>
      </c>
      <c r="D413" s="45" t="s">
        <v>1319</v>
      </c>
      <c r="E413" s="11" t="s">
        <v>1359</v>
      </c>
      <c r="F413" s="57" t="s">
        <v>820</v>
      </c>
      <c r="G413" s="57"/>
      <c r="H413" s="57"/>
      <c r="I413" s="57" t="s">
        <v>614</v>
      </c>
      <c r="J413" s="57" t="s">
        <v>1360</v>
      </c>
      <c r="K413" s="152">
        <v>46063</v>
      </c>
      <c r="L413" s="145" t="s">
        <v>389</v>
      </c>
      <c r="M413" s="57"/>
    </row>
    <row r="414" spans="1:13" ht="19.5" customHeight="1">
      <c r="A414" s="57"/>
      <c r="B414" s="58"/>
      <c r="C414" s="396">
        <f xml:space="preserve"> VLOOKUP(E414, $A$3:$E$942, 2, FALSE)</f>
        <v>46076</v>
      </c>
      <c r="D414" s="57" t="s">
        <v>1319</v>
      </c>
      <c r="E414" s="250" t="s">
        <v>1005</v>
      </c>
      <c r="F414" s="57" t="s">
        <v>90</v>
      </c>
      <c r="G414" s="57"/>
      <c r="H414" s="57"/>
      <c r="I414" s="57" t="s">
        <v>1361</v>
      </c>
      <c r="J414" s="57" t="s">
        <v>1362</v>
      </c>
      <c r="K414" s="152">
        <v>46069</v>
      </c>
      <c r="L414" s="145" t="s">
        <v>389</v>
      </c>
      <c r="M414" s="57"/>
    </row>
    <row r="415" spans="1:13" ht="19.5" customHeight="1">
      <c r="A415" s="57"/>
      <c r="B415" s="58"/>
      <c r="C415" s="396">
        <f xml:space="preserve"> VLOOKUP(E415, $A$3:$E$942, 2, FALSE)</f>
        <v>46097</v>
      </c>
      <c r="D415" s="57" t="s">
        <v>1319</v>
      </c>
      <c r="E415" s="250" t="s">
        <v>1020</v>
      </c>
      <c r="F415" s="57" t="s">
        <v>396</v>
      </c>
      <c r="G415" s="57" t="s">
        <v>45</v>
      </c>
      <c r="H415" s="57"/>
      <c r="I415" s="57" t="s">
        <v>609</v>
      </c>
      <c r="J415" s="57" t="s">
        <v>1363</v>
      </c>
      <c r="K415" s="152">
        <v>46069</v>
      </c>
      <c r="L415" s="145" t="s">
        <v>1331</v>
      </c>
      <c r="M415" s="57" t="s">
        <v>1364</v>
      </c>
    </row>
    <row r="416" spans="1:13" ht="19.5" customHeight="1">
      <c r="A416" s="57"/>
      <c r="B416" s="58"/>
      <c r="C416" s="396">
        <f xml:space="preserve"> VLOOKUP(E416, $A$3:$E$942, 2, FALSE)</f>
        <v>46084</v>
      </c>
      <c r="D416" s="45" t="s">
        <v>1319</v>
      </c>
      <c r="E416" s="151" t="s">
        <v>909</v>
      </c>
      <c r="F416" s="57" t="s">
        <v>523</v>
      </c>
      <c r="G416" s="57"/>
      <c r="H416" s="57"/>
      <c r="I416" s="57" t="s">
        <v>1163</v>
      </c>
      <c r="J416" s="57" t="s">
        <v>1164</v>
      </c>
      <c r="K416" s="152">
        <v>46072</v>
      </c>
      <c r="L416" s="145" t="s">
        <v>389</v>
      </c>
      <c r="M416" s="57"/>
    </row>
    <row r="417" spans="1:13" ht="19.5" customHeight="1">
      <c r="A417" s="305"/>
      <c r="B417" s="391"/>
      <c r="C417" s="396">
        <f xml:space="preserve"> VLOOKUP(E417, $A$3:$E$942, 2, FALSE)</f>
        <v>46083</v>
      </c>
      <c r="D417" s="36" t="s">
        <v>1319</v>
      </c>
      <c r="E417" s="11" t="s">
        <v>723</v>
      </c>
      <c r="F417" s="36" t="s">
        <v>44</v>
      </c>
      <c r="I417" s="36" t="s">
        <v>137</v>
      </c>
      <c r="J417" s="36" t="s">
        <v>1365</v>
      </c>
      <c r="K417" s="277">
        <v>46071</v>
      </c>
      <c r="L417" s="275" t="s">
        <v>1366</v>
      </c>
    </row>
    <row r="418" spans="1:13" ht="19.5" customHeight="1">
      <c r="A418" s="305"/>
      <c r="B418" s="391"/>
      <c r="C418" s="396">
        <f xml:space="preserve"> VLOOKUP(E418, $A$3:$E$942, 2, FALSE)</f>
        <v>46253</v>
      </c>
      <c r="D418" s="36" t="s">
        <v>1319</v>
      </c>
      <c r="E418" s="11" t="s">
        <v>650</v>
      </c>
      <c r="F418" s="36" t="s">
        <v>90</v>
      </c>
      <c r="I418" s="36" t="s">
        <v>1367</v>
      </c>
      <c r="J418" s="36" t="s">
        <v>1368</v>
      </c>
      <c r="K418" s="277">
        <v>46076</v>
      </c>
      <c r="L418" s="325" t="s">
        <v>1369</v>
      </c>
    </row>
    <row r="419" spans="1:13" ht="19.5" customHeight="1">
      <c r="A419" s="305"/>
      <c r="B419" s="391"/>
      <c r="C419" s="396">
        <f xml:space="preserve"> VLOOKUP(E419, $A$3:$E$942, 2, FALSE)</f>
        <v>46087</v>
      </c>
      <c r="D419" s="36" t="s">
        <v>1319</v>
      </c>
      <c r="E419" s="11" t="s">
        <v>368</v>
      </c>
      <c r="F419" s="36" t="s">
        <v>90</v>
      </c>
      <c r="I419" s="36" t="s">
        <v>896</v>
      </c>
      <c r="J419" s="36" t="s">
        <v>1370</v>
      </c>
      <c r="K419" s="277">
        <v>46076</v>
      </c>
      <c r="L419" s="146" t="s">
        <v>1371</v>
      </c>
    </row>
    <row r="420" spans="1:13" ht="19.5" customHeight="1">
      <c r="A420" s="305"/>
      <c r="B420" s="391"/>
      <c r="C420" s="396">
        <f xml:space="preserve"> VLOOKUP(E420, $A$3:$E$942, 2, FALSE)</f>
        <v>46076</v>
      </c>
      <c r="D420" s="36" t="s">
        <v>1372</v>
      </c>
      <c r="E420" s="11" t="s">
        <v>686</v>
      </c>
      <c r="F420" s="36">
        <v>72</v>
      </c>
      <c r="I420" s="36" t="s">
        <v>861</v>
      </c>
      <c r="J420" s="36" t="s">
        <v>1373</v>
      </c>
      <c r="K420" s="277">
        <v>46064</v>
      </c>
      <c r="L420" s="275" t="s">
        <v>1374</v>
      </c>
    </row>
    <row r="421" spans="1:13" ht="19.5" customHeight="1">
      <c r="A421" s="305"/>
      <c r="B421" s="391"/>
      <c r="C421" s="396">
        <f xml:space="preserve"> VLOOKUP(E421, $A$3:$E$942, 2, FALSE)</f>
        <v>46072</v>
      </c>
      <c r="D421" s="36" t="s">
        <v>1372</v>
      </c>
      <c r="E421" s="11" t="s">
        <v>705</v>
      </c>
      <c r="F421" s="36" t="s">
        <v>44</v>
      </c>
      <c r="I421" s="36" t="s">
        <v>1073</v>
      </c>
      <c r="J421" s="36" t="s">
        <v>1375</v>
      </c>
      <c r="K421" s="277">
        <v>46066</v>
      </c>
      <c r="L421" s="275" t="s">
        <v>1376</v>
      </c>
      <c r="M421" s="36" t="s">
        <v>1377</v>
      </c>
    </row>
    <row r="422" spans="1:13" ht="19.5" customHeight="1">
      <c r="A422" s="305"/>
      <c r="B422" s="391"/>
      <c r="C422" s="396">
        <f xml:space="preserve"> VLOOKUP(E422, $A$3:$E$942, 2, FALSE)</f>
        <v>46072</v>
      </c>
      <c r="D422" s="36" t="s">
        <v>1372</v>
      </c>
      <c r="E422" s="11" t="s">
        <v>1237</v>
      </c>
      <c r="F422" s="36" t="s">
        <v>44</v>
      </c>
      <c r="I422" s="36" t="s">
        <v>861</v>
      </c>
      <c r="J422" s="36" t="s">
        <v>1373</v>
      </c>
      <c r="L422" s="275" t="s">
        <v>1378</v>
      </c>
      <c r="M422" s="36" t="s">
        <v>1379</v>
      </c>
    </row>
    <row r="423" spans="1:13" ht="19.5" customHeight="1">
      <c r="A423" s="305"/>
      <c r="B423" s="391"/>
      <c r="C423" s="396">
        <f xml:space="preserve"> VLOOKUP(E423, $A$3:$E$942, 2, FALSE)</f>
        <v>46083</v>
      </c>
      <c r="D423" s="36" t="s">
        <v>1372</v>
      </c>
      <c r="E423" s="11" t="s">
        <v>745</v>
      </c>
      <c r="F423" s="36">
        <v>72</v>
      </c>
      <c r="I423" s="36" t="s">
        <v>1073</v>
      </c>
      <c r="J423" s="36" t="s">
        <v>1380</v>
      </c>
      <c r="L423" s="146" t="s">
        <v>1381</v>
      </c>
    </row>
    <row r="424" spans="1:13" ht="19.5" customHeight="1">
      <c r="A424" s="305"/>
      <c r="B424" s="391"/>
      <c r="C424" s="396">
        <f xml:space="preserve"> VLOOKUP(E424, $A$3:$E$942, 2, FALSE)</f>
        <v>46078</v>
      </c>
      <c r="D424" s="36" t="s">
        <v>1372</v>
      </c>
      <c r="E424" s="11" t="s">
        <v>604</v>
      </c>
      <c r="F424" s="36" t="s">
        <v>396</v>
      </c>
      <c r="G424" s="36" t="s">
        <v>45</v>
      </c>
      <c r="I424" s="36" t="s">
        <v>1112</v>
      </c>
      <c r="J424" s="36" t="s">
        <v>1113</v>
      </c>
      <c r="K424" s="277">
        <v>46071</v>
      </c>
      <c r="L424" s="275" t="s">
        <v>881</v>
      </c>
    </row>
    <row r="425" spans="1:13" ht="19.5" customHeight="1">
      <c r="A425" s="305"/>
      <c r="B425" s="391"/>
      <c r="C425" s="396">
        <f xml:space="preserve"> VLOOKUP(E425, $A$3:$E$942, 2, FALSE)</f>
        <v>46084</v>
      </c>
      <c r="D425" s="36" t="s">
        <v>1372</v>
      </c>
      <c r="E425" s="11" t="s">
        <v>534</v>
      </c>
      <c r="F425" s="36" t="s">
        <v>803</v>
      </c>
      <c r="H425" s="36" t="s">
        <v>1382</v>
      </c>
      <c r="I425" s="36" t="s">
        <v>341</v>
      </c>
      <c r="J425" s="36" t="s">
        <v>1269</v>
      </c>
      <c r="K425" s="277">
        <v>46072</v>
      </c>
      <c r="L425" s="146" t="s">
        <v>343</v>
      </c>
    </row>
    <row r="426" spans="1:13" ht="19.5" customHeight="1">
      <c r="A426" s="57"/>
      <c r="B426" s="57"/>
      <c r="C426" s="396">
        <f xml:space="preserve"> VLOOKUP(E426, $A$3:$E$942, 2, FALSE)</f>
        <v>46079</v>
      </c>
      <c r="D426" s="57" t="s">
        <v>1372</v>
      </c>
      <c r="E426" s="250" t="s">
        <v>1119</v>
      </c>
      <c r="F426" s="57" t="s">
        <v>1383</v>
      </c>
      <c r="G426" s="57"/>
      <c r="H426" s="57"/>
      <c r="I426" s="57" t="s">
        <v>1224</v>
      </c>
      <c r="J426" s="57" t="s">
        <v>1230</v>
      </c>
      <c r="K426" s="152">
        <v>46070</v>
      </c>
      <c r="L426" s="145" t="s">
        <v>343</v>
      </c>
      <c r="M426" s="57"/>
    </row>
    <row r="427" spans="1:13" ht="19.5" customHeight="1">
      <c r="A427" s="57"/>
      <c r="B427" s="57"/>
      <c r="C427" s="396">
        <f xml:space="preserve"> VLOOKUP(E427, $A$3:$E$942, 2, FALSE)</f>
        <v>46083</v>
      </c>
      <c r="D427" s="57" t="s">
        <v>1372</v>
      </c>
      <c r="E427" s="250" t="s">
        <v>1117</v>
      </c>
      <c r="F427" s="57" t="s">
        <v>44</v>
      </c>
      <c r="G427" s="57"/>
      <c r="H427" s="57"/>
      <c r="I427" s="57" t="s">
        <v>540</v>
      </c>
      <c r="J427" s="57" t="s">
        <v>1384</v>
      </c>
      <c r="K427" s="152">
        <v>46072</v>
      </c>
      <c r="L427" s="275" t="s">
        <v>389</v>
      </c>
      <c r="M427" s="57"/>
    </row>
    <row r="428" spans="1:13" ht="19.5" customHeight="1">
      <c r="A428" s="305"/>
      <c r="B428" s="391"/>
      <c r="C428" s="396">
        <f xml:space="preserve"> VLOOKUP(E428, $A$3:$E$942, 2, FALSE)</f>
        <v>46090</v>
      </c>
      <c r="D428" s="36" t="s">
        <v>1372</v>
      </c>
      <c r="E428" s="11" t="s">
        <v>1385</v>
      </c>
      <c r="F428" s="36" t="s">
        <v>230</v>
      </c>
      <c r="I428" s="36" t="s">
        <v>196</v>
      </c>
      <c r="J428" s="36" t="s">
        <v>1386</v>
      </c>
      <c r="K428" s="277">
        <v>46076</v>
      </c>
      <c r="L428" s="146" t="s">
        <v>343</v>
      </c>
    </row>
    <row r="429" spans="1:13" ht="19.5" customHeight="1">
      <c r="A429" s="305" t="s">
        <v>1385</v>
      </c>
      <c r="B429" s="391">
        <v>46090</v>
      </c>
      <c r="C429" s="396">
        <f xml:space="preserve"> VLOOKUP(E429, $A$2:$E$822, 2, FALSE)</f>
        <v>46083</v>
      </c>
      <c r="D429" s="36" t="s">
        <v>1387</v>
      </c>
      <c r="E429" s="11" t="s">
        <v>629</v>
      </c>
      <c r="F429" s="36" t="s">
        <v>90</v>
      </c>
      <c r="I429" s="36" t="s">
        <v>1388</v>
      </c>
      <c r="J429" s="36" t="s">
        <v>1389</v>
      </c>
      <c r="K429" s="277">
        <v>46064</v>
      </c>
      <c r="L429" s="146" t="s">
        <v>1390</v>
      </c>
    </row>
    <row r="430" spans="1:13" ht="19.5" customHeight="1">
      <c r="A430" s="57"/>
      <c r="B430" s="58"/>
      <c r="C430" s="396">
        <f xml:space="preserve"> VLOOKUP(E430, $A$3:$E$942, 2, FALSE)</f>
        <v>46083</v>
      </c>
      <c r="D430" s="45" t="s">
        <v>1387</v>
      </c>
      <c r="E430" s="151" t="s">
        <v>962</v>
      </c>
      <c r="F430" s="294">
        <v>72</v>
      </c>
      <c r="G430" s="57" t="s">
        <v>45</v>
      </c>
      <c r="H430" s="57"/>
      <c r="I430" s="57" t="s">
        <v>531</v>
      </c>
      <c r="J430" s="57" t="s">
        <v>1153</v>
      </c>
      <c r="K430" s="152">
        <v>46077</v>
      </c>
      <c r="L430" s="145" t="s">
        <v>1391</v>
      </c>
      <c r="M430" s="57"/>
    </row>
    <row r="431" spans="1:13" ht="19.5" customHeight="1">
      <c r="A431" s="301"/>
      <c r="B431" s="392"/>
      <c r="C431" s="396">
        <f xml:space="preserve"> VLOOKUP(E431, $A$3:$E$942, 2, FALSE)</f>
        <v>46092</v>
      </c>
      <c r="D431" s="36" t="s">
        <v>1387</v>
      </c>
      <c r="E431" s="36" t="s">
        <v>203</v>
      </c>
      <c r="F431" s="36" t="s">
        <v>100</v>
      </c>
      <c r="I431" s="36" t="s">
        <v>77</v>
      </c>
      <c r="J431" s="36" t="s">
        <v>1392</v>
      </c>
      <c r="K431" s="276"/>
    </row>
    <row r="432" spans="1:13" ht="19.5" customHeight="1">
      <c r="A432" s="305"/>
      <c r="B432" s="391"/>
      <c r="C432" s="396">
        <f xml:space="preserve"> VLOOKUP(E432, $A$3:$E$942, 2, FALSE)</f>
        <v>46087</v>
      </c>
      <c r="D432" s="36" t="s">
        <v>1387</v>
      </c>
      <c r="E432" s="11" t="s">
        <v>443</v>
      </c>
      <c r="F432" s="36" t="s">
        <v>90</v>
      </c>
      <c r="I432" s="36" t="s">
        <v>110</v>
      </c>
      <c r="J432" s="36" t="s">
        <v>1393</v>
      </c>
      <c r="K432" s="277">
        <v>46077</v>
      </c>
      <c r="L432" s="146" t="s">
        <v>1394</v>
      </c>
    </row>
    <row r="433" spans="1:13" ht="19.5" customHeight="1">
      <c r="A433" s="305"/>
      <c r="B433" s="391"/>
      <c r="C433" s="396">
        <f xml:space="preserve"> VLOOKUP(E433, $A$3:$E$942, 2, FALSE)</f>
        <v>46083</v>
      </c>
      <c r="D433" s="36" t="s">
        <v>1387</v>
      </c>
      <c r="E433" s="11" t="s">
        <v>543</v>
      </c>
      <c r="F433" s="36" t="s">
        <v>90</v>
      </c>
      <c r="I433" s="36" t="s">
        <v>821</v>
      </c>
      <c r="J433" s="36" t="s">
        <v>1395</v>
      </c>
      <c r="K433" s="277">
        <v>46076</v>
      </c>
      <c r="L433" s="298"/>
    </row>
    <row r="434" spans="1:13" ht="19.5" customHeight="1">
      <c r="A434" s="301"/>
      <c r="B434" s="391"/>
      <c r="C434" s="396">
        <f xml:space="preserve"> VLOOKUP(E434, $A$3:$E$942, 2, FALSE)</f>
        <v>46104</v>
      </c>
      <c r="D434" s="36" t="s">
        <v>1387</v>
      </c>
      <c r="E434" s="11" t="s">
        <v>557</v>
      </c>
      <c r="F434" s="36" t="s">
        <v>57</v>
      </c>
      <c r="I434" s="36" t="s">
        <v>1396</v>
      </c>
      <c r="J434" s="36" t="s">
        <v>1397</v>
      </c>
      <c r="K434" s="277">
        <v>46092</v>
      </c>
      <c r="L434" s="298" t="s">
        <v>1398</v>
      </c>
    </row>
    <row r="435" spans="1:13" ht="19.5" customHeight="1">
      <c r="A435" s="305"/>
      <c r="B435" s="391"/>
      <c r="C435" s="396">
        <f xml:space="preserve"> VLOOKUP(E435, $A$3:$E$942, 2, FALSE)</f>
        <v>46086</v>
      </c>
      <c r="D435" s="36" t="s">
        <v>1387</v>
      </c>
      <c r="E435" s="11" t="s">
        <v>632</v>
      </c>
      <c r="F435" s="36" t="s">
        <v>803</v>
      </c>
      <c r="I435" s="36" t="s">
        <v>1399</v>
      </c>
      <c r="J435" s="36" t="s">
        <v>1400</v>
      </c>
      <c r="L435" s="146" t="s">
        <v>1401</v>
      </c>
    </row>
    <row r="436" spans="1:13" ht="19.5" customHeight="1">
      <c r="A436" s="305"/>
      <c r="B436" s="391"/>
      <c r="C436" s="396">
        <f xml:space="preserve"> VLOOKUP(E436, $A$3:$E$942, 2, FALSE)</f>
        <v>46086</v>
      </c>
      <c r="D436" s="36" t="s">
        <v>1387</v>
      </c>
      <c r="E436" s="11" t="s">
        <v>636</v>
      </c>
      <c r="F436" s="36" t="s">
        <v>517</v>
      </c>
      <c r="I436" s="36" t="s">
        <v>1399</v>
      </c>
      <c r="J436" s="36" t="s">
        <v>1400</v>
      </c>
      <c r="L436" s="146" t="s">
        <v>1402</v>
      </c>
    </row>
    <row r="437" spans="1:13" ht="19.5" customHeight="1">
      <c r="A437" s="305"/>
      <c r="B437" s="391"/>
      <c r="C437" s="396">
        <f xml:space="preserve"> VLOOKUP(E437, $A$3:$E$942, 2, FALSE)</f>
        <v>46083</v>
      </c>
      <c r="D437" s="36" t="s">
        <v>1387</v>
      </c>
      <c r="E437" s="11" t="s">
        <v>740</v>
      </c>
      <c r="F437" s="36" t="s">
        <v>396</v>
      </c>
      <c r="I437" s="36" t="s">
        <v>244</v>
      </c>
      <c r="J437" s="36" t="s">
        <v>1403</v>
      </c>
      <c r="L437" s="146" t="s">
        <v>1404</v>
      </c>
      <c r="M437" s="36">
        <v>607711872</v>
      </c>
    </row>
    <row r="438" spans="1:13" ht="19.5" customHeight="1">
      <c r="A438" s="305"/>
      <c r="B438" s="391"/>
      <c r="C438" s="396">
        <f xml:space="preserve"> VLOOKUP(E438, $A$3:$E$942, 2, FALSE)</f>
        <v>46086</v>
      </c>
      <c r="D438" s="36" t="s">
        <v>1387</v>
      </c>
      <c r="E438" s="11" t="s">
        <v>754</v>
      </c>
      <c r="F438" s="36">
        <v>72</v>
      </c>
      <c r="I438" s="36" t="s">
        <v>142</v>
      </c>
      <c r="J438" s="36" t="s">
        <v>143</v>
      </c>
      <c r="K438" s="277">
        <v>46076</v>
      </c>
      <c r="L438" s="298" t="s">
        <v>1405</v>
      </c>
    </row>
    <row r="439" spans="1:13" ht="19.5" customHeight="1">
      <c r="A439" s="57"/>
      <c r="B439" s="58"/>
      <c r="C439" s="396">
        <f xml:space="preserve"> VLOOKUP(E439, $A$3:$E$942, 2, FALSE)</f>
        <v>46079</v>
      </c>
      <c r="D439" s="45" t="s">
        <v>1387</v>
      </c>
      <c r="E439" s="151" t="s">
        <v>780</v>
      </c>
      <c r="F439" s="57" t="s">
        <v>52</v>
      </c>
      <c r="G439" s="57"/>
      <c r="H439" s="57"/>
      <c r="I439" s="57" t="s">
        <v>959</v>
      </c>
      <c r="J439" s="57" t="s">
        <v>960</v>
      </c>
      <c r="K439" s="152">
        <v>46077</v>
      </c>
      <c r="L439" s="145" t="s">
        <v>1406</v>
      </c>
      <c r="M439" s="57">
        <v>672383426</v>
      </c>
    </row>
    <row r="440" spans="1:13" ht="19.5" customHeight="1">
      <c r="A440" s="57"/>
      <c r="B440" s="57"/>
      <c r="C440" s="396">
        <f xml:space="preserve"> VLOOKUP(E440, $A$3:$E$942, 2, FALSE)</f>
        <v>46076</v>
      </c>
      <c r="D440" s="45" t="s">
        <v>1387</v>
      </c>
      <c r="E440" s="11" t="s">
        <v>775</v>
      </c>
      <c r="F440" s="57" t="s">
        <v>66</v>
      </c>
      <c r="G440" s="57"/>
      <c r="H440" s="57"/>
      <c r="I440" s="57" t="s">
        <v>1201</v>
      </c>
      <c r="J440" s="57" t="s">
        <v>1407</v>
      </c>
      <c r="K440" s="152"/>
      <c r="L440" s="145" t="s">
        <v>1408</v>
      </c>
      <c r="M440" s="57"/>
    </row>
    <row r="441" spans="1:13" ht="19.5" customHeight="1">
      <c r="A441" s="57"/>
      <c r="B441" s="58"/>
      <c r="C441" s="396" t="e">
        <f xml:space="preserve"> VLOOKUP(E441, $A$3:$E$942, 2, FALSE)</f>
        <v>#N/A</v>
      </c>
      <c r="D441" s="45" t="s">
        <v>1387</v>
      </c>
      <c r="E441" s="11" t="s">
        <v>1409</v>
      </c>
      <c r="F441" s="57" t="s">
        <v>66</v>
      </c>
      <c r="G441" s="57" t="s">
        <v>45</v>
      </c>
      <c r="H441" s="57"/>
      <c r="I441" s="57" t="s">
        <v>964</v>
      </c>
      <c r="J441" s="57" t="s">
        <v>965</v>
      </c>
      <c r="K441" s="152"/>
      <c r="L441" s="145" t="s">
        <v>1410</v>
      </c>
      <c r="M441" s="57"/>
    </row>
    <row r="442" spans="1:13" ht="19.5" customHeight="1">
      <c r="A442" s="57"/>
      <c r="B442" s="58"/>
      <c r="C442" s="396">
        <f xml:space="preserve"> VLOOKUP(E442, $A$3:$E$942, 2, FALSE)</f>
        <v>46092</v>
      </c>
      <c r="D442" s="57" t="s">
        <v>1387</v>
      </c>
      <c r="E442" s="250" t="s">
        <v>1103</v>
      </c>
      <c r="F442" s="57" t="s">
        <v>66</v>
      </c>
      <c r="G442" s="57"/>
      <c r="H442" s="57"/>
      <c r="I442" s="57" t="s">
        <v>964</v>
      </c>
      <c r="J442" s="57" t="s">
        <v>1411</v>
      </c>
      <c r="K442" s="152">
        <v>46086</v>
      </c>
      <c r="L442" s="313" t="s">
        <v>1412</v>
      </c>
      <c r="M442" s="57"/>
    </row>
    <row r="443" spans="1:13" ht="19.5" customHeight="1">
      <c r="A443" s="57"/>
      <c r="B443" s="58"/>
      <c r="C443" s="396">
        <f xml:space="preserve"> VLOOKUP(E443, $A$3:$E$942, 2, FALSE)</f>
        <v>46090</v>
      </c>
      <c r="D443" s="57" t="s">
        <v>1387</v>
      </c>
      <c r="E443" s="250" t="s">
        <v>1107</v>
      </c>
      <c r="F443" s="57" t="s">
        <v>44</v>
      </c>
      <c r="G443" s="57" t="s">
        <v>45</v>
      </c>
      <c r="H443" s="57"/>
      <c r="I443" s="57" t="s">
        <v>785</v>
      </c>
      <c r="J443" s="57" t="s">
        <v>1413</v>
      </c>
      <c r="K443" s="152"/>
      <c r="L443" s="145"/>
      <c r="M443" s="57"/>
    </row>
    <row r="444" spans="1:13" ht="19.5" customHeight="1">
      <c r="A444" s="57"/>
      <c r="B444" s="58"/>
      <c r="C444" s="396">
        <f xml:space="preserve"> VLOOKUP(E444, $A$3:$E$942, 2, FALSE)</f>
        <v>46090</v>
      </c>
      <c r="D444" s="57" t="s">
        <v>1387</v>
      </c>
      <c r="E444" s="250" t="s">
        <v>1111</v>
      </c>
      <c r="F444" s="57" t="s">
        <v>44</v>
      </c>
      <c r="G444" s="57" t="s">
        <v>45</v>
      </c>
      <c r="H444" s="57"/>
      <c r="I444" s="57" t="s">
        <v>785</v>
      </c>
      <c r="J444" s="57" t="s">
        <v>1413</v>
      </c>
      <c r="K444" s="152"/>
      <c r="L444" s="145"/>
      <c r="M444" s="57"/>
    </row>
    <row r="445" spans="1:13" ht="19.5" customHeight="1">
      <c r="A445" s="57"/>
      <c r="B445" s="58"/>
      <c r="C445" s="396">
        <f xml:space="preserve"> VLOOKUP(E445, $A$3:$E$942, 2, FALSE)</f>
        <v>46083</v>
      </c>
      <c r="D445" s="57" t="s">
        <v>1387</v>
      </c>
      <c r="E445" s="250" t="s">
        <v>1114</v>
      </c>
      <c r="F445" s="57">
        <v>72</v>
      </c>
      <c r="G445" s="57"/>
      <c r="H445" s="57"/>
      <c r="I445" s="57" t="s">
        <v>785</v>
      </c>
      <c r="J445" s="57" t="s">
        <v>1413</v>
      </c>
      <c r="K445" s="152">
        <v>46077</v>
      </c>
      <c r="L445" s="313" t="s">
        <v>1414</v>
      </c>
      <c r="M445" s="57">
        <v>687357377</v>
      </c>
    </row>
    <row r="446" spans="1:13" ht="19.5" customHeight="1">
      <c r="A446" s="57"/>
      <c r="B446" s="57"/>
      <c r="C446" s="396">
        <f xml:space="preserve"> VLOOKUP(E446, $A$3:$E$942, 2, FALSE)</f>
        <v>46087</v>
      </c>
      <c r="D446" s="57" t="s">
        <v>1387</v>
      </c>
      <c r="E446" s="250" t="s">
        <v>1123</v>
      </c>
      <c r="F446" s="57" t="s">
        <v>707</v>
      </c>
      <c r="G446" s="57"/>
      <c r="H446" s="57"/>
      <c r="I446" s="57" t="s">
        <v>634</v>
      </c>
      <c r="J446" s="57" t="s">
        <v>1415</v>
      </c>
      <c r="K446" s="152">
        <v>46077</v>
      </c>
      <c r="L446" s="145"/>
      <c r="M446" s="57"/>
    </row>
    <row r="447" spans="1:13" ht="19.5" customHeight="1">
      <c r="A447" s="57"/>
      <c r="B447" s="57"/>
      <c r="C447" s="396">
        <f xml:space="preserve"> VLOOKUP(E447, $A$3:$E$942, 2, FALSE)</f>
        <v>46090</v>
      </c>
      <c r="D447" s="57" t="s">
        <v>1387</v>
      </c>
      <c r="E447" s="250" t="s">
        <v>1125</v>
      </c>
      <c r="F447" s="57" t="s">
        <v>396</v>
      </c>
      <c r="G447" s="57"/>
      <c r="H447" s="57"/>
      <c r="I447" s="57" t="s">
        <v>1224</v>
      </c>
      <c r="J447" s="57" t="s">
        <v>1416</v>
      </c>
      <c r="K447" s="152"/>
      <c r="L447" s="145" t="s">
        <v>1417</v>
      </c>
      <c r="M447" s="57"/>
    </row>
  </sheetData>
  <autoFilter ref="A1:M447" xr:uid="{00000000-0001-0000-0100-000000000000}">
    <filterColumn colId="10" showButton="0"/>
    <sortState xmlns:xlrd2="http://schemas.microsoft.com/office/spreadsheetml/2017/richdata2" ref="A2:M447">
      <sortCondition descending="1" ref="D1:D271"/>
    </sortState>
  </autoFilter>
  <sortState xmlns:xlrd2="http://schemas.microsoft.com/office/spreadsheetml/2017/richdata2" ref="A3:M171">
    <sortCondition descending="1" ref="D3:D171"/>
  </sortState>
  <mergeCells count="1">
    <mergeCell ref="K1:L1"/>
  </mergeCells>
  <conditionalFormatting sqref="C2:C1048576">
    <cfRule type="cellIs" dxfId="1864" priority="466" operator="greaterThan">
      <formula>$C$1</formula>
    </cfRule>
    <cfRule type="cellIs" dxfId="1863" priority="467" operator="equal">
      <formula>$C$1</formula>
    </cfRule>
    <cfRule type="cellIs" dxfId="1862" priority="468" operator="lessThan">
      <formula>$C$1</formula>
    </cfRule>
  </conditionalFormatting>
  <conditionalFormatting sqref="E75:E84 D85:E86 D75:D87 D88:E233 D448:E741 D3:E74">
    <cfRule type="expression" dxfId="1861" priority="457">
      <formula>$D3="08 AT COMAC/CAPFT"</formula>
    </cfRule>
  </conditionalFormatting>
  <conditionalFormatting sqref="E75:E84 D85:E86 D75:D87 D88:E233 D448:E741 D3:E74">
    <cfRule type="expression" dxfId="1860" priority="436">
      <formula>$D3="02 RETOUR VT"</formula>
    </cfRule>
  </conditionalFormatting>
  <conditionalFormatting sqref="E75:E84 D85:E86 D75:D87 D88:E233 D448:E741 D3:E74">
    <cfRule type="expression" dxfId="1859" priority="454">
      <formula>$D3="06 AT DEVIS CLIENT"</formula>
    </cfRule>
  </conditionalFormatting>
  <conditionalFormatting sqref="E75:E84 D85:E86 D75:D87 D88:E233 D448:E741 D3:E74">
    <cfRule type="expression" dxfId="1858" priority="462">
      <formula>$D3="14 POI EN TRAVAUX"</formula>
    </cfRule>
  </conditionalFormatting>
  <conditionalFormatting sqref="E75:E84 D85:E86 D75:D87 D88:E233 D448:E741 D3:E74">
    <cfRule type="expression" dxfId="1857" priority="458">
      <formula>$D3="09 AT DEVIS ORANGE/RIP"</formula>
    </cfRule>
  </conditionalFormatting>
  <conditionalFormatting sqref="E75:E84 D85:E86 D75:D87 D88:E233 D448:E741 D3:E74">
    <cfRule type="expression" dxfId="1856" priority="446">
      <formula>$D3="05 AT INFO CAF REF"</formula>
    </cfRule>
  </conditionalFormatting>
  <conditionalFormatting sqref="E75:E84 D85:E86 D75:D87 D88:E233 D448:E741 D3:E74">
    <cfRule type="expression" dxfId="1855" priority="423">
      <formula>$D3="01.2 A REMONTER"</formula>
    </cfRule>
  </conditionalFormatting>
  <conditionalFormatting sqref="E75:E84 D85:E86 D75:D87 D88:E233 D448:E741 D3:E74">
    <cfRule type="expression" dxfId="1854" priority="316">
      <formula>$D3="16 DOSSIER PAYE"</formula>
    </cfRule>
    <cfRule type="expression" dxfId="1853" priority="463">
      <formula>$D3="15 POI FACTU"</formula>
    </cfRule>
  </conditionalFormatting>
  <conditionalFormatting sqref="E75:E84 D85:E86 D75:D87 D88:E233 D448:E741 D3:E74">
    <cfRule type="expression" dxfId="1852" priority="442">
      <formula>$D3="04 DOSSIER A MONTER"</formula>
    </cfRule>
  </conditionalFormatting>
  <conditionalFormatting sqref="E75:E84 D85:E86 D75:D87 D88:E233 D448:E741 D3:E74">
    <cfRule type="expression" dxfId="1851" priority="459">
      <formula>$D3="10 AT PV"</formula>
    </cfRule>
  </conditionalFormatting>
  <conditionalFormatting sqref="E75:E84 D85:E86 D75:D87 D88:E233 D448:E741 D3:E74">
    <cfRule type="expression" dxfId="1850" priority="440">
      <formula>$D3="03 DOSSIER A REPRENDRE"</formula>
    </cfRule>
  </conditionalFormatting>
  <conditionalFormatting sqref="E75:E84 D85:E86 D75:D87 D88:E233 D448:E741 D3:E74">
    <cfRule type="expression" dxfId="1849" priority="455">
      <formula>$D3="07 AT TRVX CLIENT"</formula>
    </cfRule>
  </conditionalFormatting>
  <conditionalFormatting sqref="E75:E84 D85:E86 D75:D87 D88:E233 D448:E741 D3:E74">
    <cfRule type="expression" dxfId="1848" priority="318">
      <formula>$D3="13 ETAT 5"</formula>
    </cfRule>
  </conditionalFormatting>
  <conditionalFormatting sqref="E75:E84 D85:E86 D75:D87 D88:E233 D448:E741 D3:E74">
    <cfRule type="expression" dxfId="1847" priority="317">
      <formula>$D3="14.1 AT RETOUR DOE"</formula>
    </cfRule>
  </conditionalFormatting>
  <conditionalFormatting sqref="D448:E924 D3:E233">
    <cfRule type="expression" dxfId="1846" priority="312">
      <formula>$D3="12 AT MAJ SI"</formula>
    </cfRule>
  </conditionalFormatting>
  <conditionalFormatting sqref="D50:D51">
    <cfRule type="expression" dxfId="1845" priority="308">
      <formula>$D50="08 AT COMAC/CAPFT"</formula>
    </cfRule>
  </conditionalFormatting>
  <conditionalFormatting sqref="D50:D51">
    <cfRule type="expression" dxfId="1844" priority="299">
      <formula>$D50="01.2 A REMONTER"</formula>
    </cfRule>
    <cfRule type="expression" dxfId="1843" priority="301">
      <formula>$D50="01 VT A FAIRE"</formula>
    </cfRule>
  </conditionalFormatting>
  <conditionalFormatting sqref="D50:D51">
    <cfRule type="expression" dxfId="1842" priority="305">
      <formula>$D50="05 AT INFO CAF REF"</formula>
    </cfRule>
  </conditionalFormatting>
  <conditionalFormatting sqref="D50:D51">
    <cfRule type="expression" dxfId="1841" priority="311">
      <formula>$D50="11 AT DTA"</formula>
    </cfRule>
  </conditionalFormatting>
  <conditionalFormatting sqref="D50:D51">
    <cfRule type="expression" dxfId="1840" priority="307">
      <formula>$D50="07 AT TRVX CLIENT"</formula>
    </cfRule>
  </conditionalFormatting>
  <conditionalFormatting sqref="D50:D51">
    <cfRule type="expression" dxfId="1839" priority="310">
      <formula>$D50="10 AT PV"</formula>
    </cfRule>
  </conditionalFormatting>
  <conditionalFormatting sqref="D50:D51">
    <cfRule type="expression" dxfId="1838" priority="304">
      <formula>$D50="04 DOSSIER A MONTER"</formula>
    </cfRule>
  </conditionalFormatting>
  <conditionalFormatting sqref="D50:D51">
    <cfRule type="expression" dxfId="1837" priority="303">
      <formula>$D50="03 DOSSIER A REPRENDRE"</formula>
    </cfRule>
  </conditionalFormatting>
  <conditionalFormatting sqref="D50:D51">
    <cfRule type="expression" dxfId="1836" priority="302">
      <formula>$D50="02 RETOUR VT"</formula>
    </cfRule>
  </conditionalFormatting>
  <conditionalFormatting sqref="D50:D51">
    <cfRule type="expression" dxfId="1835" priority="313">
      <formula>$D50="13 ETAT 5"</formula>
    </cfRule>
  </conditionalFormatting>
  <conditionalFormatting sqref="D50:D51">
    <cfRule type="expression" dxfId="1834" priority="309">
      <formula>$D50="09 AT DEVIS ORANGE/RIP"</formula>
    </cfRule>
  </conditionalFormatting>
  <conditionalFormatting sqref="D50:D51">
    <cfRule type="expression" dxfId="1833" priority="298">
      <formula>$D50="16 DOSSIER PAYE"</formula>
    </cfRule>
    <cfRule type="expression" dxfId="1832" priority="315">
      <formula>$D50="15 POI FACTU"</formula>
    </cfRule>
  </conditionalFormatting>
  <conditionalFormatting sqref="D50:D51">
    <cfRule type="expression" dxfId="1831" priority="314">
      <formula>$D50="14 POI EN TRAVAUX"</formula>
    </cfRule>
  </conditionalFormatting>
  <conditionalFormatting sqref="D50:D51">
    <cfRule type="expression" dxfId="1830" priority="300">
      <formula>$D50="14.1 AT RETOUR DOE"</formula>
    </cfRule>
  </conditionalFormatting>
  <conditionalFormatting sqref="D3:E233 D448:E1048576">
    <cfRule type="expression" dxfId="1829" priority="156">
      <formula>$D3="10.1 ATT DT"</formula>
    </cfRule>
  </conditionalFormatting>
  <conditionalFormatting sqref="D448:E829 D3:E233">
    <cfRule type="expression" dxfId="1828" priority="154">
      <formula>$D3="05.1 ETU TRANSMISE"</formula>
    </cfRule>
  </conditionalFormatting>
  <conditionalFormatting sqref="E87">
    <cfRule type="expression" dxfId="1827" priority="146">
      <formula>$D87="08 AT COMAC/CAPFT"</formula>
    </cfRule>
  </conditionalFormatting>
  <conditionalFormatting sqref="E87">
    <cfRule type="expression" dxfId="1826" priority="140">
      <formula>$D87="02 RETOUR VT"</formula>
    </cfRule>
  </conditionalFormatting>
  <conditionalFormatting sqref="E87">
    <cfRule type="expression" dxfId="1825" priority="144">
      <formula>$D87="06 AT DEVIS CLIENT"</formula>
    </cfRule>
  </conditionalFormatting>
  <conditionalFormatting sqref="E87">
    <cfRule type="expression" dxfId="1824" priority="151">
      <formula>$D87="14 POI EN TRAVAUX"</formula>
    </cfRule>
  </conditionalFormatting>
  <conditionalFormatting sqref="E87">
    <cfRule type="expression" dxfId="1823" priority="147">
      <formula>$D87="09 AT DEVIS ORANGE/RIP"</formula>
    </cfRule>
  </conditionalFormatting>
  <conditionalFormatting sqref="E87">
    <cfRule type="expression" dxfId="1822" priority="143">
      <formula>$D87="05 AT INFO CAF REF"</formula>
    </cfRule>
  </conditionalFormatting>
  <conditionalFormatting sqref="E87">
    <cfRule type="expression" dxfId="1821" priority="139">
      <formula>$D87="01.2 A REMONTER"</formula>
    </cfRule>
  </conditionalFormatting>
  <conditionalFormatting sqref="E87">
    <cfRule type="expression" dxfId="1820" priority="136">
      <formula>$D87="16 DOSSIER PAYE"</formula>
    </cfRule>
    <cfRule type="expression" dxfId="1819" priority="152">
      <formula>$D87="15 POI FACTU"</formula>
    </cfRule>
  </conditionalFormatting>
  <conditionalFormatting sqref="E87">
    <cfRule type="expression" dxfId="1818" priority="142">
      <formula>$D87="04 DOSSIER A MONTER"</formula>
    </cfRule>
  </conditionalFormatting>
  <conditionalFormatting sqref="E87">
    <cfRule type="expression" dxfId="1817" priority="148">
      <formula>$D87="10 AT PV"</formula>
    </cfRule>
  </conditionalFormatting>
  <conditionalFormatting sqref="E87">
    <cfRule type="expression" dxfId="1816" priority="141">
      <formula>$D87="03 DOSSIER A REPRENDRE"</formula>
    </cfRule>
  </conditionalFormatting>
  <conditionalFormatting sqref="E87">
    <cfRule type="expression" dxfId="1815" priority="145">
      <formula>$D87="07 AT TRVX CLIENT"</formula>
    </cfRule>
  </conditionalFormatting>
  <conditionalFormatting sqref="D448:E922 D3:E233">
    <cfRule type="expression" dxfId="1814" priority="149">
      <formula>$D3="11 AT DTA"</formula>
    </cfRule>
  </conditionalFormatting>
  <conditionalFormatting sqref="E87">
    <cfRule type="expression" dxfId="1813" priority="138">
      <formula>$D87="13 ETAT 5"</formula>
    </cfRule>
  </conditionalFormatting>
  <conditionalFormatting sqref="E87">
    <cfRule type="expression" dxfId="1812" priority="137">
      <formula>$D87="14.1 AT RETOUR DOE"</formula>
    </cfRule>
  </conditionalFormatting>
  <conditionalFormatting sqref="D234:E234">
    <cfRule type="expression" dxfId="1811" priority="132">
      <formula>$D234="12 AT MAJ SI"</formula>
    </cfRule>
  </conditionalFormatting>
  <conditionalFormatting sqref="D234:E234">
    <cfRule type="expression" dxfId="1810" priority="128">
      <formula>$D234="08 AT COMAC/CAPFT"</formula>
    </cfRule>
  </conditionalFormatting>
  <conditionalFormatting sqref="D234:E234">
    <cfRule type="expression" dxfId="1809" priority="126">
      <formula>$D234="06 AT DEVIS CLIENT"</formula>
    </cfRule>
  </conditionalFormatting>
  <conditionalFormatting sqref="D234:E234">
    <cfRule type="expression" dxfId="1808" priority="116">
      <formula>$D234="01.2 A REMONTER"</formula>
    </cfRule>
    <cfRule type="expression" dxfId="1807" priority="121">
      <formula>$D234="01 VT A FAIRE"</formula>
    </cfRule>
  </conditionalFormatting>
  <conditionalFormatting sqref="D234:E234">
    <cfRule type="expression" dxfId="1806" priority="125">
      <formula>$D234="05 AT INFO CAF REF"</formula>
    </cfRule>
  </conditionalFormatting>
  <conditionalFormatting sqref="D234:E234">
    <cfRule type="expression" dxfId="1805" priority="131">
      <formula>$D234="11 AT DTA"</formula>
    </cfRule>
  </conditionalFormatting>
  <conditionalFormatting sqref="D234:E234">
    <cfRule type="expression" dxfId="1804" priority="127">
      <formula>$D234="07 AT TRVX CLIENT"</formula>
    </cfRule>
  </conditionalFormatting>
  <conditionalFormatting sqref="D234:E234">
    <cfRule type="expression" dxfId="1803" priority="130">
      <formula>$D234="10 AT PV"</formula>
    </cfRule>
  </conditionalFormatting>
  <conditionalFormatting sqref="D234:E234">
    <cfRule type="expression" dxfId="1802" priority="124">
      <formula>$D234="04 DOSSIER A MONTER"</formula>
    </cfRule>
  </conditionalFormatting>
  <conditionalFormatting sqref="D234:E234">
    <cfRule type="expression" dxfId="1801" priority="123">
      <formula>$D234="03 DOSSIER A REPRENDRE"</formula>
    </cfRule>
  </conditionalFormatting>
  <conditionalFormatting sqref="D234:E234">
    <cfRule type="expression" dxfId="1800" priority="122">
      <formula>$D234="02 RETOUR VT"</formula>
    </cfRule>
  </conditionalFormatting>
  <conditionalFormatting sqref="D234:E234">
    <cfRule type="expression" dxfId="1799" priority="133">
      <formula>$D234="13 ETAT 5"</formula>
    </cfRule>
  </conditionalFormatting>
  <conditionalFormatting sqref="D234:E234">
    <cfRule type="expression" dxfId="1798" priority="129">
      <formula>$D234="09 AT DEVIS ORANGE/RIP"</formula>
    </cfRule>
  </conditionalFormatting>
  <conditionalFormatting sqref="D234:E234">
    <cfRule type="expression" dxfId="1797" priority="114">
      <formula>$D234="16 DOSSIER PAYE"</formula>
    </cfRule>
    <cfRule type="expression" dxfId="1796" priority="135">
      <formula>$D234="15 POI FACTU"</formula>
    </cfRule>
  </conditionalFormatting>
  <conditionalFormatting sqref="D234:E234">
    <cfRule type="expression" dxfId="1795" priority="134">
      <formula>$D234="14 POI EN TRAVAUX"</formula>
    </cfRule>
  </conditionalFormatting>
  <conditionalFormatting sqref="D234:E234">
    <cfRule type="expression" dxfId="1794" priority="117">
      <formula>$D234="14.1 AT RETOUR DOE"</formula>
    </cfRule>
  </conditionalFormatting>
  <conditionalFormatting sqref="E234">
    <cfRule type="duplicateValues" dxfId="1793" priority="113" stopIfTrue="1"/>
  </conditionalFormatting>
  <conditionalFormatting sqref="D235:E347">
    <cfRule type="expression" dxfId="1792" priority="109">
      <formula>$D235="12 AT MAJ SI"</formula>
    </cfRule>
  </conditionalFormatting>
  <conditionalFormatting sqref="D235:E347">
    <cfRule type="expression" dxfId="1791" priority="105">
      <formula>$D235="08 AT COMAC/CAPFT"</formula>
    </cfRule>
  </conditionalFormatting>
  <conditionalFormatting sqref="D235:E347">
    <cfRule type="expression" dxfId="1790" priority="103">
      <formula>$D235="06 AT DEVIS CLIENT"</formula>
    </cfRule>
  </conditionalFormatting>
  <conditionalFormatting sqref="D235:E347">
    <cfRule type="expression" dxfId="1789" priority="93">
      <formula>$D235="01.2 A REMONTER"</formula>
    </cfRule>
    <cfRule type="expression" dxfId="1788" priority="98">
      <formula>$D235="01 VT A FAIRE"</formula>
    </cfRule>
  </conditionalFormatting>
  <conditionalFormatting sqref="D235:E347">
    <cfRule type="expression" dxfId="1787" priority="102">
      <formula>$D235="05 AT INFO CAF REF"</formula>
    </cfRule>
  </conditionalFormatting>
  <conditionalFormatting sqref="D235:E347">
    <cfRule type="expression" dxfId="1786" priority="108">
      <formula>$D235="11 AT DTA"</formula>
    </cfRule>
  </conditionalFormatting>
  <conditionalFormatting sqref="D235:E347">
    <cfRule type="expression" dxfId="1785" priority="104">
      <formula>$D235="07 AT TRVX CLIENT"</formula>
    </cfRule>
  </conditionalFormatting>
  <conditionalFormatting sqref="D235:E347">
    <cfRule type="expression" dxfId="1784" priority="107">
      <formula>$D235="10 AT PV"</formula>
    </cfRule>
  </conditionalFormatting>
  <conditionalFormatting sqref="D235:E347">
    <cfRule type="expression" dxfId="1783" priority="101">
      <formula>$D235="04 DOSSIER A MONTER"</formula>
    </cfRule>
  </conditionalFormatting>
  <conditionalFormatting sqref="D235:E347">
    <cfRule type="expression" dxfId="1782" priority="100">
      <formula>$D235="03 DOSSIER A REPRENDRE"</formula>
    </cfRule>
  </conditionalFormatting>
  <conditionalFormatting sqref="D235:E347">
    <cfRule type="expression" dxfId="1781" priority="99">
      <formula>$D235="02 RETOUR VT"</formula>
    </cfRule>
  </conditionalFormatting>
  <conditionalFormatting sqref="D235:E347">
    <cfRule type="expression" dxfId="1780" priority="110">
      <formula>$D235="13 ETAT 5"</formula>
    </cfRule>
  </conditionalFormatting>
  <conditionalFormatting sqref="D235:E347">
    <cfRule type="expression" dxfId="1779" priority="106">
      <formula>$D235="09 AT DEVIS ORANGE/RIP"</formula>
    </cfRule>
  </conditionalFormatting>
  <conditionalFormatting sqref="D235:E347">
    <cfRule type="expression" dxfId="1778" priority="91">
      <formula>$D235="16 DOSSIER PAYE"</formula>
    </cfRule>
    <cfRule type="expression" dxfId="1777" priority="112">
      <formula>$D235="15 POI FACTU"</formula>
    </cfRule>
  </conditionalFormatting>
  <conditionalFormatting sqref="D235:E347">
    <cfRule type="expression" dxfId="1776" priority="111">
      <formula>$D235="14 POI EN TRAVAUX"</formula>
    </cfRule>
  </conditionalFormatting>
  <conditionalFormatting sqref="D235:E347">
    <cfRule type="expression" dxfId="1775" priority="94">
      <formula>$D235="14.1 AT RETOUR DOE"</formula>
    </cfRule>
  </conditionalFormatting>
  <conditionalFormatting sqref="D348:E447">
    <cfRule type="expression" dxfId="1774" priority="86">
      <formula>$D348="12 AT MAJ SI"</formula>
    </cfRule>
  </conditionalFormatting>
  <conditionalFormatting sqref="D348:E447">
    <cfRule type="expression" dxfId="1773" priority="82">
      <formula>$D348="08 AT COMAC/CAPFT"</formula>
    </cfRule>
  </conditionalFormatting>
  <conditionalFormatting sqref="D348:E447">
    <cfRule type="expression" dxfId="1772" priority="80">
      <formula>$D348="06 AT DEVIS CLIENT"</formula>
    </cfRule>
  </conditionalFormatting>
  <conditionalFormatting sqref="D348:E447">
    <cfRule type="expression" dxfId="1771" priority="70">
      <formula>$D348="01.2 A REMONTER"</formula>
    </cfRule>
    <cfRule type="expression" dxfId="1770" priority="75">
      <formula>$D348="01 VT A FAIRE"</formula>
    </cfRule>
  </conditionalFormatting>
  <conditionalFormatting sqref="D348:E447">
    <cfRule type="expression" dxfId="1769" priority="79">
      <formula>$D348="05 AT INFO CAF REF"</formula>
    </cfRule>
  </conditionalFormatting>
  <conditionalFormatting sqref="D348:E447">
    <cfRule type="expression" dxfId="1768" priority="85">
      <formula>$D348="11 AT DTA"</formula>
    </cfRule>
  </conditionalFormatting>
  <conditionalFormatting sqref="D348:E447">
    <cfRule type="expression" dxfId="1767" priority="81">
      <formula>$D348="07 AT TRVX CLIENT"</formula>
    </cfRule>
  </conditionalFormatting>
  <conditionalFormatting sqref="D348:E447">
    <cfRule type="expression" dxfId="1766" priority="84">
      <formula>$D348="10 AT PV"</formula>
    </cfRule>
  </conditionalFormatting>
  <conditionalFormatting sqref="D348:E447">
    <cfRule type="expression" dxfId="1765" priority="78">
      <formula>$D348="04 DOSSIER A MONTER"</formula>
    </cfRule>
  </conditionalFormatting>
  <conditionalFormatting sqref="D348:E447">
    <cfRule type="expression" dxfId="1764" priority="77">
      <formula>$D348="03 DOSSIER A REPRENDRE"</formula>
    </cfRule>
  </conditionalFormatting>
  <conditionalFormatting sqref="D348:E447">
    <cfRule type="expression" dxfId="1763" priority="76">
      <formula>$D348="02 RETOUR VT"</formula>
    </cfRule>
  </conditionalFormatting>
  <conditionalFormatting sqref="D348:E447">
    <cfRule type="expression" dxfId="1762" priority="87">
      <formula>$D348="13 ETAT 5"</formula>
    </cfRule>
  </conditionalFormatting>
  <conditionalFormatting sqref="D348:E447">
    <cfRule type="expression" dxfId="1761" priority="83">
      <formula>$D348="09 AT DEVIS ORANGE/RIP"</formula>
    </cfRule>
  </conditionalFormatting>
  <conditionalFormatting sqref="D348:E447">
    <cfRule type="expression" dxfId="1760" priority="68">
      <formula>$D348="16 DOSSIER PAYE"</formula>
    </cfRule>
    <cfRule type="expression" dxfId="1759" priority="89">
      <formula>$D348="15 POI FACTU"</formula>
    </cfRule>
  </conditionalFormatting>
  <conditionalFormatting sqref="D348:E447">
    <cfRule type="expression" dxfId="1758" priority="88">
      <formula>$D348="14 POI EN TRAVAUX"</formula>
    </cfRule>
  </conditionalFormatting>
  <conditionalFormatting sqref="D348:E447">
    <cfRule type="expression" dxfId="1757" priority="71">
      <formula>$D348="14.1 AT RETOUR DOE"</formula>
    </cfRule>
  </conditionalFormatting>
  <conditionalFormatting sqref="E3:E1000">
    <cfRule type="duplicateValues" dxfId="1756" priority="67"/>
  </conditionalFormatting>
  <conditionalFormatting sqref="C2:C1000">
    <cfRule type="containsBlanks" dxfId="1755" priority="8">
      <formula>LEN(TRIM(C2))=0</formula>
    </cfRule>
  </conditionalFormatting>
  <dataValidations count="2">
    <dataValidation allowBlank="1" showInputMessage="1" showErrorMessage="1" sqref="K1 B448:B1048438 B1:B2 C448:C1048397 C2:C233 C240 C247 C254 C261 C268 C275 C282 C289 C296 C303 C310 C317 C324 C331 C338 C345 C352 C359 C366 C373 C380 C387 C394 C401 C408 C415 C422 C429 C436 C443" xr:uid="{76B628C7-2B4B-48EC-A766-DEF3EA4C0EE3}"/>
    <dataValidation type="list" allowBlank="1" showInputMessage="1" showErrorMessage="1" sqref="A448:A1048438" xr:uid="{00000000-0002-0000-0100-000000000000}">
      <formula1>"VT A FAIRE,RETOUR VT,DOSSIER A REPRENDRE,DOSSIER A MONTER,ATT PV,ATT DEVIS CLIENT,ATT DEVIS ORANGE/RIP,ATT MAJ SI,DT OK,POI EN TRAVAUX,POI EN FACTU,ATT INFOS CAF REF,ATT TRVX CLIENT,ATT DT,ATT DTA,ATT COMAC/CAPFT"</formula1>
    </dataValidation>
  </dataValidations>
  <hyperlinks>
    <hyperlink ref="E32" r:id="rId1" xr:uid="{00000000-0004-0000-0100-000002000000}"/>
    <hyperlink ref="E43" r:id="rId2" xr:uid="{00000000-0004-0000-0100-000004000000}"/>
    <hyperlink ref="E49" r:id="rId3" xr:uid="{00000000-0004-0000-0100-000005000000}"/>
    <hyperlink ref="E149" r:id="rId4" xr:uid="{00000000-0004-0000-0100-00000E000000}"/>
    <hyperlink ref="E256" r:id="rId5" xr:uid="{00000000-0004-0000-0100-000013000000}"/>
    <hyperlink ref="E40" r:id="rId6" xr:uid="{76FD5707-18BF-43F4-8E9C-F5459502B8D8}"/>
    <hyperlink ref="E26" r:id="rId7" xr:uid="{237CE562-7A04-4280-84F7-308DCEFB15F3}"/>
    <hyperlink ref="E8" r:id="rId8" xr:uid="{0804E04A-5637-4622-878F-839FE1B66647}"/>
    <hyperlink ref="E9" r:id="rId9" xr:uid="{615B0F1B-9D1F-4912-881B-1985576AECB1}"/>
    <hyperlink ref="E258" r:id="rId10" xr:uid="{EA79ED72-9E32-4471-8211-E6F36B980D2F}"/>
    <hyperlink ref="E58" r:id="rId11" xr:uid="{CBC5FD09-ECD7-4BC5-9854-4AFFF5130A9A}"/>
    <hyperlink ref="E151" r:id="rId12" xr:uid="{1D91E364-E7A9-4195-8A92-C52B3D6F4519}"/>
    <hyperlink ref="E260" r:id="rId13" xr:uid="{4B327263-31A2-455D-9863-31D76502EF1F}"/>
    <hyperlink ref="E31" r:id="rId14" xr:uid="{DFA7005D-6816-445A-901F-76B402DAB101}"/>
    <hyperlink ref="E11" r:id="rId15" xr:uid="{4D9119C5-B4A9-4636-9279-2AAA29F4B41E}"/>
    <hyperlink ref="E262" r:id="rId16" xr:uid="{8F2C80E4-C72C-4241-9B6A-9297D023DB90}"/>
    <hyperlink ref="E194" r:id="rId17" xr:uid="{127E6E0D-A37A-4C61-ABC8-1455177BAA89}"/>
    <hyperlink ref="E257" r:id="rId18" xr:uid="{A27B4186-9CEF-41E8-B6C4-8B377DC6C4F3}"/>
    <hyperlink ref="E261" r:id="rId19" xr:uid="{7B90AD16-9F81-4376-B010-9A2C877E85FC}"/>
    <hyperlink ref="E263" r:id="rId20" xr:uid="{94FDEFB8-E33B-49FA-8EF3-B6804F7F6EFB}"/>
    <hyperlink ref="E59" r:id="rId21" xr:uid="{3E4C9920-2662-4AAC-9E32-1B33EC73CA9D}"/>
    <hyperlink ref="E14" r:id="rId22" xr:uid="{94BEF36D-8E6B-4DAC-B7D0-389AF8E2F890}"/>
    <hyperlink ref="E162" r:id="rId23" xr:uid="{D7F3112D-20BB-4905-AC91-0678956DBE2F}"/>
    <hyperlink ref="E13" r:id="rId24" xr:uid="{DA7389E6-C53C-4071-863A-D5611AEA621B}"/>
    <hyperlink ref="E208" r:id="rId25" xr:uid="{2A386C50-AA03-4EBA-8F38-16B749F545B4}"/>
    <hyperlink ref="E87" r:id="rId26" xr:uid="{9C8301B0-D812-4576-A870-E5660C96DFE4}"/>
    <hyperlink ref="E60" r:id="rId27" xr:uid="{7FDEA4E7-E35E-4547-A4D6-CBE58D5D21B4}"/>
    <hyperlink ref="E185" r:id="rId28" xr:uid="{31BE949B-6C2D-4EFD-A1AB-A3A09ED2F644}"/>
    <hyperlink ref="E30" r:id="rId29" xr:uid="{5D94E385-EA70-406D-929F-6CFEB031A941}"/>
    <hyperlink ref="E50" r:id="rId30" xr:uid="{958FA909-4D3D-491D-809A-0B3B6B6DA3C0}"/>
    <hyperlink ref="E161" r:id="rId31" xr:uid="{EDBAC3B3-DA13-46BE-B81A-BB0892DCCB0D}"/>
    <hyperlink ref="E18" r:id="rId32" xr:uid="{3A0C3C78-D87D-467F-981B-1B3046E1753B}"/>
    <hyperlink ref="E397" r:id="rId33" xr:uid="{F72B5798-727A-434E-92C4-B6E6E0F679F0}"/>
    <hyperlink ref="E73" r:id="rId34" xr:uid="{739388A4-74C2-445D-BE06-94C4026DE8AB}"/>
    <hyperlink ref="E33" r:id="rId35" xr:uid="{2AD1A249-22C0-45AE-B236-876459E1A932}"/>
    <hyperlink ref="E15" r:id="rId36" xr:uid="{EDCFC8D1-909A-4D72-A788-85936AF26F1D}"/>
    <hyperlink ref="E431" r:id="rId37" xr:uid="{E2E3A70B-8711-4D7C-AF5C-1B578F569FA2}"/>
    <hyperlink ref="E52" r:id="rId38" xr:uid="{AF4BBB0F-7F8D-4895-8480-A7E17581221B}"/>
    <hyperlink ref="E152" r:id="rId39" xr:uid="{85E5D9B6-81F4-4EAC-9CCB-DE28FA9ADE23}"/>
    <hyperlink ref="E163" r:id="rId40" xr:uid="{E0A5754C-F142-44A0-B2AB-B5A8A1EE1597}"/>
    <hyperlink ref="E17" r:id="rId41" xr:uid="{2A2F2D0D-EC76-4F22-8518-676EC15A9C8A}"/>
    <hyperlink ref="E37" r:id="rId42" xr:uid="{14A87F3A-A2BF-418A-A163-E88872DC193A}"/>
    <hyperlink ref="E168" r:id="rId43" xr:uid="{C9459E17-F8DA-4E08-A655-D24B52CFB87E}"/>
    <hyperlink ref="E242" r:id="rId44" xr:uid="{2D05CC3A-91E3-4C1B-A68F-18F97DEA780A}"/>
    <hyperlink ref="E20" r:id="rId45" xr:uid="{0CDDE041-D9ED-4275-B93A-8D0D2789AA5B}"/>
    <hyperlink ref="E357" r:id="rId46" xr:uid="{46272311-D2EE-42F0-BEF2-CBC779CE8F01}"/>
    <hyperlink ref="E266" r:id="rId47" xr:uid="{CE1FD552-30B8-4350-9FA0-8B28FA0349BE}"/>
    <hyperlink ref="E44" r:id="rId48" xr:uid="{87477365-8280-440F-9E1B-C3BCA52231ED}"/>
    <hyperlink ref="E264" r:id="rId49" xr:uid="{3F4867DB-BD30-49B6-95B8-74D2258B626F}"/>
    <hyperlink ref="E192" r:id="rId50" xr:uid="{DB5A1402-D7DF-4373-B743-8375970D5BA7}"/>
    <hyperlink ref="E12" r:id="rId51" xr:uid="{4E42AD2A-8226-4A1D-966C-9B536C1E05CB}"/>
    <hyperlink ref="E35" r:id="rId52" xr:uid="{E5CF52DC-3B2D-492F-8D0B-DC0D522A6F50}"/>
    <hyperlink ref="E24" r:id="rId53" xr:uid="{B6F112D1-F090-4C58-8FC9-89238D107E73}"/>
    <hyperlink ref="E21" r:id="rId54" xr:uid="{ED8C4259-F521-4F99-AC4A-977295E0D9F5}"/>
    <hyperlink ref="E71" r:id="rId55" xr:uid="{DCC004BF-35FD-4EE3-999B-353D343E97A1}"/>
    <hyperlink ref="E286" r:id="rId56" xr:uid="{0CDFC2BF-8756-4A27-A1FB-CE0A8D47B3C9}"/>
    <hyperlink ref="E267" r:id="rId57" xr:uid="{ADF9A8FF-32C4-4FAD-B834-281A25018F56}"/>
    <hyperlink ref="E251" r:id="rId58" xr:uid="{B4FE9C53-67C3-4DF7-BA83-C6417A484862}"/>
    <hyperlink ref="E155" r:id="rId59" xr:uid="{8014976F-8280-40C6-8DAD-ECB593A2AB3B}"/>
    <hyperlink ref="E287" r:id="rId60" xr:uid="{4D19AC00-B3A7-4918-85B8-AC8CD6BF4DF6}"/>
    <hyperlink ref="E186" r:id="rId61" xr:uid="{3FE308F1-DF62-44D9-ADB4-4DB0005418EA}"/>
    <hyperlink ref="E351" r:id="rId62" xr:uid="{29B1F74D-18C1-4B12-86F7-5214A5D6D94E}"/>
    <hyperlink ref="E70" r:id="rId63" xr:uid="{4C40EADF-94FE-4FF5-AA3A-6B17FBE09C72}"/>
    <hyperlink ref="E66" r:id="rId64" xr:uid="{FEDA297B-3220-40B2-8BED-E6E55A5F0CB4}"/>
    <hyperlink ref="E268" r:id="rId65" xr:uid="{D0668728-0EFC-450D-8AD1-AFCA6AABB23B}"/>
    <hyperlink ref="E55" r:id="rId66" xr:uid="{A432F696-7A64-48D8-BCDF-26E24EA12F16}"/>
    <hyperlink ref="E270" r:id="rId67" xr:uid="{37C86BD4-C7A3-4E0A-BDCC-5FD42202BB5D}"/>
    <hyperlink ref="E80" r:id="rId68" xr:uid="{13F26373-196A-4AB6-8983-3AF1ACC4C67B}"/>
    <hyperlink ref="E215" r:id="rId69" xr:uid="{066CD91C-ED23-491F-A4A3-D9F99385226D}"/>
    <hyperlink ref="E187" r:id="rId70" xr:uid="{2287F8BD-C78B-4D68-84DD-5C6246E288F4}"/>
    <hyperlink ref="E39" r:id="rId71" xr:uid="{5DE16B44-B859-4888-BAFB-071CA9A1CAF7}"/>
    <hyperlink ref="E72" r:id="rId72" xr:uid="{4024C218-48EF-49B4-AC73-B36F56413495}"/>
    <hyperlink ref="E148" r:id="rId73" xr:uid="{4C5E1368-E1F6-4687-80AD-CF9DDCE9AA22}"/>
    <hyperlink ref="E269" r:id="rId74" xr:uid="{EBD7B02F-30B3-4202-9E04-F6DEB9968304}"/>
    <hyperlink ref="E278" r:id="rId75" xr:uid="{F9DE0C3F-3065-4303-94CB-56A84F0A8FA6}"/>
    <hyperlink ref="E45" r:id="rId76" xr:uid="{0C5978D8-DAD2-435A-9027-62003275600E}"/>
    <hyperlink ref="E74" r:id="rId77" xr:uid="{E2D21634-8461-4A76-A48F-4A4AA19E1D91}"/>
    <hyperlink ref="E195" r:id="rId78" xr:uid="{B242F958-0758-4A3A-9612-1A02B4592966}"/>
    <hyperlink ref="E274" r:id="rId79" xr:uid="{4BD427C4-33E7-4F78-B25B-C572C3350277}"/>
    <hyperlink ref="E190" r:id="rId80" xr:uid="{9A7490AC-EA1C-4AED-8ED0-0B67B7B963CD}"/>
    <hyperlink ref="E54" r:id="rId81" xr:uid="{2A5E1EA0-EF96-44C6-A969-960E0DEC306B}"/>
    <hyperlink ref="E36" r:id="rId82" xr:uid="{56D3DED2-E747-439E-8890-62A7277A9728}"/>
    <hyperlink ref="E38" r:id="rId83" xr:uid="{85DD39B6-3EA7-4E81-8CC3-87585C7F5D09}"/>
    <hyperlink ref="E272" r:id="rId84" xr:uid="{513A79F4-7561-43D8-AFAD-A6771705BC74}"/>
    <hyperlink ref="E358" r:id="rId85" xr:uid="{25342BCB-6F27-4B1E-B34F-6965FEC8EC39}"/>
    <hyperlink ref="E193" r:id="rId86" xr:uid="{CC9BD52B-CE68-4952-BF65-D206C87EF6BE}"/>
    <hyperlink ref="E65" r:id="rId87" xr:uid="{A87EA4DB-5B43-4358-863D-18472787D1F6}"/>
    <hyperlink ref="E170" r:id="rId88" xr:uid="{173E661E-C6F6-4563-AAB5-D40F75E0DB55}"/>
    <hyperlink ref="E259" r:id="rId89" xr:uid="{A0B3E8FF-ECD4-45B1-8B08-392574FC6545}"/>
    <hyperlink ref="E276" r:id="rId90" xr:uid="{FE866CE8-E64F-4626-B95B-D8F29C1B5A6C}"/>
    <hyperlink ref="E249" r:id="rId91" xr:uid="{D1108C3F-090B-4417-8B0B-DF03DEC6FCAD}"/>
    <hyperlink ref="E189" r:id="rId92" xr:uid="{14C13C55-0FED-4F84-BE7C-A9A2C2E2B223}"/>
    <hyperlink ref="E349" r:id="rId93" xr:uid="{9004C364-3FC7-4CCD-B2FF-07A9944FEDCE}"/>
    <hyperlink ref="E273" r:id="rId94" xr:uid="{51E3F53E-6BDC-4A43-BFBA-B22F81ACFCEF}"/>
    <hyperlink ref="E216" r:id="rId95" xr:uid="{A8FB0822-B6A7-4F4D-BFBE-D7DF0ABFDE85}"/>
    <hyperlink ref="E166" r:id="rId96" xr:uid="{356D66B4-41F5-49DD-BBB8-FD510A7EB76E}"/>
    <hyperlink ref="E200" r:id="rId97" xr:uid="{23EA8EF4-C8E9-456B-BAE8-856D151E204E}"/>
    <hyperlink ref="E250" r:id="rId98" xr:uid="{53EF4DCE-CC38-482F-8CAA-4B42117A7F44}"/>
    <hyperlink ref="E275" r:id="rId99" xr:uid="{4AF9089B-79FD-44E8-AEFB-30826852F680}"/>
    <hyperlink ref="E10" r:id="rId100" xr:uid="{85DC6945-E5AC-43A8-89DF-9491BA57E00F}"/>
    <hyperlink ref="E56" r:id="rId101" xr:uid="{F7123546-94E4-472E-979B-A93E48E56CA0}"/>
    <hyperlink ref="E23" r:id="rId102" xr:uid="{DCC4888B-A52C-45EB-922F-34580B64DD55}"/>
    <hyperlink ref="E271" r:id="rId103" xr:uid="{12230233-44C8-46EC-8098-2320E9ED7EEA}"/>
    <hyperlink ref="E419" r:id="rId104" xr:uid="{2FDD1B89-5C0B-4463-BEDF-8DF0A81FFA50}"/>
    <hyperlink ref="E197" r:id="rId105" xr:uid="{1C7880D6-5C5B-44EA-877F-E711AA960268}"/>
    <hyperlink ref="E198" r:id="rId106" xr:uid="{7426D181-4D9E-45D3-B508-6222C9B4D60E}"/>
    <hyperlink ref="E356" r:id="rId107" xr:uid="{67AE8182-FE18-442C-89CD-4D0E73D1BA96}"/>
    <hyperlink ref="E394" r:id="rId108" xr:uid="{9F385D45-10E8-4C96-A205-DF88C43F19AD}"/>
    <hyperlink ref="E354" r:id="rId109" xr:uid="{3E3FCD25-A772-43BC-8ABF-AE3231236A9B}"/>
    <hyperlink ref="E153" r:id="rId110" xr:uid="{6A4B079E-5CD1-4330-895A-130FA1FB43D4}"/>
    <hyperlink ref="E165" r:id="rId111" xr:uid="{40C5EA98-9FDE-4EFE-A070-5D98DD24CA51}"/>
    <hyperlink ref="E188" r:id="rId112" xr:uid="{30A837E1-09F0-42EF-81A6-642B94609DF6}"/>
    <hyperlink ref="E359" r:id="rId113" xr:uid="{FA467C7A-E0AA-4609-8F2F-0B014CF27E03}"/>
    <hyperlink ref="E283" r:id="rId114" xr:uid="{286A0374-06A7-4CEC-B992-51F32A0ECE72}"/>
    <hyperlink ref="E196" r:id="rId115" xr:uid="{E71ED406-2173-4433-8B27-D9DB85258E28}"/>
    <hyperlink ref="E191" r:id="rId116" xr:uid="{21719413-C998-454A-82AA-8A7289855DE5}"/>
    <hyperlink ref="E281" r:id="rId117" xr:uid="{541C8E7F-0E1B-4BF1-BE6A-D169AC18607A}"/>
    <hyperlink ref="E298" r:id="rId118" xr:uid="{B984F9DF-B5BC-497B-87C5-3C1DE1EB2E69}"/>
    <hyperlink ref="E28" r:id="rId119" xr:uid="{C7D5D732-B500-47AB-80D5-35A79FBDA965}"/>
    <hyperlink ref="E277" r:id="rId120" xr:uid="{2A28E772-E1E2-4F88-8B6B-3AD0ECE6EE95}"/>
    <hyperlink ref="E396" r:id="rId121" xr:uid="{F0B2576D-F3F2-4D7D-B2E9-87F7DE61551E}"/>
    <hyperlink ref="E203" r:id="rId122" xr:uid="{A13C28A2-AB7B-4C06-91F2-E5FE6836E679}"/>
    <hyperlink ref="E432" r:id="rId123" xr:uid="{373C6CF9-2F6C-40BE-8E95-338033CFD70B}"/>
    <hyperlink ref="E355" r:id="rId124" xr:uid="{DD8671C2-F2D0-4394-9F84-49800F094BE5}"/>
    <hyperlink ref="E280" r:id="rId125" xr:uid="{96DEE29A-14CE-4213-A071-235CAD9A1074}"/>
    <hyperlink ref="E79" r:id="rId126" xr:uid="{477AECB2-EB1C-4312-8F51-F899378EFAA0}"/>
    <hyperlink ref="E47" r:id="rId127" xr:uid="{5145D4AF-5D4E-4B85-AC5D-10D70694C8EE}"/>
    <hyperlink ref="E207" r:id="rId128" xr:uid="{0DC43B3D-D16B-4004-9BBC-8BC9E4AAED53}"/>
    <hyperlink ref="E360" r:id="rId129" xr:uid="{5CCEAFBB-F53E-4E59-BCC9-33A0B0A6851D}"/>
    <hyperlink ref="E205" r:id="rId130" xr:uid="{3F2E04F2-1857-4386-A7FA-0464B9CBB92D}"/>
    <hyperlink ref="E279" r:id="rId131" xr:uid="{F04A4C5B-1F8B-4F02-960D-637F10718317}"/>
    <hyperlink ref="E202" r:id="rId132" xr:uid="{587E21E1-DE43-4ED7-BBD9-430D23FEFC61}"/>
    <hyperlink ref="E290" r:id="rId133" xr:uid="{43F042CA-3A93-45BF-A4F7-FA6524B91179}"/>
    <hyperlink ref="E284" r:id="rId134" xr:uid="{FF1D758A-3071-44B7-9142-4DF91409BB89}"/>
    <hyperlink ref="E67" r:id="rId135" xr:uid="{92DF260B-4299-4A94-A75A-4F5544C307BA}"/>
    <hyperlink ref="E46" r:id="rId136" xr:uid="{88C2042B-8100-4D6C-8C2F-1DF2E14573E3}"/>
    <hyperlink ref="E265" r:id="rId137" xr:uid="{B05A0728-9BBD-42F3-9D03-554A064E3B5C}"/>
    <hyperlink ref="E173" r:id="rId138" xr:uid="{D3FF35AD-126E-4816-95A0-C22F14FBDB1F}"/>
    <hyperlink ref="E167" r:id="rId139" xr:uid="{4CA88600-3148-48FF-BB91-C1F4623AAFF0}"/>
    <hyperlink ref="E85" r:id="rId140" xr:uid="{68C60686-5087-4973-9223-6EE24E2C82DB}"/>
    <hyperlink ref="E388" r:id="rId141" xr:uid="{627961D1-9423-43AA-8287-77D49026C9ED}"/>
    <hyperlink ref="E289" r:id="rId142" xr:uid="{E52BD75B-29B1-4346-AAD2-FC14AF34D898}"/>
    <hyperlink ref="E206" r:id="rId143" xr:uid="{2D7E0822-3531-4280-BC6A-C045B4927873}"/>
    <hyperlink ref="E386" r:id="rId144" xr:uid="{23B61AF1-AC5F-4E28-9D28-803AAC9725F0}"/>
    <hyperlink ref="E433" r:id="rId145" xr:uid="{1D94C0B5-CD43-4D19-A266-8A46FAB3335A}"/>
    <hyperlink ref="E48" r:id="rId146" xr:uid="{EEA1B2B4-60B1-48DF-B73F-DE1177507E5E}"/>
    <hyperlink ref="E347" r:id="rId147" xr:uid="{308CE4BA-BA72-4EAD-A3C6-880B7E07BD8E}"/>
    <hyperlink ref="E425" r:id="rId148" xr:uid="{2638F20A-3714-4669-9DC9-49FDCFF44149}"/>
    <hyperlink ref="E362" r:id="rId149" xr:uid="{77B04DF6-C515-4AE7-966C-6D085179E570}"/>
    <hyperlink ref="E204" r:id="rId150" xr:uid="{55139CCE-E75B-444F-BD73-1BE637ABA4D4}"/>
    <hyperlink ref="E374" r:id="rId151" xr:uid="{5666DDEA-E68A-4705-A74A-5516622ADEF2}"/>
    <hyperlink ref="E375" r:id="rId152" xr:uid="{EFB29E87-6227-4952-94AC-74EA570A669C}"/>
    <hyperlink ref="E434" r:id="rId153" xr:uid="{332E3C42-021F-44CA-8E6D-BBC458BC4293}"/>
    <hyperlink ref="E350" r:id="rId154" xr:uid="{EB940F4F-231A-46A0-9101-362EE6877CF8}"/>
    <hyperlink ref="E81" r:id="rId155" xr:uid="{15026B9F-41E4-4ECD-87A6-BFC7F14C8FBF}"/>
    <hyperlink ref="E393" r:id="rId156" xr:uid="{215CBD68-8348-43AD-B81C-7FA0D968AEDD}"/>
    <hyperlink ref="E164" r:id="rId157" xr:uid="{C169756A-B5BA-4FAF-AED9-6F0FBA16523D}"/>
    <hyperlink ref="E213" r:id="rId158" xr:uid="{B437BC5A-FFC2-4B63-BF8C-C06DCDD641E6}"/>
    <hyperlink ref="E62" r:id="rId159" xr:uid="{1C4DA02C-7BE5-4E48-96DD-329D76AD974F}"/>
    <hyperlink ref="E291" r:id="rId160" xr:uid="{A802AFF9-D0DD-4D1A-B395-926E25FBECA1}"/>
    <hyperlink ref="E209" r:id="rId161" xr:uid="{91246EDD-15F5-4E69-A5E1-7B27F370A846}"/>
    <hyperlink ref="E214" r:id="rId162" xr:uid="{FF6D1F5F-C99B-4DF8-B963-6A8957EF1EC7}"/>
    <hyperlink ref="E243" r:id="rId163" xr:uid="{88C1A4B6-621B-4582-B356-BFF7EA474658}"/>
    <hyperlink ref="E295" r:id="rId164" xr:uid="{FE96CB71-D932-41A5-A505-91ABA970253C}"/>
    <hyperlink ref="E288" r:id="rId165" xr:uid="{F50D1BE4-96A4-4589-9FB3-775F01236D11}"/>
    <hyperlink ref="E174" r:id="rId166" xr:uid="{BE20FEFC-2AA5-4C26-9897-E9003309EE43}"/>
    <hyperlink ref="E334" r:id="rId167" xr:uid="{61FEAE88-D015-4AE3-9ED8-54F67012BF15}"/>
    <hyperlink ref="E76" r:id="rId168" xr:uid="{FBA5C939-97BF-4A00-AEAE-FED431175B24}"/>
    <hyperlink ref="E217" r:id="rId169" xr:uid="{A29894FA-8BD5-4469-8B78-90471866F199}"/>
    <hyperlink ref="E172" r:id="rId170" xr:uid="{87BE1E58-22D9-4BC9-BEC1-2984A238C296}"/>
    <hyperlink ref="E212" r:id="rId171" xr:uid="{B2FB03EC-AED7-45AE-AF63-35FA9701AF75}"/>
    <hyperlink ref="E395" r:id="rId172" xr:uid="{F1F868EB-908B-4751-8B12-B7352940717A}"/>
    <hyperlink ref="E294" r:id="rId173" xr:uid="{71105AD9-25C1-47A7-B50B-C27379C9C064}"/>
    <hyperlink ref="E435" r:id="rId174" xr:uid="{092ACC63-9CBD-4D69-8577-AB488D6A44FD}"/>
    <hyperlink ref="E436" r:id="rId175" xr:uid="{40BC1ECB-40D9-4397-B43D-6CF1570193FE}"/>
    <hyperlink ref="E335" r:id="rId176" xr:uid="{7AA42F0E-496E-4CE9-BA54-891D8281432E}"/>
    <hyperlink ref="E282" r:id="rId177" xr:uid="{46951A43-7C54-42BB-A2AA-A59DC6A4F267}"/>
    <hyperlink ref="E343" r:id="rId178" xr:uid="{8BA34BD5-ED7F-4147-9990-282FEBDEB6DC}"/>
    <hyperlink ref="E392" r:id="rId179" xr:uid="{DC5E39A7-0741-4C1F-8ACE-EA02C898DF51}"/>
    <hyperlink ref="E418" r:id="rId180" xr:uid="{18DB5F8F-3F97-4908-A99D-DA92B4E0D83C}"/>
    <hyperlink ref="E240" r:id="rId181" xr:uid="{B2D5835B-5AB1-4ED3-8AFF-E579C6D8EBC9}"/>
    <hyperlink ref="E63" r:id="rId182" xr:uid="{0959EF78-5994-4617-A6F1-8FE4C26BD418}"/>
    <hyperlink ref="E169" r:id="rId183" xr:uid="{37585E09-F999-4553-98F8-045C39421202}"/>
    <hyperlink ref="E429" r:id="rId184" xr:uid="{F0E816B0-E73F-4FC0-A766-80A93AD6EDA3}"/>
    <hyperlink ref="E77" r:id="rId185" xr:uid="{3CEC2911-A513-40C1-BBA6-20BC4100A9E9}"/>
    <hyperlink ref="E296" r:id="rId186" xr:uid="{24152BC2-2653-42DC-BBFA-DF2D47CDD69F}"/>
    <hyperlink ref="E399" r:id="rId187" xr:uid="{369CA358-CD94-4850-A930-854605185C8C}"/>
    <hyperlink ref="E299" r:id="rId188" xr:uid="{F532A85F-9751-423F-B5C1-E36459C02247}"/>
    <hyperlink ref="E300" r:id="rId189" xr:uid="{D756E077-606A-4192-93A0-A185EDEA9DA7}"/>
    <hyperlink ref="E348" r:id="rId190" xr:uid="{601765F7-35D0-4547-8E18-CC03D7DE40EE}"/>
    <hyperlink ref="E363" r:id="rId191" xr:uid="{1AC282F3-AC0C-4C7B-B6C1-448EF61CB3DF}"/>
    <hyperlink ref="E84" r:id="rId192" xr:uid="{6071006C-A98F-4832-9595-E008D6ACEC50}"/>
    <hyperlink ref="E244" r:id="rId193" xr:uid="{BF8BBBF3-F144-43ED-A79C-78210EC45D6D}"/>
    <hyperlink ref="E297" r:id="rId194" xr:uid="{AAA3F0D9-F118-4901-8FA8-BFD4B9905D26}"/>
    <hyperlink ref="E154" r:id="rId195" xr:uid="{DB7076B2-CBE9-4253-B095-75C77934CC1E}"/>
    <hyperlink ref="E218" r:id="rId196" xr:uid="{2ADBB5D1-BAE2-4C82-BA3D-60CBA69D69BB}"/>
    <hyperlink ref="E86" r:id="rId197" xr:uid="{9CFD86A3-0336-4833-8A5E-1C16D9ECAA66}"/>
    <hyperlink ref="E301" r:id="rId198" xr:uid="{B420847B-2A88-4FCF-B9D6-9021596E4A4E}"/>
    <hyperlink ref="E398" r:id="rId199" xr:uid="{19F58878-05A3-45DD-A564-E5F18A6B4B8C}"/>
    <hyperlink ref="E211" r:id="rId200" xr:uid="{0E3CB5A5-6984-4581-A709-6B57E85BE10F}"/>
    <hyperlink ref="E248" r:id="rId201" xr:uid="{F523A325-D73B-4554-A6F4-68C2A44A9D3B}"/>
    <hyperlink ref="E424" r:id="rId202" xr:uid="{2A8C070A-EC09-4E5D-A176-7853616E472A}"/>
    <hyperlink ref="E376" r:id="rId203" xr:uid="{60FD890D-B4C3-44F3-8C56-71E187BF8A43}"/>
    <hyperlink ref="E361" r:id="rId204" xr:uid="{E50A3790-DDF7-4B14-901A-76DA2EA79591}"/>
    <hyperlink ref="E417" r:id="rId205" xr:uid="{320667B7-59FF-464C-A1F1-EA70C1208DAB}"/>
    <hyperlink ref="E391" r:id="rId206" xr:uid="{8BF6603A-4788-4F12-9F4F-8D1F69C71699}"/>
    <hyperlink ref="E390" r:id="rId207" xr:uid="{89EC6A4F-C655-4C55-BCD6-A788F96285C2}"/>
    <hyperlink ref="E160" r:id="rId208" xr:uid="{A342E704-400F-4D59-8CD2-085D535E5791}"/>
    <hyperlink ref="E333" r:id="rId209" xr:uid="{0BE77106-CFC1-4F90-B60F-C98AC0B11278}"/>
    <hyperlink ref="E437" r:id="rId210" xr:uid="{1F7618AE-6377-466B-9882-E62884935DB2}"/>
    <hyperlink ref="E423" r:id="rId211" xr:uid="{DCDB6033-BD2C-4E2F-8349-63D659C7384B}"/>
    <hyperlink ref="E421" r:id="rId212" xr:uid="{DDC5F0CF-CD26-4D97-82AF-7036BADCE445}"/>
    <hyperlink ref="E420" r:id="rId213" xr:uid="{E9026E4A-DF20-40D3-A281-790B1ABA4EF6}"/>
    <hyperlink ref="E428" r:id="rId214" xr:uid="{5C31956D-63AB-459C-BFAA-B14CC827D28D}"/>
    <hyperlink ref="E371" r:id="rId215" xr:uid="{AB149487-F2BE-4FB7-B690-A0AAF420D304}"/>
    <hyperlink ref="E438" r:id="rId216" xr:uid="{5A855EAD-7D23-4AC8-A8E9-BD6EE9660AC5}"/>
    <hyperlink ref="E422" r:id="rId217" xr:uid="{1DF023C0-E7B7-4848-8DF5-F14FE39959B3}"/>
    <hyperlink ref="E377" r:id="rId218" xr:uid="{28F213F2-02CF-441D-BE87-360806B2446B}"/>
    <hyperlink ref="E113" r:id="rId219" xr:uid="{5F5624C1-C515-4033-9168-34FDC07378C7}"/>
    <hyperlink ref="E157" r:id="rId220" xr:uid="{D2C5B824-3B4C-46A9-B2E7-07E953F3240C}"/>
    <hyperlink ref="E109" r:id="rId221" xr:uid="{5804746D-79FB-4168-B845-FA828D6E2827}"/>
    <hyperlink ref="E119" r:id="rId222" xr:uid="{53E418E0-96F7-4E66-AEC8-6CAFF68330CC}"/>
    <hyperlink ref="E231" r:id="rId223" xr:uid="{003E1B3E-8036-40F8-8ADB-6CE5A4F2754A}"/>
    <hyperlink ref="E230" r:id="rId224" xr:uid="{47C5267F-34C6-4FF6-A950-2D04AF14DB48}"/>
    <hyperlink ref="E106" r:id="rId225" xr:uid="{058CAD73-99E5-45DB-A393-26CFAC16A0F5}"/>
    <hyperlink ref="E105" r:id="rId226" xr:uid="{BB2C90BB-994C-4097-9E41-98C543BCABE8}"/>
    <hyperlink ref="E104" r:id="rId227" xr:uid="{8AB6C84F-8E65-454D-B402-6B013E4759E0}"/>
    <hyperlink ref="E107" r:id="rId228" xr:uid="{ADCEED26-FD7B-4D8D-A235-E96DB6BAD898}"/>
    <hyperlink ref="E92" r:id="rId229" xr:uid="{6BBA70AD-C707-49C1-9D4F-DC906638E4D8}"/>
    <hyperlink ref="E103" r:id="rId230" xr:uid="{14FDCA3D-7574-47FA-9B2C-52121E419827}"/>
    <hyperlink ref="E132" r:id="rId231" xr:uid="{17F6FC62-888D-4134-8C2F-5C007EE878AE}"/>
    <hyperlink ref="E115" r:id="rId232" xr:uid="{EBF86E31-A145-4B5D-8CFE-792F1B383EA8}"/>
    <hyperlink ref="E228" r:id="rId233" xr:uid="{65A9B28A-536C-4201-A53C-C6380144A5B7}"/>
    <hyperlink ref="E120" r:id="rId234" xr:uid="{D6C49202-1A5F-44E0-A376-32F9A5C3BFD2}"/>
    <hyperlink ref="E227" r:id="rId235" xr:uid="{6D431660-4AA9-4CDB-8943-F434ABA66377}"/>
    <hyperlink ref="E110" r:id="rId236" xr:uid="{E653A53C-E436-4AA2-9986-92D59AB0073C}"/>
    <hyperlink ref="E101" r:id="rId237" xr:uid="{A6D83C80-2709-43F2-B22D-0D617FE013B8}"/>
    <hyperlink ref="E100" r:id="rId238" xr:uid="{1CB4200B-9F2F-4711-8D86-9116F2378902}"/>
    <hyperlink ref="E89" r:id="rId239" xr:uid="{743AD757-492B-4FE8-B4E0-7C80E25AED35}"/>
    <hyperlink ref="E108" r:id="rId240" xr:uid="{3566426A-DE84-4098-9B4E-86058590219E}"/>
    <hyperlink ref="E144" r:id="rId241" xr:uid="{97F6F031-36FF-4C3A-81DF-AC490A045421}"/>
    <hyperlink ref="E99" r:id="rId242" xr:uid="{40DAF6D8-EFC5-4AAC-AAE6-575E2F857FF7}"/>
    <hyperlink ref="E225" r:id="rId243" xr:uid="{F5E27CAD-E546-4100-BCFE-0EFA724CE7AD}"/>
    <hyperlink ref="E98" r:id="rId244" xr:uid="{6594C3B7-485A-4F87-8EDD-E63F215F3575}"/>
    <hyperlink ref="E97" r:id="rId245" xr:uid="{B135707D-8683-485E-88EF-74ECDAE121B6}"/>
    <hyperlink ref="E223" r:id="rId246" xr:uid="{980B5DF6-864A-423E-9FAB-F2E01DC440C4}"/>
    <hyperlink ref="E222" r:id="rId247" xr:uid="{50340D8D-A9EE-4E54-B3B7-562CCA088329}"/>
    <hyperlink ref="E143" r:id="rId248" xr:uid="{174AF719-0629-48A2-BB20-AC101164347A}"/>
    <hyperlink ref="E140" r:id="rId249" xr:uid="{3CD32324-706A-479A-A84D-507FC63D6FCC}"/>
    <hyperlink ref="E221" r:id="rId250" xr:uid="{840D7E2B-D45E-44C0-A7B6-2E72B7F0E9A9}"/>
    <hyperlink ref="E176" r:id="rId251" xr:uid="{A4A2A1DF-7056-4601-A2E1-132C919A10DC}"/>
    <hyperlink ref="E178" r:id="rId252" xr:uid="{CC8C8010-8F1F-4A61-BE3F-233B4383F224}"/>
    <hyperlink ref="E159" r:id="rId253" xr:uid="{4FD98206-B811-46F1-AEE8-D2AA143A7429}"/>
    <hyperlink ref="E90" r:id="rId254" xr:uid="{B32F3438-7D7B-407F-A4C7-B3E45939BDF8}"/>
    <hyperlink ref="E220" r:id="rId255" xr:uid="{0E4263E9-6778-4D6F-A2E9-2F3861D98B37}"/>
    <hyperlink ref="E145" r:id="rId256" xr:uid="{2DB502EB-3B81-409D-B755-43A91912C35B}"/>
    <hyperlink ref="E175" r:id="rId257" xr:uid="{1600B2AD-670F-45F3-A1C0-6E3CC85B380E}"/>
    <hyperlink ref="E156" r:id="rId258" xr:uid="{B75F7842-62E8-494A-881F-8F61EC0059A4}"/>
    <hyperlink ref="E158" r:id="rId259" xr:uid="{7AC7E962-ACA6-42D7-B782-6B645C4C3DCA}"/>
    <hyperlink ref="E177" r:id="rId260" xr:uid="{A26E892B-8757-4BB1-856D-FEA3CC90565D}"/>
    <hyperlink ref="E114" r:id="rId261" xr:uid="{D2CE6A4C-AB7B-4949-805F-BD2A7124CAB0}"/>
    <hyperlink ref="E142" r:id="rId262" xr:uid="{A8226C32-4517-4D0D-98B7-AC7F5906C8D4}"/>
    <hyperlink ref="E179" r:id="rId263" xr:uid="{4D97C1E8-A798-40D8-AC0C-8FF1EAF722B6}"/>
    <hyperlink ref="E236" r:id="rId264" xr:uid="{C4709374-6991-452B-A2F4-7D8C119919BB}"/>
    <hyperlink ref="E338" r:id="rId265" xr:uid="{A196ABF3-A1DD-489C-8C55-D62EA260AA69}"/>
    <hyperlink ref="E337" r:id="rId266" xr:uid="{8F96C1DE-853D-4ED3-8825-0E94E85FB73C}"/>
    <hyperlink ref="E234" r:id="rId267" xr:uid="{633AAF5A-F965-4A23-81F0-6C2E721D27C0}"/>
    <hyperlink ref="E345" r:id="rId268" xr:uid="{B6A19EBA-62C4-466E-B2A7-C8630F0E130E}"/>
    <hyperlink ref="E316" r:id="rId269" xr:uid="{249BF06C-6D3E-4AA9-8157-CBE3C84A3A1D}"/>
    <hyperlink ref="E315" r:id="rId270" xr:uid="{9C57E4DE-E40E-4361-B942-84134EA48F27}"/>
    <hyperlink ref="E233" r:id="rId271" xr:uid="{9133C8B3-CB2D-49BD-8B09-C2A8DB1E651A}"/>
    <hyperlink ref="E232" r:id="rId272" xr:uid="{1A644E60-B784-4203-80C8-619D6C01CA50}"/>
    <hyperlink ref="E378" r:id="rId273" xr:uid="{7F221DFD-2F2E-413E-A4E4-61CA418AC38D}"/>
    <hyperlink ref="E404" r:id="rId274" xr:uid="{EBCA5AAD-0E14-4B27-BB6C-3069B67B1BFA}"/>
    <hyperlink ref="E314" r:id="rId275" xr:uid="{53249067-8DE6-4D8F-A021-7F7C520F8583}"/>
    <hyperlink ref="E311" r:id="rId276" xr:uid="{B1044453-4695-4142-836C-782DAE5FC6AE}"/>
    <hyperlink ref="E416" r:id="rId277" xr:uid="{4525F85D-6C69-40FC-BE03-44FA02858D3E}"/>
    <hyperlink ref="E312" r:id="rId278" xr:uid="{72E96A80-3388-44EC-AA0E-DF08581C47DB}"/>
    <hyperlink ref="E403" r:id="rId279" xr:uid="{D40D3D8C-7D9F-46C1-9999-C45B08F2F046}"/>
    <hyperlink ref="E313" r:id="rId280" xr:uid="{07879179-7D6A-4BD5-AAD5-F490F713DDDE}"/>
    <hyperlink ref="E331" r:id="rId281" xr:uid="{84926D6E-6309-4C18-8197-7BCD1C5121B0}"/>
    <hyperlink ref="E341" r:id="rId282" xr:uid="{451968E3-749D-4662-9E40-3BEFD29FE697}"/>
    <hyperlink ref="E327" r:id="rId283" xr:uid="{7ABC2834-EF91-4A7C-A1F5-C0557D6BB0C6}"/>
    <hyperlink ref="E319" r:id="rId284" xr:uid="{3F9D8806-8C3D-47CD-AE3E-3AC800FC1056}"/>
    <hyperlink ref="E308" r:id="rId285" xr:uid="{F92423B1-BD95-4141-AD66-5AE05020C8F7}"/>
    <hyperlink ref="E346" r:id="rId286" xr:uid="{9ABA67A5-002E-4177-B3D0-EBFB66A86EDD}"/>
    <hyperlink ref="E370" r:id="rId287" xr:uid="{97257733-6D8C-40F1-87B9-9EF4558E04BA}"/>
    <hyperlink ref="E367" r:id="rId288" xr:uid="{DF363C26-58EB-4E72-8936-B87804D4A6BF}"/>
    <hyperlink ref="E305" r:id="rId289" xr:uid="{964B89EB-E216-41EE-BA3E-C646B2115457}"/>
    <hyperlink ref="E411" r:id="rId290" xr:uid="{1C668E6C-5FEE-451F-A8A6-EEAAFFADB5E4}"/>
    <hyperlink ref="E306" r:id="rId291" xr:uid="{370DDF1D-D263-42C6-9608-024ED41417B9}"/>
    <hyperlink ref="E430" r:id="rId292" xr:uid="{F68E230E-1E7A-43E5-B7E3-07B89866E565}"/>
    <hyperlink ref="E304" r:id="rId293" xr:uid="{5E93F7AA-D14D-4ED6-A1FA-6350124CFDC9}"/>
    <hyperlink ref="E410" r:id="rId294" xr:uid="{ED7CFADF-6436-4E3C-96C5-85CB8411D992}"/>
    <hyperlink ref="E246" r:id="rId295" xr:uid="{E54CE107-F320-49F1-ACE4-04FD0CF828B7}"/>
    <hyperlink ref="E413" r:id="rId296" xr:uid="{61F43E8C-E1B5-4DF5-8555-F4FAE06E4E05}"/>
    <hyperlink ref="E440" r:id="rId297" xr:uid="{9F0E6353-8F3D-4EE3-B5A6-FA2626E146E5}"/>
    <hyperlink ref="E406" r:id="rId298" xr:uid="{24F4DB2B-5E69-4793-9665-4B733E5E5A4A}"/>
    <hyperlink ref="E414" r:id="rId299" xr:uid="{778B337D-1446-43A3-A2B4-466197779BAE}"/>
    <hyperlink ref="E317" r:id="rId300" xr:uid="{EDECF412-5318-4573-A719-E8C9672C34AC}"/>
    <hyperlink ref="E303" r:id="rId301" xr:uid="{3178D841-CC3F-443C-98F8-4A100E9A76B0}"/>
    <hyperlink ref="E328" r:id="rId302" xr:uid="{7C88D32F-D967-43A0-9202-450D67FB6E37}"/>
    <hyperlink ref="E407" r:id="rId303" xr:uid="{137B120E-D197-4D52-BD15-6D397766F8BA}"/>
    <hyperlink ref="E408" r:id="rId304" xr:uid="{61D52F8A-6E1B-4889-A1D2-7C0CF16486BB}"/>
    <hyperlink ref="E409" r:id="rId305" xr:uid="{EA825740-629B-49A0-8EB5-03F2CB5DFF41}"/>
    <hyperlink ref="E332" r:id="rId306" xr:uid="{1174D7FA-ACFF-4D35-AAA6-6CC745003EF5}"/>
    <hyperlink ref="E405" r:id="rId307" xr:uid="{761602C4-A96E-4906-862D-D5F56778E551}"/>
    <hyperlink ref="E365" r:id="rId308" xr:uid="{B5617234-DE3C-4F78-BDA2-4D32908E3F0A}"/>
    <hyperlink ref="E402" r:id="rId309" xr:uid="{04E5EB7E-CF69-4DD5-BD23-7200F5DE8620}"/>
    <hyperlink ref="E364" r:id="rId310" xr:uid="{1EF63DF0-450E-4C9A-9794-6F07205932D4}"/>
    <hyperlink ref="E382" r:id="rId311" xr:uid="{0AF57899-5724-415F-A16D-C65894DFCF1D}"/>
    <hyperlink ref="E247" r:id="rId312" xr:uid="{5172738A-C495-42C9-995E-2E78A536C399}"/>
    <hyperlink ref="E180" r:id="rId313" xr:uid="{578C52FA-3DD7-4099-9CB9-B061BA71D4F8}"/>
    <hyperlink ref="E239" r:id="rId314" xr:uid="{B7BA9A09-90C4-4474-B12F-DAB16602D5C7}"/>
    <hyperlink ref="E238" r:id="rId315" xr:uid="{A1306AC0-D739-40FE-A5D3-2988D8DE2600}"/>
    <hyperlink ref="E400" r:id="rId316" xr:uid="{39265F34-346E-48C8-9517-3D95B3DD6D9F}"/>
    <hyperlink ref="E415" r:id="rId317" xr:uid="{97A2D2D8-B72C-436A-88AD-AABFF76CB7E5}"/>
    <hyperlink ref="E318" r:id="rId318" xr:uid="{D09B1E17-73CA-497C-939B-BAB13789E887}"/>
    <hyperlink ref="E387" r:id="rId319" xr:uid="{2990BA1A-D316-4176-9905-619EFFB27F0F}"/>
    <hyperlink ref="E309" r:id="rId320" xr:uid="{9E3F1403-E8BA-49C5-934D-DDEF3FCDDF90}"/>
    <hyperlink ref="E372" r:id="rId321" xr:uid="{E2454D3C-DB32-4A6F-9D17-3ADA64FC4F4E}"/>
    <hyperlink ref="E329" r:id="rId322" xr:uid="{392881FD-6EC0-41E7-A952-1D03BED26D2D}"/>
    <hyperlink ref="E342" r:id="rId323" xr:uid="{BDEA2475-0D9E-49CF-A011-8A0A95603F43}"/>
    <hyperlink ref="E147" r:id="rId324" xr:uid="{02B1002F-B701-4605-94AC-BD11B80146DD}"/>
    <hyperlink ref="E401" r:id="rId325" xr:uid="{4F0107FA-611C-4632-8410-5BD8083AD961}"/>
    <hyperlink ref="E330" r:id="rId326" xr:uid="{A95E4790-CD22-4E21-B5DC-EBFBF9EDA48D}"/>
    <hyperlink ref="E442" r:id="rId327" xr:uid="{849B556F-BC74-4543-ACBB-728B07224908}"/>
    <hyperlink ref="E412" r:id="rId328" xr:uid="{D1DD29EA-A653-41C1-9ECB-7065D687D04B}"/>
    <hyperlink ref="E439" r:id="rId329" xr:uid="{BCBC54C1-6089-4539-874E-3A90B1303F00}"/>
    <hyperlink ref="E441" r:id="rId330" xr:uid="{FF7E3BE3-6851-4BEC-8305-E4C3657442D1}"/>
    <hyperlink ref="E443" r:id="rId331" xr:uid="{DB761919-E7ED-4D70-A6DB-0D56C9A0D581}"/>
    <hyperlink ref="E444" r:id="rId332" xr:uid="{6EF6DDE0-2FB4-4C90-8844-584E69E4D26C}"/>
    <hyperlink ref="E445" r:id="rId333" xr:uid="{A1193A8E-41EE-4A77-A251-DB2ADF5DF8CA}"/>
    <hyperlink ref="E427" r:id="rId334" xr:uid="{A4C1FA4D-ED42-4B43-830C-EEFC4564F66F}"/>
    <hyperlink ref="E426" r:id="rId335" xr:uid="{7CABF34C-7FD8-4DE6-86E1-1AF74F65C2CF}"/>
    <hyperlink ref="E446" r:id="rId336" xr:uid="{A5771567-1C63-46F7-B2F8-CA37F472840A}"/>
    <hyperlink ref="E447" r:id="rId337" xr:uid="{E837C273-69DE-44A7-8F25-CA630DE24CEC}"/>
    <hyperlink ref="E302" r:id="rId338" xr:uid="{F8440024-F944-4A0A-9249-8E6691759789}"/>
    <hyperlink ref="E389" r:id="rId339" xr:uid="{66050801-74FF-4B13-9AB8-ECBD25E62B13}"/>
  </hyperlinks>
  <pageMargins left="0.7" right="0.7" top="0.75" bottom="0.75" header="0.3" footer="0.3"/>
  <legacyDrawing r:id="rId340"/>
  <extLst>
    <ext xmlns:x14="http://schemas.microsoft.com/office/spreadsheetml/2009/9/main" uri="{CCE6A557-97BC-4b89-ADB6-D9C93CAAB3DF}">
      <x14:dataValidations xmlns:xm="http://schemas.microsoft.com/office/excel/2006/main" count="2">
        <x14:dataValidation type="list" allowBlank="1" showInputMessage="1" showErrorMessage="1" xr:uid="{8F12EF34-6799-4C67-8858-6FDA2B1E93D5}">
          <x14:formula1>
            <xm:f>Feuil2!$A$1:$A$18</xm:f>
          </x14:formula1>
          <xm:sqref>D1:D2</xm:sqref>
        </x14:dataValidation>
        <x14:dataValidation type="list" allowBlank="1" showInputMessage="1" showErrorMessage="1" xr:uid="{61B6BAC6-A3DF-4856-8915-E74AD62DFEAD}">
          <x14:formula1>
            <xm:f>Feuil2!$A$1:$A$31</xm:f>
          </x14:formula1>
          <xm:sqref>D3:D1048397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7212-1944-44DC-9239-EFFFD2D6D786}">
  <sheetPr>
    <tabColor rgb="FFB5E6A2"/>
  </sheetPr>
  <dimension ref="A1:M1236"/>
  <sheetViews>
    <sheetView tabSelected="1" workbookViewId="0">
      <pane ySplit="2" topLeftCell="A193" activePane="bottomLeft" state="frozen"/>
      <selection pane="bottomLeft" activeCell="D214" sqref="D214"/>
    </sheetView>
  </sheetViews>
  <sheetFormatPr defaultColWidth="9.140625" defaultRowHeight="12.75" outlineLevelCol="1"/>
  <cols>
    <col min="1" max="1" width="12.7109375" style="36" bestFit="1" customWidth="1" outlineLevel="1"/>
    <col min="2" max="2" width="11.140625" style="38" bestFit="1" customWidth="1" outlineLevel="1"/>
    <col min="3" max="3" width="10.42578125" style="36" bestFit="1" customWidth="1"/>
    <col min="4" max="4" width="26.5703125" style="36" bestFit="1" customWidth="1"/>
    <col min="5" max="5" width="11.5703125" style="36" bestFit="1" customWidth="1"/>
    <col min="6" max="6" width="4.140625" style="36" bestFit="1" customWidth="1"/>
    <col min="7" max="7" width="44.42578125" style="160" customWidth="1"/>
    <col min="8" max="8" width="26" style="36" bestFit="1" customWidth="1"/>
    <col min="9" max="9" width="36.85546875" style="36" bestFit="1" customWidth="1"/>
    <col min="10" max="10" width="20.85546875" style="144" bestFit="1" customWidth="1"/>
    <col min="11" max="11" width="18.85546875" style="144" bestFit="1" customWidth="1"/>
    <col min="12" max="12" width="110.28515625" style="146" customWidth="1"/>
    <col min="13" max="13" width="249" style="36" bestFit="1" customWidth="1"/>
    <col min="14" max="16384" width="9.140625" style="36"/>
  </cols>
  <sheetData>
    <row r="1" spans="1:13">
      <c r="A1" s="30">
        <f ca="1">TODAY()</f>
        <v>46076</v>
      </c>
      <c r="E1" s="36">
        <f>COUNTA(E3:E672)</f>
        <v>347</v>
      </c>
      <c r="J1" s="408" t="s">
        <v>28</v>
      </c>
      <c r="K1" s="409"/>
      <c r="L1" s="410"/>
    </row>
    <row r="2" spans="1:13">
      <c r="A2" s="40" t="s">
        <v>29</v>
      </c>
      <c r="B2" s="41" t="s">
        <v>30</v>
      </c>
      <c r="C2" s="40" t="s">
        <v>30</v>
      </c>
      <c r="D2" s="40" t="s">
        <v>31</v>
      </c>
      <c r="E2" s="149" t="s">
        <v>32</v>
      </c>
      <c r="F2" s="40" t="s">
        <v>33</v>
      </c>
      <c r="G2" s="251" t="s">
        <v>35</v>
      </c>
      <c r="H2" s="40" t="s">
        <v>36</v>
      </c>
      <c r="I2" s="40" t="s">
        <v>37</v>
      </c>
      <c r="J2" s="142" t="s">
        <v>38</v>
      </c>
      <c r="K2" s="142" t="s">
        <v>1418</v>
      </c>
      <c r="L2" s="378" t="s">
        <v>39</v>
      </c>
      <c r="M2" s="40"/>
    </row>
    <row r="3" spans="1:13" ht="15">
      <c r="A3" s="429" t="s">
        <v>1419</v>
      </c>
      <c r="B3" s="432">
        <v>46083</v>
      </c>
      <c r="C3" s="31" t="e">
        <f xml:space="preserve"> VLOOKUP(E3, $A$3:$E$704, 2, FALSE)</f>
        <v>#N/A</v>
      </c>
      <c r="D3" s="36" t="s">
        <v>1420</v>
      </c>
      <c r="E3" s="150" t="s">
        <v>1421</v>
      </c>
      <c r="F3" s="36" t="s">
        <v>1422</v>
      </c>
      <c r="G3" s="265"/>
      <c r="H3" s="36" t="s">
        <v>1423</v>
      </c>
      <c r="I3" s="36" t="s">
        <v>1424</v>
      </c>
      <c r="J3" s="144">
        <v>45947</v>
      </c>
      <c r="L3" s="275" t="s">
        <v>1425</v>
      </c>
    </row>
    <row r="4" spans="1:13" ht="15">
      <c r="A4" s="431"/>
      <c r="B4" s="433"/>
      <c r="C4" s="31" t="e">
        <f xml:space="preserve"> VLOOKUP(E4, $A$3:$E$704, 2, FALSE)</f>
        <v>#N/A</v>
      </c>
      <c r="D4" s="36" t="s">
        <v>1420</v>
      </c>
      <c r="E4" s="11" t="s">
        <v>1426</v>
      </c>
      <c r="F4" s="36" t="s">
        <v>1427</v>
      </c>
      <c r="G4" s="314" t="s">
        <v>1428</v>
      </c>
      <c r="H4" s="36" t="s">
        <v>1429</v>
      </c>
      <c r="I4" s="36" t="s">
        <v>1430</v>
      </c>
      <c r="J4" s="144">
        <v>46030</v>
      </c>
      <c r="K4" s="146" t="s">
        <v>1431</v>
      </c>
    </row>
    <row r="5" spans="1:13" ht="15">
      <c r="A5" s="226" t="s">
        <v>1432</v>
      </c>
      <c r="B5" s="388">
        <v>46192</v>
      </c>
      <c r="C5" s="31" t="e">
        <f xml:space="preserve"> VLOOKUP(E5, $A$3:$E$704, 2, FALSE)</f>
        <v>#N/A</v>
      </c>
      <c r="D5" s="36" t="s">
        <v>1433</v>
      </c>
      <c r="E5" s="150" t="s">
        <v>1434</v>
      </c>
      <c r="F5" s="36" t="s">
        <v>1435</v>
      </c>
      <c r="G5" s="265"/>
      <c r="H5" s="36" t="s">
        <v>1436</v>
      </c>
      <c r="I5" s="36" t="s">
        <v>1437</v>
      </c>
      <c r="J5" s="144" t="s">
        <v>1438</v>
      </c>
    </row>
    <row r="6" spans="1:13" ht="15">
      <c r="A6" s="226" t="s">
        <v>1439</v>
      </c>
      <c r="B6" s="388">
        <v>46080</v>
      </c>
      <c r="C6" s="31" t="e">
        <f xml:space="preserve"> VLOOKUP(E6, $A$3:$E$704, 2, FALSE)</f>
        <v>#N/A</v>
      </c>
      <c r="D6" s="36" t="s">
        <v>1433</v>
      </c>
      <c r="E6" s="150" t="s">
        <v>1440</v>
      </c>
      <c r="F6" s="36" t="s">
        <v>1441</v>
      </c>
      <c r="G6" s="265" t="s">
        <v>1442</v>
      </c>
      <c r="H6" s="36" t="s">
        <v>1443</v>
      </c>
      <c r="I6" s="36" t="s">
        <v>1444</v>
      </c>
      <c r="J6" s="144">
        <v>45826</v>
      </c>
    </row>
    <row r="7" spans="1:13" ht="15">
      <c r="A7" s="226" t="s">
        <v>1445</v>
      </c>
      <c r="B7" s="388">
        <v>46072</v>
      </c>
      <c r="C7" s="31" t="e">
        <f xml:space="preserve"> VLOOKUP(E7, $A$3:$E$704, 2, FALSE)</f>
        <v>#N/A</v>
      </c>
      <c r="D7" s="36" t="s">
        <v>1433</v>
      </c>
      <c r="E7" s="150" t="s">
        <v>1446</v>
      </c>
      <c r="F7" s="36" t="s">
        <v>1435</v>
      </c>
      <c r="G7" s="265" t="s">
        <v>1447</v>
      </c>
      <c r="H7" s="36" t="s">
        <v>1448</v>
      </c>
      <c r="I7" s="36" t="s">
        <v>1449</v>
      </c>
      <c r="J7" s="144" t="s">
        <v>1438</v>
      </c>
    </row>
    <row r="8" spans="1:13" ht="15">
      <c r="A8" s="226" t="s">
        <v>1450</v>
      </c>
      <c r="B8" s="388">
        <v>46115</v>
      </c>
      <c r="C8" s="31" t="e">
        <f xml:space="preserve"> VLOOKUP(E8, $A$3:$E$704, 2, FALSE)</f>
        <v>#N/A</v>
      </c>
      <c r="D8" s="36" t="s">
        <v>1433</v>
      </c>
      <c r="E8" s="150" t="s">
        <v>1451</v>
      </c>
      <c r="F8" s="36" t="s">
        <v>1452</v>
      </c>
      <c r="G8" s="265" t="s">
        <v>1453</v>
      </c>
      <c r="H8" s="36" t="s">
        <v>1454</v>
      </c>
      <c r="I8" s="36" t="s">
        <v>1455</v>
      </c>
      <c r="J8" s="144" t="s">
        <v>1456</v>
      </c>
    </row>
    <row r="9" spans="1:13" ht="24">
      <c r="A9" s="3" t="s">
        <v>1457</v>
      </c>
      <c r="B9" s="68">
        <v>46097</v>
      </c>
      <c r="C9" s="31" t="e">
        <f xml:space="preserve"> VLOOKUP(E9, $A$3:$E$704, 2, FALSE)</f>
        <v>#N/A</v>
      </c>
      <c r="D9" s="36" t="s">
        <v>1433</v>
      </c>
      <c r="E9" s="150" t="s">
        <v>1458</v>
      </c>
      <c r="F9" s="36" t="s">
        <v>1441</v>
      </c>
      <c r="G9" s="265" t="s">
        <v>1459</v>
      </c>
      <c r="H9" s="36" t="s">
        <v>1460</v>
      </c>
      <c r="I9" s="36" t="s">
        <v>1461</v>
      </c>
      <c r="J9" s="144">
        <v>45825</v>
      </c>
    </row>
    <row r="10" spans="1:13" ht="15">
      <c r="A10" s="226" t="s">
        <v>1462</v>
      </c>
      <c r="B10" s="388">
        <v>46086</v>
      </c>
      <c r="C10" s="31" t="e">
        <f xml:space="preserve"> VLOOKUP(E10, $A$3:$E$704, 2, FALSE)</f>
        <v>#N/A</v>
      </c>
      <c r="D10" s="36" t="s">
        <v>1433</v>
      </c>
      <c r="E10" s="150" t="s">
        <v>1463</v>
      </c>
      <c r="G10" s="265"/>
    </row>
    <row r="11" spans="1:13" ht="15">
      <c r="A11" s="226" t="s">
        <v>1464</v>
      </c>
      <c r="B11" s="388">
        <v>46296</v>
      </c>
      <c r="C11" s="31" t="e">
        <f xml:space="preserve"> VLOOKUP(E11, $A$3:$E$704, 2, FALSE)</f>
        <v>#N/A</v>
      </c>
      <c r="D11" s="36" t="s">
        <v>1433</v>
      </c>
      <c r="E11" s="150" t="s">
        <v>1465</v>
      </c>
      <c r="G11" s="265"/>
    </row>
    <row r="12" spans="1:13" ht="15">
      <c r="A12" s="226" t="s">
        <v>1466</v>
      </c>
      <c r="B12" s="388">
        <v>46063</v>
      </c>
      <c r="C12" s="31" t="e">
        <f xml:space="preserve"> VLOOKUP(E12, $A$3:$E$704, 2, FALSE)</f>
        <v>#N/A</v>
      </c>
      <c r="D12" s="36" t="s">
        <v>1433</v>
      </c>
      <c r="E12" s="150" t="s">
        <v>1467</v>
      </c>
      <c r="F12" s="36" t="s">
        <v>57</v>
      </c>
      <c r="G12" s="265"/>
      <c r="H12" s="36" t="s">
        <v>1468</v>
      </c>
      <c r="I12" s="36" t="s">
        <v>1469</v>
      </c>
      <c r="L12" s="146" t="s">
        <v>1470</v>
      </c>
    </row>
    <row r="13" spans="1:13" ht="15">
      <c r="A13" s="319" t="s">
        <v>1471</v>
      </c>
      <c r="B13" s="310">
        <v>46149</v>
      </c>
      <c r="C13" s="31" t="e">
        <f xml:space="preserve"> VLOOKUP(E13, $A$3:$E$704, 2, FALSE)</f>
        <v>#N/A</v>
      </c>
      <c r="D13" s="36" t="s">
        <v>1433</v>
      </c>
      <c r="E13" s="150" t="s">
        <v>1472</v>
      </c>
      <c r="F13" s="36" t="s">
        <v>1441</v>
      </c>
      <c r="G13" s="265" t="s">
        <v>1473</v>
      </c>
      <c r="H13" s="36" t="s">
        <v>1474</v>
      </c>
      <c r="I13" s="36" t="s">
        <v>1475</v>
      </c>
    </row>
    <row r="14" spans="1:13" ht="15">
      <c r="A14" s="290" t="s">
        <v>1476</v>
      </c>
      <c r="B14" s="291">
        <v>46084</v>
      </c>
      <c r="C14" s="31" t="e">
        <f xml:space="preserve"> VLOOKUP(E14, $A$3:$E$704, 2, FALSE)</f>
        <v>#N/A</v>
      </c>
      <c r="D14" s="36" t="s">
        <v>1433</v>
      </c>
      <c r="E14" s="150" t="s">
        <v>1477</v>
      </c>
      <c r="G14" s="311" t="s">
        <v>1478</v>
      </c>
    </row>
    <row r="15" spans="1:13" ht="15">
      <c r="A15" s="290" t="s">
        <v>1479</v>
      </c>
      <c r="B15" s="291">
        <v>46063</v>
      </c>
      <c r="C15" s="31" t="e">
        <f xml:space="preserve"> VLOOKUP(E15, $A$3:$E$704, 2, FALSE)</f>
        <v>#N/A</v>
      </c>
      <c r="D15" s="36" t="s">
        <v>1433</v>
      </c>
      <c r="E15" s="150" t="s">
        <v>1480</v>
      </c>
      <c r="G15" s="265" t="s">
        <v>1481</v>
      </c>
    </row>
    <row r="16" spans="1:13" ht="15">
      <c r="A16" s="290" t="s">
        <v>1482</v>
      </c>
      <c r="B16" s="291">
        <v>46119</v>
      </c>
      <c r="C16" s="31" t="e">
        <f xml:space="preserve"> VLOOKUP(E16, $A$3:$E$704, 2, FALSE)</f>
        <v>#N/A</v>
      </c>
      <c r="D16" s="36" t="s">
        <v>1433</v>
      </c>
      <c r="E16" s="150" t="s">
        <v>1483</v>
      </c>
      <c r="G16" s="265" t="s">
        <v>1484</v>
      </c>
    </row>
    <row r="17" spans="1:9" ht="15">
      <c r="A17" s="226" t="s">
        <v>1485</v>
      </c>
      <c r="B17" s="388">
        <v>45985</v>
      </c>
      <c r="C17" s="31" t="e">
        <f xml:space="preserve"> VLOOKUP(E17, $A$3:$E$704, 2, FALSE)</f>
        <v>#N/A</v>
      </c>
      <c r="D17" s="36" t="s">
        <v>1433</v>
      </c>
      <c r="E17" s="150" t="s">
        <v>1486</v>
      </c>
      <c r="G17" s="311" t="s">
        <v>1487</v>
      </c>
    </row>
    <row r="18" spans="1:9" ht="15">
      <c r="A18" s="226" t="s">
        <v>1488</v>
      </c>
      <c r="B18" s="388">
        <v>46045</v>
      </c>
      <c r="C18" s="31" t="e">
        <f xml:space="preserve"> VLOOKUP(E18, $A$3:$E$704, 2, FALSE)</f>
        <v>#N/A</v>
      </c>
      <c r="D18" s="36" t="s">
        <v>1433</v>
      </c>
      <c r="E18" s="150" t="s">
        <v>1489</v>
      </c>
      <c r="G18" s="265" t="s">
        <v>1490</v>
      </c>
      <c r="I18" s="206"/>
    </row>
    <row r="19" spans="1:9" ht="15">
      <c r="A19" s="226" t="s">
        <v>1491</v>
      </c>
      <c r="B19" s="388">
        <v>46073</v>
      </c>
      <c r="C19" s="31" t="e">
        <f xml:space="preserve"> VLOOKUP(E19, $A$3:$E$704, 2, FALSE)</f>
        <v>#N/A</v>
      </c>
      <c r="D19" s="36" t="s">
        <v>1433</v>
      </c>
      <c r="E19" s="150" t="s">
        <v>1492</v>
      </c>
      <c r="G19" s="265" t="s">
        <v>1490</v>
      </c>
      <c r="I19" s="206"/>
    </row>
    <row r="20" spans="1:9" ht="15">
      <c r="A20" s="226" t="s">
        <v>1493</v>
      </c>
      <c r="B20" s="388">
        <v>46084</v>
      </c>
      <c r="C20" s="31" t="e">
        <f xml:space="preserve"> VLOOKUP(E20, $A$3:$E$704, 2, FALSE)</f>
        <v>#N/A</v>
      </c>
      <c r="D20" s="36" t="s">
        <v>1433</v>
      </c>
      <c r="E20" s="293" t="s">
        <v>1494</v>
      </c>
      <c r="G20" s="265" t="s">
        <v>1484</v>
      </c>
    </row>
    <row r="21" spans="1:9" ht="15">
      <c r="A21" s="226" t="s">
        <v>1495</v>
      </c>
      <c r="B21" s="388">
        <v>46087</v>
      </c>
      <c r="C21" s="31" t="e">
        <f xml:space="preserve"> VLOOKUP(E21, $A$3:$E$704, 2, FALSE)</f>
        <v>#N/A</v>
      </c>
      <c r="D21" s="36" t="s">
        <v>1433</v>
      </c>
      <c r="E21" s="150" t="s">
        <v>1496</v>
      </c>
      <c r="G21" s="160" t="s">
        <v>1497</v>
      </c>
    </row>
    <row r="22" spans="1:9" ht="15">
      <c r="A22" s="226" t="s">
        <v>1498</v>
      </c>
      <c r="B22" s="388">
        <v>46084</v>
      </c>
      <c r="C22" s="31" t="e">
        <f xml:space="preserve"> VLOOKUP(E22, $A$3:$E$704, 2, FALSE)</f>
        <v>#N/A</v>
      </c>
      <c r="D22" s="36" t="s">
        <v>1433</v>
      </c>
      <c r="E22" s="150" t="s">
        <v>1499</v>
      </c>
      <c r="G22" s="160" t="s">
        <v>1500</v>
      </c>
    </row>
    <row r="23" spans="1:9" ht="15">
      <c r="A23" s="226" t="s">
        <v>1501</v>
      </c>
      <c r="B23" s="388">
        <v>46756</v>
      </c>
      <c r="C23" s="31" t="e">
        <f xml:space="preserve"> VLOOKUP(E23, $A$3:$E$704, 2, FALSE)</f>
        <v>#N/A</v>
      </c>
      <c r="D23" s="36" t="s">
        <v>1433</v>
      </c>
      <c r="E23" s="150" t="s">
        <v>1502</v>
      </c>
      <c r="G23" s="160" t="s">
        <v>1500</v>
      </c>
    </row>
    <row r="24" spans="1:9" ht="15">
      <c r="A24" s="226" t="s">
        <v>1503</v>
      </c>
      <c r="B24" s="388">
        <v>46083</v>
      </c>
      <c r="C24" s="31" t="e">
        <f xml:space="preserve"> VLOOKUP(E24, $A$3:$E$704, 2, FALSE)</f>
        <v>#N/A</v>
      </c>
      <c r="D24" s="36" t="s">
        <v>1433</v>
      </c>
      <c r="E24" s="150" t="s">
        <v>1504</v>
      </c>
      <c r="G24" s="146" t="s">
        <v>1505</v>
      </c>
    </row>
    <row r="25" spans="1:9" ht="15">
      <c r="A25" s="226" t="s">
        <v>1506</v>
      </c>
      <c r="B25" s="388">
        <v>46097</v>
      </c>
      <c r="C25" s="31" t="e">
        <f xml:space="preserve"> VLOOKUP(E25, $A$3:$E$704, 2, FALSE)</f>
        <v>#N/A</v>
      </c>
      <c r="D25" s="36" t="s">
        <v>1433</v>
      </c>
      <c r="E25" s="150" t="s">
        <v>1507</v>
      </c>
      <c r="G25" s="160" t="s">
        <v>1500</v>
      </c>
    </row>
    <row r="26" spans="1:9" ht="15">
      <c r="A26" s="226" t="s">
        <v>1508</v>
      </c>
      <c r="B26" s="388">
        <v>46084</v>
      </c>
      <c r="C26" s="31" t="e">
        <f xml:space="preserve"> VLOOKUP(E26, $A$3:$E$704, 2, FALSE)</f>
        <v>#N/A</v>
      </c>
      <c r="D26" s="36" t="s">
        <v>1433</v>
      </c>
      <c r="E26" s="150" t="s">
        <v>1509</v>
      </c>
      <c r="G26" s="146" t="s">
        <v>1505</v>
      </c>
    </row>
    <row r="27" spans="1:9" ht="15">
      <c r="A27" s="226" t="s">
        <v>1510</v>
      </c>
      <c r="B27" s="388">
        <v>46073</v>
      </c>
      <c r="C27" s="31" t="e">
        <f xml:space="preserve"> VLOOKUP(E27, $A$3:$E$704, 2, FALSE)</f>
        <v>#N/A</v>
      </c>
      <c r="D27" s="36" t="s">
        <v>1433</v>
      </c>
      <c r="E27" s="150" t="s">
        <v>1511</v>
      </c>
      <c r="G27" s="160" t="s">
        <v>1500</v>
      </c>
    </row>
    <row r="28" spans="1:9" ht="15">
      <c r="A28" s="226" t="s">
        <v>1512</v>
      </c>
      <c r="B28" s="388">
        <v>46052</v>
      </c>
      <c r="C28" s="31" t="e">
        <f xml:space="preserve"> VLOOKUP(E28, $A$3:$E$704, 2, FALSE)</f>
        <v>#N/A</v>
      </c>
      <c r="D28" s="36" t="s">
        <v>1433</v>
      </c>
      <c r="E28" s="150" t="s">
        <v>1513</v>
      </c>
      <c r="G28" s="160" t="s">
        <v>1500</v>
      </c>
    </row>
    <row r="29" spans="1:9" ht="15">
      <c r="A29" s="328" t="s">
        <v>1514</v>
      </c>
      <c r="B29" s="68">
        <v>46097</v>
      </c>
      <c r="C29" s="31" t="e">
        <f xml:space="preserve"> VLOOKUP(E29, $A$3:$E$704, 2, FALSE)</f>
        <v>#N/A</v>
      </c>
      <c r="D29" s="36" t="s">
        <v>1433</v>
      </c>
      <c r="E29" s="150" t="s">
        <v>1515</v>
      </c>
      <c r="G29" s="146" t="s">
        <v>1505</v>
      </c>
    </row>
    <row r="30" spans="1:9" ht="15">
      <c r="A30" s="226" t="s">
        <v>1516</v>
      </c>
      <c r="B30" s="388">
        <v>46097</v>
      </c>
      <c r="C30" s="31" t="e">
        <f xml:space="preserve"> VLOOKUP(E30, $A$3:$E$704, 2, FALSE)</f>
        <v>#N/A</v>
      </c>
      <c r="D30" s="36" t="s">
        <v>1433</v>
      </c>
      <c r="E30" s="150" t="s">
        <v>1517</v>
      </c>
      <c r="G30" s="160" t="s">
        <v>1500</v>
      </c>
      <c r="I30" s="30"/>
    </row>
    <row r="31" spans="1:9" ht="15">
      <c r="A31" s="226" t="s">
        <v>1518</v>
      </c>
      <c r="B31" s="388">
        <v>46063</v>
      </c>
      <c r="C31" s="31" t="e">
        <f xml:space="preserve"> VLOOKUP(E31, $A$3:$E$704, 2, FALSE)</f>
        <v>#N/A</v>
      </c>
      <c r="D31" s="36" t="s">
        <v>1433</v>
      </c>
      <c r="E31" s="150" t="s">
        <v>1519</v>
      </c>
      <c r="G31" s="160" t="s">
        <v>1500</v>
      </c>
    </row>
    <row r="32" spans="1:9" ht="15">
      <c r="A32" s="290" t="s">
        <v>1520</v>
      </c>
      <c r="B32" s="291">
        <v>46076</v>
      </c>
      <c r="C32" s="31" t="e">
        <f xml:space="preserve"> VLOOKUP(E32, $A$3:$E$704, 2, FALSE)</f>
        <v>#N/A</v>
      </c>
      <c r="D32" s="36" t="s">
        <v>1433</v>
      </c>
      <c r="E32" s="150" t="s">
        <v>1521</v>
      </c>
      <c r="G32" s="146" t="s">
        <v>1505</v>
      </c>
    </row>
    <row r="33" spans="1:8" ht="15">
      <c r="A33" s="290" t="s">
        <v>1522</v>
      </c>
      <c r="B33" s="291">
        <v>46086</v>
      </c>
      <c r="C33" s="31" t="e">
        <f xml:space="preserve"> VLOOKUP(E33, $A$3:$E$704, 2, FALSE)</f>
        <v>#N/A</v>
      </c>
      <c r="D33" s="36" t="s">
        <v>1433</v>
      </c>
      <c r="E33" s="150" t="s">
        <v>1523</v>
      </c>
      <c r="G33" s="160" t="s">
        <v>1500</v>
      </c>
    </row>
    <row r="34" spans="1:8" ht="15">
      <c r="A34" s="290" t="s">
        <v>1524</v>
      </c>
      <c r="B34" s="291">
        <v>46084</v>
      </c>
      <c r="C34" s="31" t="e">
        <f xml:space="preserve"> VLOOKUP(E34, $A$3:$E$704, 2, FALSE)</f>
        <v>#N/A</v>
      </c>
      <c r="D34" s="36" t="s">
        <v>1433</v>
      </c>
      <c r="E34" s="150" t="s">
        <v>1525</v>
      </c>
      <c r="G34" s="160" t="s">
        <v>1500</v>
      </c>
    </row>
    <row r="35" spans="1:8" ht="15">
      <c r="A35" s="290" t="s">
        <v>1526</v>
      </c>
      <c r="B35" s="291">
        <v>46092</v>
      </c>
      <c r="C35" s="31" t="e">
        <f xml:space="preserve"> VLOOKUP(E35, $A$3:$E$704, 2, FALSE)</f>
        <v>#N/A</v>
      </c>
      <c r="D35" s="36" t="s">
        <v>1433</v>
      </c>
      <c r="E35" s="150" t="s">
        <v>1527</v>
      </c>
      <c r="G35" s="160" t="s">
        <v>1528</v>
      </c>
    </row>
    <row r="36" spans="1:8" ht="15">
      <c r="A36" s="290" t="s">
        <v>1529</v>
      </c>
      <c r="B36" s="291">
        <v>46097</v>
      </c>
      <c r="C36" s="31" t="e">
        <f xml:space="preserve"> VLOOKUP(E36, $A$3:$E$704, 2, FALSE)</f>
        <v>#N/A</v>
      </c>
      <c r="D36" s="36" t="s">
        <v>1433</v>
      </c>
      <c r="E36" s="150" t="s">
        <v>1530</v>
      </c>
      <c r="G36" s="146" t="s">
        <v>1531</v>
      </c>
    </row>
    <row r="37" spans="1:8" ht="15">
      <c r="A37" s="290" t="s">
        <v>1532</v>
      </c>
      <c r="B37" s="291">
        <v>46084</v>
      </c>
      <c r="C37" s="31" t="e">
        <f xml:space="preserve"> VLOOKUP(E37, $A$3:$E$704, 2, FALSE)</f>
        <v>#N/A</v>
      </c>
      <c r="D37" s="36" t="s">
        <v>1433</v>
      </c>
      <c r="E37" s="150" t="s">
        <v>1533</v>
      </c>
      <c r="G37" s="160" t="s">
        <v>1528</v>
      </c>
    </row>
    <row r="38" spans="1:8" ht="15">
      <c r="A38" s="290" t="s">
        <v>1534</v>
      </c>
      <c r="B38" s="291">
        <v>46084</v>
      </c>
      <c r="C38" s="31" t="e">
        <f xml:space="preserve"> VLOOKUP(E38, $A$3:$E$704, 2, FALSE)</f>
        <v>#N/A</v>
      </c>
      <c r="D38" s="36" t="s">
        <v>1433</v>
      </c>
      <c r="E38" s="150" t="s">
        <v>1535</v>
      </c>
      <c r="G38" s="146" t="s">
        <v>1536</v>
      </c>
    </row>
    <row r="39" spans="1:8" ht="15">
      <c r="A39" s="290" t="s">
        <v>1537</v>
      </c>
      <c r="B39" s="291">
        <v>46084</v>
      </c>
      <c r="C39" s="31" t="e">
        <f xml:space="preserve"> VLOOKUP(E39, $A$3:$E$704, 2, FALSE)</f>
        <v>#N/A</v>
      </c>
      <c r="D39" s="36" t="s">
        <v>1433</v>
      </c>
      <c r="E39" s="150" t="s">
        <v>1538</v>
      </c>
      <c r="G39" s="146" t="s">
        <v>1505</v>
      </c>
    </row>
    <row r="40" spans="1:8" ht="15">
      <c r="A40" s="290" t="s">
        <v>1539</v>
      </c>
      <c r="B40" s="291">
        <v>46069</v>
      </c>
      <c r="C40" s="31" t="e">
        <f xml:space="preserve"> VLOOKUP(E40, $A$3:$E$704, 2, FALSE)</f>
        <v>#N/A</v>
      </c>
      <c r="D40" s="36" t="s">
        <v>1433</v>
      </c>
      <c r="E40" s="150" t="s">
        <v>1540</v>
      </c>
      <c r="G40" s="146" t="s">
        <v>1541</v>
      </c>
    </row>
    <row r="41" spans="1:8" ht="15">
      <c r="A41" s="290" t="s">
        <v>1542</v>
      </c>
      <c r="B41" s="291">
        <v>46084</v>
      </c>
      <c r="C41" s="31" t="e">
        <f xml:space="preserve"> VLOOKUP(E41, $A$3:$E$704, 2, FALSE)</f>
        <v>#N/A</v>
      </c>
      <c r="D41" s="36" t="s">
        <v>1433</v>
      </c>
      <c r="E41" s="150" t="s">
        <v>1543</v>
      </c>
      <c r="G41" s="160" t="s">
        <v>1544</v>
      </c>
    </row>
    <row r="42" spans="1:8" ht="15">
      <c r="A42" s="290" t="s">
        <v>1545</v>
      </c>
      <c r="B42" s="291">
        <v>46070</v>
      </c>
      <c r="C42" s="31" t="e">
        <f xml:space="preserve"> VLOOKUP(E42, $A$3:$E$704, 2, FALSE)</f>
        <v>#N/A</v>
      </c>
      <c r="D42" s="36" t="s">
        <v>1433</v>
      </c>
      <c r="E42" s="150" t="s">
        <v>1546</v>
      </c>
      <c r="G42" s="160" t="s">
        <v>1547</v>
      </c>
    </row>
    <row r="43" spans="1:8" ht="15">
      <c r="A43" s="290" t="s">
        <v>1548</v>
      </c>
      <c r="B43" s="291">
        <v>46084</v>
      </c>
      <c r="C43" s="31" t="e">
        <f xml:space="preserve"> VLOOKUP(E43, $A$3:$E$704, 2, FALSE)</f>
        <v>#N/A</v>
      </c>
      <c r="D43" s="36" t="s">
        <v>1433</v>
      </c>
      <c r="E43" s="150" t="s">
        <v>1549</v>
      </c>
      <c r="G43" s="146" t="s">
        <v>1550</v>
      </c>
    </row>
    <row r="44" spans="1:8" ht="15">
      <c r="A44" s="290" t="s">
        <v>1551</v>
      </c>
      <c r="B44" s="291">
        <v>46084</v>
      </c>
      <c r="C44" s="31" t="e">
        <f xml:space="preserve"> VLOOKUP(E44, $A$3:$E$704, 2, FALSE)</f>
        <v>#N/A</v>
      </c>
      <c r="D44" s="36" t="s">
        <v>1433</v>
      </c>
      <c r="E44" s="150" t="s">
        <v>1552</v>
      </c>
      <c r="G44" s="160" t="s">
        <v>1547</v>
      </c>
    </row>
    <row r="45" spans="1:8" ht="15">
      <c r="A45" s="290" t="s">
        <v>1553</v>
      </c>
      <c r="B45" s="291">
        <v>46084</v>
      </c>
      <c r="C45" s="31" t="e">
        <f xml:space="preserve"> VLOOKUP(E45, $A$3:$E$704, 2, FALSE)</f>
        <v>#N/A</v>
      </c>
      <c r="D45" s="36" t="s">
        <v>1433</v>
      </c>
      <c r="E45" s="150" t="s">
        <v>1554</v>
      </c>
      <c r="G45" s="160" t="s">
        <v>1547</v>
      </c>
    </row>
    <row r="46" spans="1:8" ht="15.75">
      <c r="A46" s="290" t="s">
        <v>1555</v>
      </c>
      <c r="B46" s="291">
        <v>46090</v>
      </c>
      <c r="C46" s="31" t="e">
        <f xml:space="preserve"> VLOOKUP(E46, $A$3:$E$704, 2, FALSE)</f>
        <v>#N/A</v>
      </c>
      <c r="D46" s="36" t="s">
        <v>1433</v>
      </c>
      <c r="E46" s="150" t="s">
        <v>1556</v>
      </c>
      <c r="G46" s="265" t="s">
        <v>1557</v>
      </c>
      <c r="H46" s="312"/>
    </row>
    <row r="47" spans="1:8" ht="15">
      <c r="A47" s="290" t="s">
        <v>1558</v>
      </c>
      <c r="B47" s="291">
        <v>46076</v>
      </c>
      <c r="C47" s="31" t="e">
        <f xml:space="preserve"> VLOOKUP(E47, $A$3:$E$704, 2, FALSE)</f>
        <v>#N/A</v>
      </c>
      <c r="D47" s="36" t="s">
        <v>1433</v>
      </c>
      <c r="E47" s="150" t="s">
        <v>1559</v>
      </c>
      <c r="G47" s="265" t="s">
        <v>1560</v>
      </c>
    </row>
    <row r="48" spans="1:8" ht="15">
      <c r="A48" s="290" t="s">
        <v>1561</v>
      </c>
      <c r="B48" s="291">
        <v>46097</v>
      </c>
      <c r="C48" s="31" t="e">
        <f xml:space="preserve"> VLOOKUP(E48, $A$3:$E$704, 2, FALSE)</f>
        <v>#N/A</v>
      </c>
      <c r="D48" s="36" t="s">
        <v>1433</v>
      </c>
      <c r="E48" s="150" t="s">
        <v>1562</v>
      </c>
      <c r="G48" s="311" t="s">
        <v>1563</v>
      </c>
    </row>
    <row r="49" spans="1:7" ht="15">
      <c r="A49" s="290" t="s">
        <v>1564</v>
      </c>
      <c r="B49" s="291">
        <v>46048</v>
      </c>
      <c r="C49" s="31" t="e">
        <f xml:space="preserve"> VLOOKUP(E49, $A$3:$E$704, 2, FALSE)</f>
        <v>#N/A</v>
      </c>
      <c r="D49" s="36" t="s">
        <v>1433</v>
      </c>
      <c r="E49" s="150" t="s">
        <v>1565</v>
      </c>
      <c r="G49" s="265" t="s">
        <v>1560</v>
      </c>
    </row>
    <row r="50" spans="1:7" ht="15">
      <c r="A50" s="290" t="s">
        <v>1566</v>
      </c>
      <c r="B50" s="291">
        <v>46097</v>
      </c>
      <c r="C50" s="31" t="e">
        <f xml:space="preserve"> VLOOKUP(E50, $A$3:$E$704, 2, FALSE)</f>
        <v>#N/A</v>
      </c>
      <c r="D50" s="36" t="s">
        <v>1433</v>
      </c>
      <c r="E50" s="150" t="s">
        <v>1567</v>
      </c>
      <c r="G50" s="311" t="s">
        <v>1563</v>
      </c>
    </row>
    <row r="51" spans="1:7" ht="15">
      <c r="A51" s="290" t="s">
        <v>1568</v>
      </c>
      <c r="B51" s="291">
        <v>46076</v>
      </c>
      <c r="C51" s="31" t="e">
        <f xml:space="preserve"> VLOOKUP(E51, $A$3:$E$704, 2, FALSE)</f>
        <v>#N/A</v>
      </c>
      <c r="D51" s="36" t="s">
        <v>1433</v>
      </c>
      <c r="E51" s="150" t="s">
        <v>1569</v>
      </c>
      <c r="G51" s="311" t="s">
        <v>1570</v>
      </c>
    </row>
    <row r="52" spans="1:7" ht="15">
      <c r="A52" s="290" t="s">
        <v>1571</v>
      </c>
      <c r="B52" s="291">
        <v>46063</v>
      </c>
      <c r="C52" s="31" t="e">
        <f xml:space="preserve"> VLOOKUP(E52, $A$3:$E$704, 2, FALSE)</f>
        <v>#N/A</v>
      </c>
      <c r="D52" s="36" t="s">
        <v>1433</v>
      </c>
      <c r="E52" s="150" t="s">
        <v>1572</v>
      </c>
      <c r="G52" s="265" t="s">
        <v>1573</v>
      </c>
    </row>
    <row r="53" spans="1:7" ht="15">
      <c r="A53" s="290" t="s">
        <v>1574</v>
      </c>
      <c r="B53" s="291">
        <v>46090</v>
      </c>
      <c r="C53" s="31" t="e">
        <f xml:space="preserve"> VLOOKUP(E53, $A$3:$E$704, 2, FALSE)</f>
        <v>#N/A</v>
      </c>
      <c r="D53" s="36" t="s">
        <v>1433</v>
      </c>
      <c r="E53" s="150" t="s">
        <v>1575</v>
      </c>
      <c r="G53" s="311" t="s">
        <v>1563</v>
      </c>
    </row>
    <row r="54" spans="1:7" ht="15">
      <c r="A54" s="290" t="s">
        <v>1576</v>
      </c>
      <c r="B54" s="291">
        <v>46055</v>
      </c>
      <c r="C54" s="31" t="e">
        <f xml:space="preserve"> VLOOKUP(E54, $A$3:$E$704, 2, FALSE)</f>
        <v>#N/A</v>
      </c>
      <c r="D54" s="36" t="s">
        <v>1433</v>
      </c>
      <c r="E54" s="150" t="s">
        <v>1577</v>
      </c>
      <c r="G54" s="160" t="s">
        <v>1578</v>
      </c>
    </row>
    <row r="55" spans="1:7" ht="15">
      <c r="A55" s="290" t="s">
        <v>1579</v>
      </c>
      <c r="B55" s="291">
        <v>46050</v>
      </c>
      <c r="C55" s="31" t="e">
        <f xml:space="preserve"> VLOOKUP(E55, $A$3:$E$704, 2, FALSE)</f>
        <v>#N/A</v>
      </c>
      <c r="D55" s="36" t="s">
        <v>1433</v>
      </c>
      <c r="E55" s="150" t="s">
        <v>1580</v>
      </c>
      <c r="G55" s="160" t="s">
        <v>1581</v>
      </c>
    </row>
    <row r="56" spans="1:7" ht="15">
      <c r="A56" s="290" t="s">
        <v>1582</v>
      </c>
      <c r="B56" s="291">
        <v>46073</v>
      </c>
      <c r="C56" s="31" t="e">
        <f xml:space="preserve"> VLOOKUP(E56, $A$3:$E$704, 2, FALSE)</f>
        <v>#N/A</v>
      </c>
      <c r="D56" s="36" t="s">
        <v>1433</v>
      </c>
      <c r="E56" s="150" t="s">
        <v>1583</v>
      </c>
    </row>
    <row r="57" spans="1:7" ht="15">
      <c r="A57" s="290" t="s">
        <v>1584</v>
      </c>
      <c r="B57" s="291">
        <v>46085</v>
      </c>
      <c r="C57" s="31" t="e">
        <f xml:space="preserve"> VLOOKUP(E57, $A$3:$E$704, 2, FALSE)</f>
        <v>#N/A</v>
      </c>
      <c r="D57" s="36" t="s">
        <v>1433</v>
      </c>
      <c r="E57" s="150" t="s">
        <v>1585</v>
      </c>
    </row>
    <row r="58" spans="1:7" ht="15">
      <c r="A58" s="290" t="s">
        <v>1586</v>
      </c>
      <c r="B58" s="291">
        <v>46084</v>
      </c>
      <c r="C58" s="31" t="e">
        <f xml:space="preserve"> VLOOKUP(E58, $A$3:$E$704, 2, FALSE)</f>
        <v>#N/A</v>
      </c>
      <c r="D58" s="36" t="s">
        <v>1433</v>
      </c>
      <c r="E58" s="150" t="s">
        <v>1587</v>
      </c>
    </row>
    <row r="59" spans="1:7" ht="15">
      <c r="A59" s="290" t="s">
        <v>1588</v>
      </c>
      <c r="B59" s="291">
        <v>46050</v>
      </c>
      <c r="C59" s="31" t="e">
        <f xml:space="preserve"> VLOOKUP(E59, $A$3:$E$704, 2, FALSE)</f>
        <v>#N/A</v>
      </c>
      <c r="D59" s="36" t="s">
        <v>1433</v>
      </c>
      <c r="E59" s="150" t="s">
        <v>1589</v>
      </c>
    </row>
    <row r="60" spans="1:7" ht="15">
      <c r="A60" s="290" t="s">
        <v>1590</v>
      </c>
      <c r="B60" s="291">
        <v>46087</v>
      </c>
      <c r="C60" s="31" t="e">
        <f xml:space="preserve"> VLOOKUP(E60, $A$3:$E$704, 2, FALSE)</f>
        <v>#N/A</v>
      </c>
      <c r="D60" s="36" t="s">
        <v>1433</v>
      </c>
      <c r="E60" s="150" t="s">
        <v>1591</v>
      </c>
    </row>
    <row r="61" spans="1:7" ht="15">
      <c r="A61" s="290" t="s">
        <v>1592</v>
      </c>
      <c r="B61" s="291">
        <v>46090</v>
      </c>
      <c r="C61" s="31" t="e">
        <f xml:space="preserve"> VLOOKUP(E61, $A$3:$E$704, 2, FALSE)</f>
        <v>#N/A</v>
      </c>
      <c r="D61" s="36" t="s">
        <v>1433</v>
      </c>
      <c r="E61" s="150" t="s">
        <v>1593</v>
      </c>
      <c r="G61" s="160" t="s">
        <v>1594</v>
      </c>
    </row>
    <row r="62" spans="1:7" ht="15">
      <c r="A62" s="290" t="s">
        <v>1595</v>
      </c>
      <c r="B62" s="291">
        <v>46069</v>
      </c>
      <c r="C62" s="31" t="e">
        <f xml:space="preserve"> VLOOKUP(E62, $A$3:$E$704, 2, FALSE)</f>
        <v>#N/A</v>
      </c>
      <c r="D62" s="36" t="s">
        <v>1433</v>
      </c>
      <c r="E62" s="150" t="s">
        <v>1596</v>
      </c>
    </row>
    <row r="63" spans="1:7" ht="15">
      <c r="A63" s="290" t="s">
        <v>1597</v>
      </c>
      <c r="B63" s="291">
        <v>46090</v>
      </c>
      <c r="C63" s="31" t="e">
        <f xml:space="preserve"> VLOOKUP(E63, $A$3:$E$704, 2, FALSE)</f>
        <v>#N/A</v>
      </c>
      <c r="D63" s="36" t="s">
        <v>1433</v>
      </c>
      <c r="E63" s="150" t="s">
        <v>1598</v>
      </c>
    </row>
    <row r="64" spans="1:7" ht="15">
      <c r="A64" s="290" t="s">
        <v>1599</v>
      </c>
      <c r="B64" s="291">
        <v>46097</v>
      </c>
      <c r="C64" s="31" t="e">
        <f xml:space="preserve"> VLOOKUP(E64, $A$3:$E$704, 2, FALSE)</f>
        <v>#N/A</v>
      </c>
      <c r="D64" s="36" t="s">
        <v>1433</v>
      </c>
      <c r="E64" s="150" t="s">
        <v>1600</v>
      </c>
    </row>
    <row r="65" spans="1:12" ht="15">
      <c r="A65" s="290" t="s">
        <v>1601</v>
      </c>
      <c r="B65" s="291">
        <v>46084</v>
      </c>
      <c r="C65" s="31" t="e">
        <f xml:space="preserve"> VLOOKUP(E65, $A$3:$E$704, 2, FALSE)</f>
        <v>#N/A</v>
      </c>
      <c r="D65" s="36" t="s">
        <v>1433</v>
      </c>
      <c r="E65" s="150" t="s">
        <v>1602</v>
      </c>
      <c r="F65" s="36" t="s">
        <v>1603</v>
      </c>
      <c r="G65" s="265"/>
      <c r="H65" s="36" t="s">
        <v>1604</v>
      </c>
      <c r="I65" s="36" t="s">
        <v>1605</v>
      </c>
      <c r="J65" s="144" t="s">
        <v>1606</v>
      </c>
    </row>
    <row r="66" spans="1:12" ht="15">
      <c r="A66" s="290" t="s">
        <v>1607</v>
      </c>
      <c r="B66" s="291">
        <v>46091</v>
      </c>
      <c r="C66" s="31" t="e">
        <f xml:space="preserve"> VLOOKUP(E66, $A$3:$E$704, 2, FALSE)</f>
        <v>#N/A</v>
      </c>
      <c r="D66" s="36" t="s">
        <v>1433</v>
      </c>
      <c r="E66" s="150" t="s">
        <v>1608</v>
      </c>
      <c r="F66" s="36" t="s">
        <v>1452</v>
      </c>
      <c r="G66" s="265" t="s">
        <v>1609</v>
      </c>
      <c r="H66" s="36" t="s">
        <v>1610</v>
      </c>
      <c r="I66" s="36" t="s">
        <v>1611</v>
      </c>
      <c r="J66" s="144" t="s">
        <v>1245</v>
      </c>
      <c r="L66" s="146" t="s">
        <v>1612</v>
      </c>
    </row>
    <row r="67" spans="1:12" ht="15">
      <c r="A67" s="290" t="s">
        <v>1613</v>
      </c>
      <c r="B67" s="291">
        <v>46078</v>
      </c>
      <c r="C67" s="31" t="e">
        <f xml:space="preserve"> VLOOKUP(E67, $A$3:$E$704, 2, FALSE)</f>
        <v>#N/A</v>
      </c>
      <c r="D67" s="36" t="s">
        <v>1433</v>
      </c>
      <c r="E67" s="150" t="s">
        <v>1614</v>
      </c>
      <c r="F67" s="36" t="s">
        <v>1603</v>
      </c>
      <c r="G67" s="265" t="s">
        <v>1615</v>
      </c>
      <c r="H67" s="36" t="s">
        <v>1616</v>
      </c>
      <c r="I67" s="36" t="s">
        <v>1617</v>
      </c>
      <c r="J67" s="144" t="s">
        <v>1618</v>
      </c>
    </row>
    <row r="68" spans="1:12" ht="24">
      <c r="A68" s="290" t="s">
        <v>1619</v>
      </c>
      <c r="B68" s="291">
        <v>46076</v>
      </c>
      <c r="C68" s="31" t="e">
        <f xml:space="preserve"> VLOOKUP(E68, $A$3:$E$704, 2, FALSE)</f>
        <v>#N/A</v>
      </c>
      <c r="D68" s="36" t="s">
        <v>1433</v>
      </c>
      <c r="E68" s="150" t="s">
        <v>1620</v>
      </c>
      <c r="F68" s="36" t="s">
        <v>1603</v>
      </c>
      <c r="G68" s="265" t="s">
        <v>1621</v>
      </c>
      <c r="H68" s="36" t="s">
        <v>1622</v>
      </c>
      <c r="I68" s="36" t="s">
        <v>1623</v>
      </c>
      <c r="J68" s="144">
        <v>45854</v>
      </c>
    </row>
    <row r="69" spans="1:12" ht="15">
      <c r="A69" s="290" t="s">
        <v>1624</v>
      </c>
      <c r="B69" s="291">
        <v>46076</v>
      </c>
      <c r="C69" s="31" t="e">
        <f xml:space="preserve"> VLOOKUP(E69, $A$3:$E$704, 2, FALSE)</f>
        <v>#N/A</v>
      </c>
      <c r="D69" s="36" t="s">
        <v>1433</v>
      </c>
      <c r="E69" s="150" t="s">
        <v>1625</v>
      </c>
      <c r="F69" s="36" t="s">
        <v>1626</v>
      </c>
      <c r="G69" s="265" t="s">
        <v>1627</v>
      </c>
      <c r="H69" s="36" t="s">
        <v>1628</v>
      </c>
      <c r="I69" s="36" t="s">
        <v>1629</v>
      </c>
      <c r="J69" s="144">
        <v>45924</v>
      </c>
    </row>
    <row r="70" spans="1:12" ht="24">
      <c r="A70" s="3" t="s">
        <v>1630</v>
      </c>
      <c r="B70" s="68">
        <v>45953</v>
      </c>
      <c r="C70" s="31" t="e">
        <f xml:space="preserve"> VLOOKUP(E70, $A$3:$E$704, 2, FALSE)</f>
        <v>#N/A</v>
      </c>
      <c r="D70" s="36" t="s">
        <v>42</v>
      </c>
      <c r="E70" s="150" t="s">
        <v>1631</v>
      </c>
      <c r="F70" s="36" t="s">
        <v>1603</v>
      </c>
      <c r="G70" s="265" t="s">
        <v>1632</v>
      </c>
      <c r="H70" s="36" t="s">
        <v>1633</v>
      </c>
      <c r="I70" s="36" t="s">
        <v>1634</v>
      </c>
      <c r="L70" s="146" t="s">
        <v>1618</v>
      </c>
    </row>
    <row r="71" spans="1:12" ht="15">
      <c r="A71" s="290" t="s">
        <v>1635</v>
      </c>
      <c r="B71" s="291">
        <v>46097</v>
      </c>
      <c r="C71" s="31" t="e">
        <f xml:space="preserve"> VLOOKUP(E71, $A$3:$E$704, 2, FALSE)</f>
        <v>#N/A</v>
      </c>
      <c r="D71" s="36" t="s">
        <v>42</v>
      </c>
      <c r="E71" s="150" t="s">
        <v>1636</v>
      </c>
      <c r="F71" s="36" t="s">
        <v>1603</v>
      </c>
      <c r="G71" s="265"/>
      <c r="H71" s="36" t="s">
        <v>1637</v>
      </c>
      <c r="I71" s="36" t="s">
        <v>1638</v>
      </c>
      <c r="J71" s="144">
        <v>45848</v>
      </c>
    </row>
    <row r="72" spans="1:12" ht="15">
      <c r="A72" s="290" t="s">
        <v>1639</v>
      </c>
      <c r="B72" s="291">
        <v>46084</v>
      </c>
      <c r="C72" s="31" t="e">
        <f xml:space="preserve"> VLOOKUP(E72, $A$3:$E$704, 2, FALSE)</f>
        <v>#N/A</v>
      </c>
      <c r="D72" s="36" t="s">
        <v>42</v>
      </c>
      <c r="E72" s="150" t="s">
        <v>1640</v>
      </c>
      <c r="F72" s="36" t="s">
        <v>1441</v>
      </c>
      <c r="G72" s="265"/>
    </row>
    <row r="73" spans="1:12" ht="15">
      <c r="A73" s="290" t="s">
        <v>1641</v>
      </c>
      <c r="B73" s="291">
        <v>46076</v>
      </c>
      <c r="C73" s="31" t="e">
        <f xml:space="preserve"> VLOOKUP(E73, $A$3:$E$704, 2, FALSE)</f>
        <v>#N/A</v>
      </c>
      <c r="D73" s="36" t="s">
        <v>42</v>
      </c>
      <c r="E73" s="150" t="s">
        <v>1642</v>
      </c>
      <c r="G73" s="265"/>
    </row>
    <row r="74" spans="1:12" ht="15">
      <c r="A74" s="290" t="s">
        <v>1643</v>
      </c>
      <c r="B74" s="291">
        <v>46084</v>
      </c>
      <c r="C74" s="31" t="e">
        <f xml:space="preserve"> VLOOKUP(E74, $A$3:$E$704, 2, FALSE)</f>
        <v>#N/A</v>
      </c>
      <c r="D74" s="36" t="s">
        <v>42</v>
      </c>
      <c r="E74" s="150" t="s">
        <v>1644</v>
      </c>
      <c r="F74" s="36" t="s">
        <v>1645</v>
      </c>
      <c r="G74" s="265"/>
      <c r="H74" s="36" t="s">
        <v>1646</v>
      </c>
      <c r="I74" s="36" t="s">
        <v>1647</v>
      </c>
      <c r="J74" s="144">
        <v>45849</v>
      </c>
    </row>
    <row r="75" spans="1:12" ht="15">
      <c r="A75" s="290" t="s">
        <v>1648</v>
      </c>
      <c r="B75" s="291">
        <v>46072</v>
      </c>
      <c r="C75" s="31" t="e">
        <f xml:space="preserve"> VLOOKUP(E75, $A$3:$E$704, 2, FALSE)</f>
        <v>#N/A</v>
      </c>
      <c r="D75" s="36" t="s">
        <v>42</v>
      </c>
      <c r="E75" s="150" t="s">
        <v>1649</v>
      </c>
      <c r="F75" s="36" t="s">
        <v>1650</v>
      </c>
      <c r="G75" s="265"/>
      <c r="H75" s="36" t="s">
        <v>1651</v>
      </c>
      <c r="I75" s="36" t="s">
        <v>1652</v>
      </c>
      <c r="J75" s="144" t="s">
        <v>508</v>
      </c>
    </row>
    <row r="76" spans="1:12" ht="15">
      <c r="A76" s="290" t="s">
        <v>1653</v>
      </c>
      <c r="B76" s="291">
        <v>46069</v>
      </c>
      <c r="C76" s="31" t="e">
        <f xml:space="preserve"> VLOOKUP(E76, $A$3:$E$704, 2, FALSE)</f>
        <v>#N/A</v>
      </c>
      <c r="D76" s="36" t="s">
        <v>42</v>
      </c>
      <c r="E76" s="150" t="s">
        <v>1654</v>
      </c>
      <c r="F76" s="36" t="s">
        <v>1626</v>
      </c>
      <c r="G76" s="265"/>
      <c r="H76" s="36" t="s">
        <v>1655</v>
      </c>
      <c r="I76" s="36" t="s">
        <v>1656</v>
      </c>
      <c r="J76" s="144" t="s">
        <v>1657</v>
      </c>
      <c r="L76" s="146" t="s">
        <v>1658</v>
      </c>
    </row>
    <row r="77" spans="1:12" ht="15">
      <c r="A77" s="290" t="s">
        <v>1659</v>
      </c>
      <c r="B77" s="291">
        <v>46090</v>
      </c>
      <c r="C77" s="31" t="e">
        <f xml:space="preserve"> VLOOKUP(E77, $A$3:$E$704, 2, FALSE)</f>
        <v>#N/A</v>
      </c>
      <c r="D77" s="36" t="s">
        <v>42</v>
      </c>
      <c r="E77" s="150" t="s">
        <v>1660</v>
      </c>
      <c r="F77" s="36" t="s">
        <v>1422</v>
      </c>
      <c r="G77" s="265"/>
      <c r="H77" s="36" t="s">
        <v>1661</v>
      </c>
      <c r="I77" s="36" t="s">
        <v>1662</v>
      </c>
      <c r="J77" s="144" t="s">
        <v>1663</v>
      </c>
    </row>
    <row r="78" spans="1:12" ht="15">
      <c r="A78" s="290" t="s">
        <v>1664</v>
      </c>
      <c r="B78" s="291">
        <v>46084</v>
      </c>
      <c r="C78" s="31" t="e">
        <f xml:space="preserve"> VLOOKUP(E78, $A$3:$E$704, 2, FALSE)</f>
        <v>#N/A</v>
      </c>
      <c r="D78" s="36" t="s">
        <v>42</v>
      </c>
      <c r="E78" s="150" t="s">
        <v>1665</v>
      </c>
      <c r="F78" s="36" t="s">
        <v>1666</v>
      </c>
      <c r="G78" s="265"/>
      <c r="H78" s="36" t="s">
        <v>1423</v>
      </c>
      <c r="I78" s="36" t="s">
        <v>1667</v>
      </c>
      <c r="L78" s="146" t="s">
        <v>1668</v>
      </c>
    </row>
    <row r="79" spans="1:12" ht="15">
      <c r="A79" s="290" t="s">
        <v>1669</v>
      </c>
      <c r="B79" s="291">
        <v>46076</v>
      </c>
      <c r="C79" s="31" t="e">
        <f xml:space="preserve"> VLOOKUP(E79, $A$3:$E$704, 2, FALSE)</f>
        <v>#N/A</v>
      </c>
      <c r="D79" s="36" t="s">
        <v>42</v>
      </c>
      <c r="E79" s="150" t="s">
        <v>1670</v>
      </c>
      <c r="F79" s="36" t="s">
        <v>1650</v>
      </c>
      <c r="G79" s="265"/>
      <c r="H79" s="36" t="s">
        <v>1671</v>
      </c>
      <c r="I79" s="36" t="s">
        <v>1672</v>
      </c>
      <c r="J79" s="144">
        <v>45874</v>
      </c>
    </row>
    <row r="80" spans="1:12" ht="24">
      <c r="A80" s="290" t="s">
        <v>1673</v>
      </c>
      <c r="B80" s="291">
        <v>46048</v>
      </c>
      <c r="C80" s="31" t="e">
        <f xml:space="preserve"> VLOOKUP(E80, $A$3:$E$704, 2, FALSE)</f>
        <v>#N/A</v>
      </c>
      <c r="D80" s="36" t="s">
        <v>42</v>
      </c>
      <c r="E80" s="150" t="s">
        <v>1674</v>
      </c>
      <c r="F80" s="36" t="s">
        <v>1603</v>
      </c>
      <c r="G80" s="265" t="s">
        <v>1675</v>
      </c>
      <c r="H80" s="36" t="s">
        <v>1676</v>
      </c>
      <c r="I80" s="36" t="s">
        <v>1677</v>
      </c>
      <c r="J80" s="144">
        <v>45853</v>
      </c>
    </row>
    <row r="81" spans="1:12" ht="15">
      <c r="A81" s="290" t="s">
        <v>1678</v>
      </c>
      <c r="B81" s="291">
        <v>46008</v>
      </c>
      <c r="C81" s="31" t="e">
        <f xml:space="preserve"> VLOOKUP(E81, $A$3:$E$704, 2, FALSE)</f>
        <v>#N/A</v>
      </c>
      <c r="D81" s="36" t="s">
        <v>42</v>
      </c>
      <c r="E81" s="150" t="s">
        <v>1679</v>
      </c>
      <c r="F81" s="36" t="s">
        <v>1680</v>
      </c>
      <c r="G81" s="265"/>
      <c r="H81" s="36" t="s">
        <v>1681</v>
      </c>
      <c r="I81" s="36" t="s">
        <v>1682</v>
      </c>
      <c r="L81" s="146" t="s">
        <v>1683</v>
      </c>
    </row>
    <row r="82" spans="1:12" ht="15">
      <c r="A82" s="290" t="s">
        <v>1684</v>
      </c>
      <c r="B82" s="291">
        <v>46076</v>
      </c>
      <c r="C82" s="31" t="e">
        <f xml:space="preserve"> VLOOKUP(E82, $A$3:$E$704, 2, FALSE)</f>
        <v>#N/A</v>
      </c>
      <c r="D82" s="36" t="s">
        <v>42</v>
      </c>
      <c r="E82" s="150" t="s">
        <v>1685</v>
      </c>
      <c r="F82" s="36" t="s">
        <v>1435</v>
      </c>
      <c r="G82" s="265"/>
      <c r="H82" s="36" t="s">
        <v>1686</v>
      </c>
      <c r="I82" s="36" t="s">
        <v>1687</v>
      </c>
      <c r="J82" s="144" t="s">
        <v>1688</v>
      </c>
    </row>
    <row r="83" spans="1:12" ht="15">
      <c r="A83" s="290" t="s">
        <v>1689</v>
      </c>
      <c r="B83" s="291">
        <v>46080</v>
      </c>
      <c r="C83" s="31" t="e">
        <f xml:space="preserve"> VLOOKUP(E83, $A$3:$E$704, 2, FALSE)</f>
        <v>#N/A</v>
      </c>
      <c r="D83" s="36" t="s">
        <v>42</v>
      </c>
      <c r="E83" s="150" t="s">
        <v>1690</v>
      </c>
      <c r="F83" s="36" t="s">
        <v>1441</v>
      </c>
      <c r="G83" s="265"/>
      <c r="H83" s="36" t="s">
        <v>1691</v>
      </c>
      <c r="I83" s="36" t="s">
        <v>1692</v>
      </c>
      <c r="J83" s="144">
        <v>45826</v>
      </c>
    </row>
    <row r="84" spans="1:12" ht="15">
      <c r="A84" s="290" t="s">
        <v>1693</v>
      </c>
      <c r="B84" s="291">
        <v>46069</v>
      </c>
      <c r="C84" s="31">
        <f xml:space="preserve"> VLOOKUP(E84, $A$3:$E$704, 2, FALSE)</f>
        <v>45953</v>
      </c>
      <c r="D84" s="36" t="s">
        <v>42</v>
      </c>
      <c r="E84" s="150" t="s">
        <v>1630</v>
      </c>
      <c r="F84" s="36" t="s">
        <v>1603</v>
      </c>
      <c r="G84" s="265"/>
      <c r="H84" s="36" t="s">
        <v>1694</v>
      </c>
      <c r="I84" s="36" t="s">
        <v>1695</v>
      </c>
      <c r="J84" s="144">
        <v>45917</v>
      </c>
      <c r="L84" s="146" t="s">
        <v>1696</v>
      </c>
    </row>
    <row r="85" spans="1:12" ht="24">
      <c r="A85" s="290" t="s">
        <v>1697</v>
      </c>
      <c r="B85" s="291">
        <v>46114</v>
      </c>
      <c r="C85" s="31" t="e">
        <f xml:space="preserve"> VLOOKUP(E85, $A$3:$E$704, 2, FALSE)</f>
        <v>#N/A</v>
      </c>
      <c r="D85" s="36" t="s">
        <v>42</v>
      </c>
      <c r="E85" s="150" t="s">
        <v>1698</v>
      </c>
      <c r="F85" s="36" t="s">
        <v>1603</v>
      </c>
      <c r="G85" s="265" t="s">
        <v>1699</v>
      </c>
      <c r="H85" s="36" t="s">
        <v>1700</v>
      </c>
      <c r="I85" s="36" t="s">
        <v>1701</v>
      </c>
      <c r="J85" s="144" t="s">
        <v>1702</v>
      </c>
      <c r="L85" s="146" t="s">
        <v>1703</v>
      </c>
    </row>
    <row r="86" spans="1:12" ht="15">
      <c r="A86" s="290" t="s">
        <v>1704</v>
      </c>
      <c r="B86" s="291">
        <v>46084</v>
      </c>
      <c r="C86" s="31" t="e">
        <f xml:space="preserve"> VLOOKUP(E86, $A$3:$E$704, 2, FALSE)</f>
        <v>#N/A</v>
      </c>
      <c r="D86" s="36" t="s">
        <v>42</v>
      </c>
      <c r="E86" s="150" t="s">
        <v>1705</v>
      </c>
      <c r="F86" s="36" t="s">
        <v>1603</v>
      </c>
      <c r="G86" s="265" t="s">
        <v>1706</v>
      </c>
      <c r="H86" s="36" t="s">
        <v>1707</v>
      </c>
      <c r="I86" s="36" t="s">
        <v>1708</v>
      </c>
      <c r="J86" s="144" t="s">
        <v>508</v>
      </c>
    </row>
    <row r="87" spans="1:12" ht="15">
      <c r="A87" s="290" t="s">
        <v>1709</v>
      </c>
      <c r="B87" s="291">
        <v>46080</v>
      </c>
      <c r="C87" s="31" t="e">
        <f xml:space="preserve"> VLOOKUP(E87, $A$3:$E$704, 2, FALSE)</f>
        <v>#N/A</v>
      </c>
      <c r="D87" s="36" t="s">
        <v>42</v>
      </c>
      <c r="E87" s="150" t="s">
        <v>1710</v>
      </c>
      <c r="F87" s="36" t="s">
        <v>1452</v>
      </c>
      <c r="G87" s="265"/>
      <c r="H87" s="36" t="s">
        <v>1711</v>
      </c>
      <c r="I87" s="36" t="s">
        <v>1712</v>
      </c>
      <c r="J87" s="144">
        <v>45924</v>
      </c>
      <c r="L87" s="146" t="s">
        <v>1713</v>
      </c>
    </row>
    <row r="88" spans="1:12" ht="15">
      <c r="A88" s="290" t="s">
        <v>1714</v>
      </c>
      <c r="B88" s="291">
        <v>46059</v>
      </c>
      <c r="C88" s="31" t="e">
        <f xml:space="preserve"> VLOOKUP(E88, $A$3:$E$704, 2, FALSE)</f>
        <v>#N/A</v>
      </c>
      <c r="D88" s="36" t="s">
        <v>42</v>
      </c>
      <c r="E88" s="150" t="s">
        <v>1715</v>
      </c>
      <c r="F88" s="36" t="s">
        <v>1603</v>
      </c>
      <c r="G88" s="265"/>
      <c r="H88" s="36" t="s">
        <v>1716</v>
      </c>
      <c r="I88" s="36" t="s">
        <v>1717</v>
      </c>
      <c r="L88" s="146" t="s">
        <v>1618</v>
      </c>
    </row>
    <row r="89" spans="1:12" ht="15">
      <c r="A89" s="290" t="s">
        <v>1718</v>
      </c>
      <c r="B89" s="291">
        <v>46086</v>
      </c>
      <c r="C89" s="31" t="e">
        <f xml:space="preserve"> VLOOKUP(E89, $A$3:$E$704, 2, FALSE)</f>
        <v>#N/A</v>
      </c>
      <c r="D89" s="36" t="s">
        <v>42</v>
      </c>
      <c r="E89" s="150" t="s">
        <v>1719</v>
      </c>
      <c r="G89" s="265"/>
    </row>
    <row r="90" spans="1:12" ht="15">
      <c r="A90" s="290" t="s">
        <v>1720</v>
      </c>
      <c r="B90" s="291">
        <v>46079</v>
      </c>
      <c r="C90" s="31" t="e">
        <f xml:space="preserve"> VLOOKUP(E90, $A$3:$E$704, 2, FALSE)</f>
        <v>#N/A</v>
      </c>
      <c r="D90" s="36" t="s">
        <v>42</v>
      </c>
      <c r="E90" s="150" t="s">
        <v>1721</v>
      </c>
      <c r="F90" s="36" t="s">
        <v>1441</v>
      </c>
      <c r="G90" s="265"/>
      <c r="H90" s="36" t="s">
        <v>1655</v>
      </c>
      <c r="I90" s="36" t="s">
        <v>1722</v>
      </c>
      <c r="J90" s="144">
        <v>45854</v>
      </c>
      <c r="L90" s="146" t="s">
        <v>1723</v>
      </c>
    </row>
    <row r="91" spans="1:12" ht="15">
      <c r="A91" s="290" t="s">
        <v>1724</v>
      </c>
      <c r="B91" s="291">
        <v>46077</v>
      </c>
      <c r="C91" s="31" t="e">
        <f xml:space="preserve"> VLOOKUP(E91, $A$3:$E$704, 2, FALSE)</f>
        <v>#N/A</v>
      </c>
      <c r="D91" s="36" t="s">
        <v>42</v>
      </c>
      <c r="E91" s="150" t="s">
        <v>1725</v>
      </c>
      <c r="F91" s="36" t="s">
        <v>1726</v>
      </c>
      <c r="G91" s="265"/>
      <c r="H91" s="36" t="s">
        <v>1727</v>
      </c>
      <c r="I91" s="36" t="s">
        <v>1728</v>
      </c>
      <c r="L91" s="146" t="s">
        <v>1729</v>
      </c>
    </row>
    <row r="92" spans="1:12" ht="15">
      <c r="A92" s="290" t="s">
        <v>1730</v>
      </c>
      <c r="B92" s="291">
        <v>46079</v>
      </c>
      <c r="C92" s="31" t="e">
        <f xml:space="preserve"> VLOOKUP(E92, $A$3:$E$704, 2, FALSE)</f>
        <v>#N/A</v>
      </c>
      <c r="D92" s="36" t="s">
        <v>42</v>
      </c>
      <c r="E92" s="150" t="s">
        <v>1731</v>
      </c>
      <c r="F92" s="36" t="s">
        <v>1427</v>
      </c>
      <c r="G92" s="265"/>
      <c r="H92" s="36" t="s">
        <v>1732</v>
      </c>
      <c r="I92" s="36" t="s">
        <v>1733</v>
      </c>
      <c r="J92" s="144">
        <v>45895</v>
      </c>
      <c r="L92" s="146" t="s">
        <v>1734</v>
      </c>
    </row>
    <row r="93" spans="1:12" ht="15">
      <c r="A93" s="290" t="s">
        <v>1735</v>
      </c>
      <c r="B93" s="291">
        <v>46042</v>
      </c>
      <c r="C93" s="31" t="e">
        <f xml:space="preserve"> VLOOKUP(E93, $A$3:$E$704, 2, FALSE)</f>
        <v>#N/A</v>
      </c>
      <c r="D93" s="36" t="s">
        <v>42</v>
      </c>
      <c r="E93" s="150" t="s">
        <v>1736</v>
      </c>
      <c r="F93" s="36" t="s">
        <v>1441</v>
      </c>
      <c r="G93" s="265"/>
      <c r="H93" s="36" t="s">
        <v>1737</v>
      </c>
      <c r="I93" s="36" t="s">
        <v>1738</v>
      </c>
      <c r="L93" s="146" t="s">
        <v>1739</v>
      </c>
    </row>
    <row r="94" spans="1:12" ht="15">
      <c r="A94" s="290" t="s">
        <v>1740</v>
      </c>
      <c r="B94" s="291">
        <v>46080</v>
      </c>
      <c r="C94" s="31" t="e">
        <f xml:space="preserve"> VLOOKUP(E94, $A$3:$E$704, 2, FALSE)</f>
        <v>#N/A</v>
      </c>
      <c r="D94" s="36" t="s">
        <v>42</v>
      </c>
      <c r="E94" s="11" t="s">
        <v>1741</v>
      </c>
      <c r="F94" s="36" t="s">
        <v>1603</v>
      </c>
      <c r="G94" s="265"/>
      <c r="H94" s="36" t="s">
        <v>1742</v>
      </c>
      <c r="I94" s="36" t="s">
        <v>1743</v>
      </c>
      <c r="J94" s="144">
        <v>45946</v>
      </c>
    </row>
    <row r="95" spans="1:12" ht="15">
      <c r="A95" s="290" t="s">
        <v>1744</v>
      </c>
      <c r="B95" s="291">
        <v>46090</v>
      </c>
      <c r="C95" s="31" t="e">
        <f xml:space="preserve"> VLOOKUP(E95, $A$3:$E$704, 2, FALSE)</f>
        <v>#N/A</v>
      </c>
      <c r="D95" s="36" t="s">
        <v>42</v>
      </c>
      <c r="E95" s="11" t="s">
        <v>1745</v>
      </c>
      <c r="F95" s="36" t="s">
        <v>1603</v>
      </c>
      <c r="G95" s="265"/>
      <c r="H95" s="36" t="s">
        <v>1633</v>
      </c>
      <c r="I95" s="36" t="s">
        <v>1746</v>
      </c>
      <c r="J95" s="144" t="s">
        <v>1747</v>
      </c>
      <c r="L95" s="146" t="s">
        <v>1696</v>
      </c>
    </row>
    <row r="96" spans="1:12" ht="15">
      <c r="A96" s="290" t="s">
        <v>1748</v>
      </c>
      <c r="B96" s="291">
        <v>46076</v>
      </c>
      <c r="C96" s="31" t="e">
        <f xml:space="preserve"> VLOOKUP(E96, $A$3:$E$704, 2, FALSE)</f>
        <v>#N/A</v>
      </c>
      <c r="D96" s="36" t="s">
        <v>42</v>
      </c>
      <c r="E96" s="150" t="s">
        <v>1749</v>
      </c>
      <c r="F96" s="36" t="s">
        <v>1427</v>
      </c>
      <c r="G96" s="265"/>
      <c r="H96" s="36" t="s">
        <v>1727</v>
      </c>
      <c r="I96" s="36" t="s">
        <v>1728</v>
      </c>
      <c r="L96" s="146" t="s">
        <v>1729</v>
      </c>
    </row>
    <row r="97" spans="1:12" ht="15">
      <c r="A97" s="290" t="s">
        <v>1750</v>
      </c>
      <c r="B97" s="291">
        <v>46080</v>
      </c>
      <c r="C97" s="31" t="e">
        <f xml:space="preserve"> VLOOKUP(E97, $A$3:$E$704, 2, FALSE)</f>
        <v>#N/A</v>
      </c>
      <c r="D97" s="36" t="s">
        <v>42</v>
      </c>
      <c r="E97" s="150" t="s">
        <v>1751</v>
      </c>
    </row>
    <row r="98" spans="1:12" ht="15">
      <c r="A98" s="290" t="s">
        <v>1752</v>
      </c>
      <c r="B98" s="291">
        <v>46083</v>
      </c>
      <c r="C98" s="31" t="e">
        <f xml:space="preserve"> VLOOKUP(E98, $A$3:$E$704, 2, FALSE)</f>
        <v>#N/A</v>
      </c>
      <c r="D98" s="36" t="s">
        <v>42</v>
      </c>
      <c r="E98" s="150" t="s">
        <v>1753</v>
      </c>
      <c r="F98" s="36" t="s">
        <v>1441</v>
      </c>
      <c r="H98" s="36" t="s">
        <v>1754</v>
      </c>
      <c r="I98" s="36" t="s">
        <v>1755</v>
      </c>
      <c r="J98" s="144">
        <v>45924</v>
      </c>
      <c r="L98" s="146" t="s">
        <v>1756</v>
      </c>
    </row>
    <row r="99" spans="1:12" ht="15">
      <c r="A99" s="290" t="s">
        <v>1757</v>
      </c>
      <c r="B99" s="291">
        <v>46084</v>
      </c>
      <c r="C99" s="31" t="e">
        <f xml:space="preserve"> VLOOKUP(E99, $A$3:$E$704, 2, FALSE)</f>
        <v>#N/A</v>
      </c>
      <c r="D99" s="36" t="s">
        <v>42</v>
      </c>
      <c r="E99" s="150" t="s">
        <v>1758</v>
      </c>
      <c r="F99" s="36" t="s">
        <v>1441</v>
      </c>
      <c r="G99" s="265"/>
      <c r="H99" s="36" t="s">
        <v>1759</v>
      </c>
      <c r="I99" s="36" t="s">
        <v>1760</v>
      </c>
      <c r="J99" s="144">
        <v>45911</v>
      </c>
    </row>
    <row r="100" spans="1:12" ht="15">
      <c r="A100" s="290" t="s">
        <v>1761</v>
      </c>
      <c r="B100" s="291">
        <v>46076</v>
      </c>
      <c r="C100" s="31" t="e">
        <f xml:space="preserve"> VLOOKUP(E100, $A$3:$E$704, 2, FALSE)</f>
        <v>#N/A</v>
      </c>
      <c r="D100" s="36" t="s">
        <v>42</v>
      </c>
      <c r="E100" s="150" t="s">
        <v>1762</v>
      </c>
      <c r="F100" s="36" t="s">
        <v>1441</v>
      </c>
      <c r="G100" s="265"/>
      <c r="H100" s="36" t="s">
        <v>1610</v>
      </c>
      <c r="I100" s="36" t="s">
        <v>1763</v>
      </c>
      <c r="J100" s="144" t="s">
        <v>1764</v>
      </c>
    </row>
    <row r="101" spans="1:12" ht="15">
      <c r="A101" s="290" t="s">
        <v>1765</v>
      </c>
      <c r="B101" s="291">
        <v>46090</v>
      </c>
      <c r="C101" s="31" t="e">
        <f xml:space="preserve"> VLOOKUP(E101, $A$3:$E$704, 2, FALSE)</f>
        <v>#N/A</v>
      </c>
      <c r="D101" s="36" t="s">
        <v>42</v>
      </c>
      <c r="E101" s="11" t="s">
        <v>1766</v>
      </c>
      <c r="F101" s="36" t="s">
        <v>1603</v>
      </c>
      <c r="G101" s="435"/>
      <c r="H101" s="36" t="s">
        <v>1767</v>
      </c>
      <c r="I101" s="36" t="s">
        <v>1768</v>
      </c>
      <c r="J101" s="144" t="s">
        <v>1285</v>
      </c>
      <c r="L101" s="146" t="s">
        <v>1769</v>
      </c>
    </row>
    <row r="102" spans="1:12" ht="15">
      <c r="A102" s="290" t="s">
        <v>1770</v>
      </c>
      <c r="B102" s="291">
        <v>46080</v>
      </c>
      <c r="C102" s="31" t="e">
        <f xml:space="preserve"> VLOOKUP(E102, $A$3:$E$704, 2, FALSE)</f>
        <v>#N/A</v>
      </c>
      <c r="D102" s="36" t="s">
        <v>42</v>
      </c>
      <c r="E102" s="11" t="s">
        <v>1771</v>
      </c>
      <c r="F102" s="36" t="s">
        <v>1772</v>
      </c>
      <c r="G102" s="265"/>
      <c r="H102" s="36" t="s">
        <v>1767</v>
      </c>
      <c r="I102" s="36" t="s">
        <v>1768</v>
      </c>
      <c r="L102" s="146" t="s">
        <v>1773</v>
      </c>
    </row>
    <row r="103" spans="1:12" ht="15">
      <c r="A103" s="290" t="s">
        <v>1774</v>
      </c>
      <c r="B103" s="291">
        <v>46090</v>
      </c>
      <c r="C103" s="31" t="e">
        <f xml:space="preserve"> VLOOKUP(E103, $A$3:$E$704, 2, FALSE)</f>
        <v>#N/A</v>
      </c>
      <c r="D103" s="36" t="s">
        <v>42</v>
      </c>
      <c r="E103" s="150" t="s">
        <v>1775</v>
      </c>
      <c r="F103" s="36" t="s">
        <v>1441</v>
      </c>
      <c r="G103" s="265"/>
      <c r="H103" s="36" t="s">
        <v>1776</v>
      </c>
      <c r="I103" s="36" t="s">
        <v>1777</v>
      </c>
      <c r="L103" s="146" t="s">
        <v>1778</v>
      </c>
    </row>
    <row r="104" spans="1:12" ht="15">
      <c r="A104" s="290" t="s">
        <v>1779</v>
      </c>
      <c r="B104" s="291">
        <v>46087</v>
      </c>
      <c r="C104" s="31" t="e">
        <f xml:space="preserve"> VLOOKUP(E104, $A$3:$E$704, 2, FALSE)</f>
        <v>#N/A</v>
      </c>
      <c r="D104" s="36" t="s">
        <v>42</v>
      </c>
      <c r="E104" s="150" t="s">
        <v>1780</v>
      </c>
      <c r="F104" s="36" t="s">
        <v>1452</v>
      </c>
      <c r="G104" s="435"/>
      <c r="H104" s="36" t="s">
        <v>1781</v>
      </c>
      <c r="I104" s="36" t="s">
        <v>1782</v>
      </c>
      <c r="J104" s="144">
        <v>45950</v>
      </c>
      <c r="L104" s="146" t="s">
        <v>1783</v>
      </c>
    </row>
    <row r="105" spans="1:12" ht="15">
      <c r="A105" s="290" t="s">
        <v>1784</v>
      </c>
      <c r="B105" s="291">
        <v>46079</v>
      </c>
      <c r="C105" s="31" t="e">
        <f xml:space="preserve"> VLOOKUP(E105, $A$3:$E$704, 2, FALSE)</f>
        <v>#N/A</v>
      </c>
      <c r="D105" s="36" t="s">
        <v>42</v>
      </c>
      <c r="E105" s="150" t="s">
        <v>1785</v>
      </c>
      <c r="F105" s="36" t="s">
        <v>1441</v>
      </c>
      <c r="G105" s="265"/>
      <c r="H105" s="36" t="s">
        <v>1448</v>
      </c>
      <c r="I105" s="36" t="s">
        <v>1786</v>
      </c>
      <c r="J105" s="144">
        <v>45939</v>
      </c>
      <c r="L105" s="146" t="s">
        <v>1787</v>
      </c>
    </row>
    <row r="106" spans="1:12" ht="15">
      <c r="A106" s="290" t="s">
        <v>1788</v>
      </c>
      <c r="B106" s="291">
        <v>46076</v>
      </c>
      <c r="C106" s="31" t="e">
        <f xml:space="preserve"> VLOOKUP(E106, $A$3:$E$704, 2, FALSE)</f>
        <v>#N/A</v>
      </c>
      <c r="D106" s="36" t="s">
        <v>42</v>
      </c>
      <c r="E106" s="11" t="s">
        <v>1789</v>
      </c>
      <c r="F106" s="36" t="s">
        <v>1790</v>
      </c>
      <c r="G106" s="265"/>
      <c r="H106" s="36" t="s">
        <v>1791</v>
      </c>
      <c r="I106" s="36" t="s">
        <v>1792</v>
      </c>
    </row>
    <row r="107" spans="1:12" ht="15">
      <c r="A107" s="290" t="s">
        <v>1793</v>
      </c>
      <c r="B107" s="291">
        <v>46069</v>
      </c>
      <c r="C107" s="31" t="e">
        <f xml:space="preserve"> VLOOKUP(E107, $A$3:$E$704, 2, FALSE)</f>
        <v>#N/A</v>
      </c>
      <c r="D107" s="36" t="s">
        <v>42</v>
      </c>
      <c r="E107" s="150" t="s">
        <v>1794</v>
      </c>
      <c r="F107" s="36">
        <v>93</v>
      </c>
      <c r="G107" s="265"/>
      <c r="H107" s="36" t="s">
        <v>1795</v>
      </c>
      <c r="I107" s="36" t="s">
        <v>1796</v>
      </c>
      <c r="J107" s="144">
        <v>45950</v>
      </c>
      <c r="L107" s="146" t="s">
        <v>1797</v>
      </c>
    </row>
    <row r="108" spans="1:12" ht="15">
      <c r="A108" s="290" t="s">
        <v>1798</v>
      </c>
      <c r="B108" s="291">
        <v>46069</v>
      </c>
      <c r="C108" s="31" t="e">
        <f xml:space="preserve"> VLOOKUP(E108, $A$3:$E$704, 2, FALSE)</f>
        <v>#N/A</v>
      </c>
      <c r="D108" s="36" t="s">
        <v>42</v>
      </c>
      <c r="E108" s="11" t="s">
        <v>1799</v>
      </c>
      <c r="F108" s="36" t="s">
        <v>1603</v>
      </c>
      <c r="G108" s="265"/>
      <c r="H108" s="36" t="s">
        <v>1800</v>
      </c>
      <c r="I108" s="36" t="s">
        <v>1801</v>
      </c>
      <c r="J108" s="144">
        <v>45986</v>
      </c>
      <c r="L108" s="146" t="s">
        <v>1802</v>
      </c>
    </row>
    <row r="109" spans="1:12" ht="15">
      <c r="A109" s="290" t="s">
        <v>1803</v>
      </c>
      <c r="B109" s="291">
        <v>46069</v>
      </c>
      <c r="C109" s="31" t="e">
        <f xml:space="preserve"> VLOOKUP(E109, $A$3:$E$704, 2, FALSE)</f>
        <v>#N/A</v>
      </c>
      <c r="D109" s="36" t="s">
        <v>42</v>
      </c>
      <c r="E109" s="150" t="s">
        <v>1804</v>
      </c>
      <c r="F109" s="36" t="s">
        <v>1645</v>
      </c>
      <c r="H109" s="36" t="s">
        <v>1805</v>
      </c>
      <c r="I109" s="36" t="s">
        <v>1806</v>
      </c>
      <c r="J109" s="144">
        <v>45989</v>
      </c>
      <c r="L109" s="275" t="s">
        <v>1807</v>
      </c>
    </row>
    <row r="110" spans="1:12" ht="15">
      <c r="A110" s="290" t="s">
        <v>1808</v>
      </c>
      <c r="B110" s="291">
        <v>46086</v>
      </c>
      <c r="C110" s="31" t="e">
        <f xml:space="preserve"> VLOOKUP(E110, $A$3:$E$704, 2, FALSE)</f>
        <v>#N/A</v>
      </c>
      <c r="D110" s="36" t="s">
        <v>42</v>
      </c>
      <c r="E110" s="150" t="s">
        <v>1809</v>
      </c>
      <c r="F110" s="36" t="s">
        <v>1603</v>
      </c>
      <c r="H110" s="36" t="s">
        <v>1655</v>
      </c>
      <c r="I110" s="36" t="s">
        <v>1810</v>
      </c>
      <c r="J110" s="144">
        <v>45999</v>
      </c>
      <c r="L110" s="275" t="s">
        <v>1811</v>
      </c>
    </row>
    <row r="111" spans="1:12" ht="15">
      <c r="A111" s="305" t="s">
        <v>1812</v>
      </c>
      <c r="B111" s="306">
        <v>46092</v>
      </c>
      <c r="C111" s="31" t="e">
        <f xml:space="preserve"> VLOOKUP(E111, $A$3:$E$704, 2, FALSE)</f>
        <v>#N/A</v>
      </c>
      <c r="D111" s="36" t="s">
        <v>42</v>
      </c>
      <c r="E111" s="150" t="s">
        <v>1813</v>
      </c>
      <c r="F111" s="36" t="s">
        <v>1772</v>
      </c>
      <c r="G111" s="265"/>
      <c r="H111" s="36" t="s">
        <v>1814</v>
      </c>
      <c r="I111" s="36" t="s">
        <v>1815</v>
      </c>
      <c r="L111" s="146" t="s">
        <v>1816</v>
      </c>
    </row>
    <row r="112" spans="1:12" ht="15">
      <c r="A112" s="305" t="s">
        <v>1817</v>
      </c>
      <c r="B112" s="306">
        <v>46142</v>
      </c>
      <c r="C112" s="31" t="e">
        <f xml:space="preserve"> VLOOKUP(E112, $A$3:$E$704, 2, FALSE)</f>
        <v>#N/A</v>
      </c>
      <c r="D112" s="36" t="s">
        <v>42</v>
      </c>
      <c r="E112" s="150" t="s">
        <v>1818</v>
      </c>
      <c r="F112" s="36" t="s">
        <v>1680</v>
      </c>
      <c r="G112" s="265"/>
      <c r="H112" s="36" t="s">
        <v>1819</v>
      </c>
      <c r="I112" s="36" t="s">
        <v>1820</v>
      </c>
      <c r="J112" s="144">
        <v>45994</v>
      </c>
      <c r="L112" s="275" t="s">
        <v>1821</v>
      </c>
    </row>
    <row r="113" spans="1:12" ht="15">
      <c r="A113" s="305" t="s">
        <v>1822</v>
      </c>
      <c r="B113" s="306">
        <v>46140</v>
      </c>
      <c r="C113" s="31" t="e">
        <f xml:space="preserve"> VLOOKUP(E113, $A$3:$E$704, 2, FALSE)</f>
        <v>#N/A</v>
      </c>
      <c r="D113" s="36" t="s">
        <v>42</v>
      </c>
      <c r="E113" s="150" t="s">
        <v>1823</v>
      </c>
      <c r="F113" s="36" t="s">
        <v>1680</v>
      </c>
      <c r="G113" s="265"/>
      <c r="H113" s="36" t="s">
        <v>1448</v>
      </c>
      <c r="I113" s="36" t="s">
        <v>1824</v>
      </c>
      <c r="J113" s="437">
        <v>45992</v>
      </c>
      <c r="K113" s="437"/>
      <c r="L113" s="275" t="s">
        <v>1825</v>
      </c>
    </row>
    <row r="114" spans="1:12" ht="15">
      <c r="A114" s="305" t="s">
        <v>1826</v>
      </c>
      <c r="B114" s="306">
        <v>46069</v>
      </c>
      <c r="C114" s="31" t="e">
        <f xml:space="preserve"> VLOOKUP(E114, $A$3:$E$704, 2, FALSE)</f>
        <v>#N/A</v>
      </c>
      <c r="D114" s="36" t="s">
        <v>42</v>
      </c>
      <c r="E114" s="11" t="s">
        <v>1827</v>
      </c>
      <c r="F114" s="36" t="s">
        <v>1603</v>
      </c>
      <c r="G114" s="265"/>
      <c r="H114" s="36" t="s">
        <v>1828</v>
      </c>
      <c r="I114" s="36" t="s">
        <v>1829</v>
      </c>
      <c r="J114" s="144">
        <v>45936</v>
      </c>
    </row>
    <row r="115" spans="1:12" ht="15">
      <c r="A115" s="305" t="s">
        <v>1830</v>
      </c>
      <c r="B115" s="306">
        <v>46087</v>
      </c>
      <c r="C115" s="31" t="e">
        <f xml:space="preserve"> VLOOKUP(E115, $A$3:$E$704, 2, FALSE)</f>
        <v>#N/A</v>
      </c>
      <c r="D115" s="36" t="s">
        <v>42</v>
      </c>
      <c r="E115" s="150" t="s">
        <v>1831</v>
      </c>
      <c r="F115" s="36" t="s">
        <v>1441</v>
      </c>
      <c r="G115" s="265"/>
      <c r="H115" s="36" t="s">
        <v>1622</v>
      </c>
      <c r="I115" s="36" t="s">
        <v>1832</v>
      </c>
      <c r="J115" s="144">
        <v>45995</v>
      </c>
      <c r="L115" s="275" t="s">
        <v>1797</v>
      </c>
    </row>
    <row r="116" spans="1:12" ht="15">
      <c r="A116" s="305" t="s">
        <v>1833</v>
      </c>
      <c r="B116" s="306">
        <v>46090</v>
      </c>
      <c r="C116" s="31" t="e">
        <f xml:space="preserve"> VLOOKUP(E116, $A$3:$E$704, 2, FALSE)</f>
        <v>#N/A</v>
      </c>
      <c r="D116" s="36" t="s">
        <v>42</v>
      </c>
      <c r="E116" s="150" t="s">
        <v>1834</v>
      </c>
      <c r="F116" s="36" t="s">
        <v>1835</v>
      </c>
      <c r="G116" s="265"/>
      <c r="H116" s="36" t="s">
        <v>1671</v>
      </c>
      <c r="I116" s="36" t="s">
        <v>1836</v>
      </c>
      <c r="J116" s="144">
        <v>46049</v>
      </c>
      <c r="L116" s="146" t="s">
        <v>1837</v>
      </c>
    </row>
    <row r="117" spans="1:12" ht="15">
      <c r="A117" s="305" t="s">
        <v>1838</v>
      </c>
      <c r="B117" s="306">
        <v>46079</v>
      </c>
      <c r="C117" s="31" t="e">
        <f xml:space="preserve"> VLOOKUP(E117, $A$3:$E$704, 2, FALSE)</f>
        <v>#N/A</v>
      </c>
      <c r="D117" s="36" t="s">
        <v>42</v>
      </c>
      <c r="E117" s="11" t="s">
        <v>1839</v>
      </c>
      <c r="F117" s="36" t="s">
        <v>1441</v>
      </c>
      <c r="G117" s="265"/>
      <c r="H117" s="36" t="s">
        <v>1840</v>
      </c>
      <c r="I117" s="36" t="s">
        <v>1841</v>
      </c>
      <c r="J117" s="144">
        <v>45939</v>
      </c>
      <c r="L117" s="146" t="s">
        <v>1842</v>
      </c>
    </row>
    <row r="118" spans="1:12" ht="15">
      <c r="A118" s="430" t="s">
        <v>1843</v>
      </c>
      <c r="B118" s="306">
        <v>46119</v>
      </c>
      <c r="C118" s="31" t="e">
        <f xml:space="preserve"> VLOOKUP(E118, $A$3:$E$704, 2, FALSE)</f>
        <v>#N/A</v>
      </c>
      <c r="D118" s="36" t="s">
        <v>42</v>
      </c>
      <c r="E118" s="150" t="s">
        <v>1844</v>
      </c>
      <c r="F118" s="36" t="s">
        <v>1427</v>
      </c>
      <c r="G118" s="265"/>
      <c r="H118" s="36" t="s">
        <v>1845</v>
      </c>
      <c r="I118" s="36" t="s">
        <v>1846</v>
      </c>
      <c r="J118" s="144">
        <v>46041</v>
      </c>
    </row>
    <row r="119" spans="1:12" ht="15">
      <c r="A119" s="430" t="s">
        <v>1847</v>
      </c>
      <c r="B119" s="306">
        <v>46237</v>
      </c>
      <c r="C119" s="31" t="e">
        <f xml:space="preserve"> VLOOKUP(E119, $A$3:$E$704, 2, FALSE)</f>
        <v>#N/A</v>
      </c>
      <c r="D119" s="36" t="s">
        <v>42</v>
      </c>
      <c r="E119" s="150" t="s">
        <v>1848</v>
      </c>
      <c r="F119" s="36" t="s">
        <v>1427</v>
      </c>
      <c r="G119" s="265"/>
      <c r="H119" s="36" t="s">
        <v>1845</v>
      </c>
      <c r="I119" s="36" t="s">
        <v>1846</v>
      </c>
    </row>
    <row r="120" spans="1:12" ht="15">
      <c r="A120" s="305" t="s">
        <v>1849</v>
      </c>
      <c r="B120" s="306">
        <v>46062</v>
      </c>
      <c r="C120" s="31" t="e">
        <f xml:space="preserve"> VLOOKUP(E120, $A$3:$E$704, 2, FALSE)</f>
        <v>#N/A</v>
      </c>
      <c r="D120" s="36" t="s">
        <v>42</v>
      </c>
      <c r="E120" s="150" t="s">
        <v>1850</v>
      </c>
      <c r="F120" s="36">
        <v>59</v>
      </c>
      <c r="G120" s="265"/>
      <c r="H120" s="36" t="s">
        <v>1814</v>
      </c>
      <c r="I120" s="36" t="s">
        <v>1851</v>
      </c>
      <c r="J120" s="144">
        <v>45993</v>
      </c>
      <c r="L120" s="275" t="s">
        <v>1797</v>
      </c>
    </row>
    <row r="121" spans="1:12" ht="15">
      <c r="A121" s="305" t="s">
        <v>1852</v>
      </c>
      <c r="B121" s="306">
        <v>46086</v>
      </c>
      <c r="C121" s="31" t="e">
        <f xml:space="preserve"> VLOOKUP(E121, $A$3:$E$704, 2, FALSE)</f>
        <v>#N/A</v>
      </c>
      <c r="D121" s="36" t="s">
        <v>42</v>
      </c>
      <c r="E121" s="11" t="s">
        <v>1853</v>
      </c>
      <c r="F121" s="36" t="s">
        <v>1441</v>
      </c>
      <c r="G121" s="326"/>
      <c r="H121" s="36" t="s">
        <v>1655</v>
      </c>
      <c r="I121" s="36" t="s">
        <v>1854</v>
      </c>
      <c r="J121" s="144">
        <v>45956</v>
      </c>
    </row>
    <row r="122" spans="1:12" ht="15">
      <c r="A122" s="12" t="s">
        <v>1855</v>
      </c>
      <c r="B122" s="229">
        <v>46083</v>
      </c>
      <c r="C122" s="31" t="e">
        <f xml:space="preserve"> VLOOKUP(E122, $A$3:$E$704, 2, FALSE)</f>
        <v>#N/A</v>
      </c>
      <c r="D122" s="36" t="s">
        <v>42</v>
      </c>
      <c r="E122" s="11" t="s">
        <v>1856</v>
      </c>
      <c r="F122" s="36" t="s">
        <v>1603</v>
      </c>
      <c r="G122" s="265"/>
      <c r="H122" s="36" t="s">
        <v>1857</v>
      </c>
      <c r="I122" s="36" t="s">
        <v>1858</v>
      </c>
      <c r="J122" s="144">
        <v>45946</v>
      </c>
      <c r="K122" s="146" t="s">
        <v>1859</v>
      </c>
    </row>
    <row r="123" spans="1:12" ht="15">
      <c r="A123" s="12" t="s">
        <v>1860</v>
      </c>
      <c r="B123" s="229">
        <v>46086</v>
      </c>
      <c r="C123" s="31" t="e">
        <f xml:space="preserve"> VLOOKUP(E123, $A$3:$E$704, 2, FALSE)</f>
        <v>#N/A</v>
      </c>
      <c r="D123" s="36" t="s">
        <v>42</v>
      </c>
      <c r="E123" s="150" t="s">
        <v>1861</v>
      </c>
      <c r="F123" s="36" t="s">
        <v>1772</v>
      </c>
      <c r="G123" s="265"/>
      <c r="H123" s="36" t="s">
        <v>1857</v>
      </c>
      <c r="I123" s="36" t="s">
        <v>1858</v>
      </c>
      <c r="L123" s="275"/>
    </row>
    <row r="124" spans="1:12" ht="15">
      <c r="A124" s="36" t="s">
        <v>1862</v>
      </c>
      <c r="B124" s="39">
        <v>46087</v>
      </c>
      <c r="C124" s="31">
        <f xml:space="preserve"> VLOOKUP(E124, $A$3:$E$704, 2, FALSE)</f>
        <v>46080</v>
      </c>
      <c r="D124" s="36" t="s">
        <v>42</v>
      </c>
      <c r="E124" s="11" t="s">
        <v>1740</v>
      </c>
      <c r="F124" s="36" t="s">
        <v>1863</v>
      </c>
      <c r="H124" s="36" t="s">
        <v>1671</v>
      </c>
      <c r="I124" s="36" t="s">
        <v>1864</v>
      </c>
      <c r="J124" s="144">
        <v>46015</v>
      </c>
      <c r="L124" s="275" t="s">
        <v>1865</v>
      </c>
    </row>
    <row r="125" spans="1:12" ht="15">
      <c r="A125" s="12"/>
      <c r="B125" s="229"/>
      <c r="C125" s="31">
        <f xml:space="preserve"> VLOOKUP(E125, $A$3:$E$704, 2, FALSE)</f>
        <v>46072</v>
      </c>
      <c r="D125" s="36" t="s">
        <v>42</v>
      </c>
      <c r="E125" s="150" t="s">
        <v>1648</v>
      </c>
      <c r="F125" s="36" t="s">
        <v>1680</v>
      </c>
      <c r="G125" s="265"/>
      <c r="H125" s="36" t="s">
        <v>1866</v>
      </c>
      <c r="I125" s="36" t="s">
        <v>1867</v>
      </c>
      <c r="J125" s="144">
        <v>45993</v>
      </c>
      <c r="K125" s="275" t="s">
        <v>1431</v>
      </c>
    </row>
    <row r="126" spans="1:12" ht="15">
      <c r="A126" s="305" t="s">
        <v>1868</v>
      </c>
      <c r="B126" s="306">
        <v>46064</v>
      </c>
      <c r="C126" s="31" t="e">
        <f xml:space="preserve"> VLOOKUP(E126, $A$3:$E$704, 2, FALSE)</f>
        <v>#N/A</v>
      </c>
      <c r="D126" s="36" t="s">
        <v>665</v>
      </c>
      <c r="E126" s="150" t="s">
        <v>1869</v>
      </c>
      <c r="F126" s="36" t="s">
        <v>1772</v>
      </c>
      <c r="G126" s="265" t="s">
        <v>793</v>
      </c>
      <c r="H126" s="36" t="s">
        <v>1800</v>
      </c>
      <c r="I126" s="36" t="s">
        <v>1801</v>
      </c>
      <c r="L126" s="275"/>
    </row>
    <row r="127" spans="1:12" ht="15">
      <c r="A127" s="305" t="s">
        <v>1870</v>
      </c>
      <c r="B127" s="306">
        <v>46064</v>
      </c>
      <c r="C127" s="31" t="e">
        <f xml:space="preserve"> VLOOKUP(E127, $A$3:$E$704, 2, FALSE)</f>
        <v>#N/A</v>
      </c>
      <c r="D127" s="36" t="s">
        <v>687</v>
      </c>
      <c r="E127" s="150" t="s">
        <v>1871</v>
      </c>
      <c r="F127" s="36" t="s">
        <v>1872</v>
      </c>
      <c r="G127" s="265" t="s">
        <v>1873</v>
      </c>
      <c r="H127" s="36" t="s">
        <v>1814</v>
      </c>
      <c r="I127" s="36" t="s">
        <v>1874</v>
      </c>
      <c r="J127" s="144">
        <v>45863</v>
      </c>
      <c r="L127" s="146">
        <v>2</v>
      </c>
    </row>
    <row r="128" spans="1:12" ht="15">
      <c r="A128" s="305" t="s">
        <v>1875</v>
      </c>
      <c r="B128" s="306">
        <v>46076</v>
      </c>
      <c r="C128" s="31" t="e">
        <f xml:space="preserve"> VLOOKUP(E128, $A$3:$E$704, 2, FALSE)</f>
        <v>#N/A</v>
      </c>
      <c r="D128" s="36" t="s">
        <v>687</v>
      </c>
      <c r="E128" s="150" t="s">
        <v>1876</v>
      </c>
      <c r="F128" s="36" t="s">
        <v>1452</v>
      </c>
      <c r="G128" s="265" t="s">
        <v>1873</v>
      </c>
      <c r="H128" s="36" t="s">
        <v>1877</v>
      </c>
      <c r="I128" s="36" t="s">
        <v>1878</v>
      </c>
      <c r="L128" s="146" t="s">
        <v>1879</v>
      </c>
    </row>
    <row r="129" spans="1:12" ht="15">
      <c r="A129" s="305" t="s">
        <v>1880</v>
      </c>
      <c r="B129" s="306">
        <v>46087</v>
      </c>
      <c r="C129" s="31">
        <f xml:space="preserve"> VLOOKUP(E129, $A$3:$E$704, 2, FALSE)</f>
        <v>46063</v>
      </c>
      <c r="D129" s="36" t="s">
        <v>687</v>
      </c>
      <c r="E129" s="150" t="s">
        <v>1479</v>
      </c>
      <c r="F129" s="36" t="s">
        <v>1881</v>
      </c>
      <c r="G129" s="265" t="s">
        <v>1882</v>
      </c>
      <c r="H129" s="36" t="s">
        <v>1883</v>
      </c>
      <c r="I129" s="36" t="s">
        <v>1884</v>
      </c>
      <c r="J129" s="144">
        <v>45952</v>
      </c>
      <c r="L129" s="146" t="s">
        <v>1885</v>
      </c>
    </row>
    <row r="130" spans="1:12" ht="15">
      <c r="A130" s="305" t="s">
        <v>1886</v>
      </c>
      <c r="B130" s="306">
        <v>46099</v>
      </c>
      <c r="C130" s="31" t="e">
        <f xml:space="preserve"> VLOOKUP(E130, $A$3:$E$704, 2, FALSE)</f>
        <v>#N/A</v>
      </c>
      <c r="D130" s="36" t="s">
        <v>687</v>
      </c>
      <c r="E130" s="150" t="s">
        <v>1887</v>
      </c>
      <c r="F130" s="36" t="s">
        <v>1258</v>
      </c>
      <c r="G130" s="265" t="s">
        <v>1888</v>
      </c>
      <c r="H130" s="36" t="s">
        <v>1889</v>
      </c>
      <c r="I130" s="36" t="s">
        <v>1890</v>
      </c>
      <c r="J130" s="144">
        <v>45946</v>
      </c>
      <c r="L130" s="146" t="s">
        <v>1807</v>
      </c>
    </row>
    <row r="131" spans="1:12" ht="15">
      <c r="A131" s="305" t="s">
        <v>1891</v>
      </c>
      <c r="B131" s="306">
        <v>46087</v>
      </c>
      <c r="C131" s="31" t="e">
        <f xml:space="preserve"> VLOOKUP(E131, $A$3:$E$704, 2, FALSE)</f>
        <v>#N/A</v>
      </c>
      <c r="D131" s="36" t="s">
        <v>687</v>
      </c>
      <c r="E131" s="150" t="s">
        <v>1892</v>
      </c>
      <c r="F131" s="36" t="s">
        <v>1422</v>
      </c>
      <c r="G131" s="265" t="s">
        <v>1893</v>
      </c>
      <c r="H131" s="36" t="s">
        <v>1889</v>
      </c>
      <c r="I131" s="36" t="s">
        <v>1890</v>
      </c>
      <c r="J131" s="144">
        <v>45946</v>
      </c>
      <c r="L131" s="146" t="s">
        <v>1802</v>
      </c>
    </row>
    <row r="132" spans="1:12" ht="15">
      <c r="A132" s="305" t="s">
        <v>1894</v>
      </c>
      <c r="B132" s="306">
        <v>46083</v>
      </c>
      <c r="C132" s="31">
        <f xml:space="preserve"> VLOOKUP(E132, $A$3:$E$704, 2, FALSE)</f>
        <v>46069</v>
      </c>
      <c r="D132" s="36" t="s">
        <v>687</v>
      </c>
      <c r="E132" s="11" t="s">
        <v>1798</v>
      </c>
      <c r="F132" s="36" t="s">
        <v>1895</v>
      </c>
      <c r="G132" s="160" t="s">
        <v>1896</v>
      </c>
      <c r="H132" s="36" t="s">
        <v>1897</v>
      </c>
      <c r="I132" s="36" t="s">
        <v>1898</v>
      </c>
      <c r="J132" s="144">
        <v>46041</v>
      </c>
      <c r="K132" s="146" t="s">
        <v>1899</v>
      </c>
    </row>
    <row r="133" spans="1:12" ht="15">
      <c r="A133" s="305" t="s">
        <v>1900</v>
      </c>
      <c r="B133" s="306">
        <v>46078</v>
      </c>
      <c r="C133" s="31">
        <f xml:space="preserve"> VLOOKUP(E133, $A$3:$E$704, 2, FALSE)</f>
        <v>46076</v>
      </c>
      <c r="D133" s="36" t="s">
        <v>687</v>
      </c>
      <c r="E133" s="11" t="s">
        <v>1748</v>
      </c>
      <c r="F133" s="36" t="s">
        <v>1452</v>
      </c>
      <c r="G133" s="160" t="s">
        <v>1901</v>
      </c>
      <c r="H133" s="36" t="s">
        <v>1902</v>
      </c>
      <c r="I133" s="36" t="s">
        <v>1903</v>
      </c>
      <c r="J133" s="144">
        <v>46015</v>
      </c>
      <c r="K133" s="146" t="s">
        <v>1904</v>
      </c>
    </row>
    <row r="134" spans="1:12" ht="15">
      <c r="A134" s="12" t="s">
        <v>1905</v>
      </c>
      <c r="B134" s="229">
        <v>46059</v>
      </c>
      <c r="C134" s="31" t="e">
        <f xml:space="preserve"> VLOOKUP(E134, $A$3:$E$704, 2, FALSE)</f>
        <v>#N/A</v>
      </c>
      <c r="D134" s="36" t="s">
        <v>687</v>
      </c>
      <c r="E134" s="150" t="s">
        <v>1906</v>
      </c>
      <c r="F134" s="36" t="s">
        <v>1422</v>
      </c>
      <c r="G134" s="160" t="s">
        <v>1907</v>
      </c>
      <c r="H134" s="36" t="s">
        <v>1908</v>
      </c>
      <c r="I134" s="36" t="s">
        <v>1909</v>
      </c>
      <c r="J134" s="144">
        <v>46015</v>
      </c>
      <c r="L134" s="275" t="s">
        <v>1910</v>
      </c>
    </row>
    <row r="135" spans="1:12" ht="15">
      <c r="A135" s="12" t="s">
        <v>1911</v>
      </c>
      <c r="B135" s="13">
        <v>46076</v>
      </c>
      <c r="C135" s="31">
        <f xml:space="preserve"> VLOOKUP(E135, $A$3:$E$704, 2, FALSE)</f>
        <v>46076</v>
      </c>
      <c r="D135" s="36" t="s">
        <v>687</v>
      </c>
      <c r="E135" s="11" t="s">
        <v>1911</v>
      </c>
      <c r="F135" s="160" t="s">
        <v>1863</v>
      </c>
      <c r="G135" s="160" t="s">
        <v>1896</v>
      </c>
      <c r="H135" s="36" t="s">
        <v>1912</v>
      </c>
      <c r="I135" s="36" t="s">
        <v>1913</v>
      </c>
      <c r="J135" s="144">
        <v>46056</v>
      </c>
      <c r="K135" s="146" t="s">
        <v>1899</v>
      </c>
    </row>
    <row r="136" spans="1:12" ht="15">
      <c r="A136" s="12" t="s">
        <v>1914</v>
      </c>
      <c r="B136" s="13">
        <v>46087</v>
      </c>
      <c r="C136" s="31">
        <f xml:space="preserve"> VLOOKUP(E136, $A$3:$E$704, 2, FALSE)</f>
        <v>46083</v>
      </c>
      <c r="D136" s="36" t="s">
        <v>687</v>
      </c>
      <c r="E136" s="11" t="s">
        <v>1915</v>
      </c>
      <c r="F136" s="36" t="s">
        <v>1916</v>
      </c>
      <c r="G136" s="160" t="s">
        <v>1917</v>
      </c>
      <c r="H136" s="36" t="s">
        <v>1918</v>
      </c>
      <c r="I136" s="36" t="s">
        <v>1919</v>
      </c>
      <c r="J136" s="144">
        <v>46065</v>
      </c>
      <c r="K136" s="146" t="s">
        <v>1899</v>
      </c>
    </row>
    <row r="137" spans="1:12" ht="15">
      <c r="A137" s="305" t="s">
        <v>1920</v>
      </c>
      <c r="B137" s="391">
        <v>46083</v>
      </c>
      <c r="C137" s="31" t="e">
        <f xml:space="preserve"> VLOOKUP(E137, $A$3:$E$704, 2, FALSE)</f>
        <v>#N/A</v>
      </c>
      <c r="D137" s="36" t="s">
        <v>729</v>
      </c>
      <c r="E137" s="150" t="s">
        <v>1921</v>
      </c>
      <c r="F137" s="36" t="s">
        <v>1603</v>
      </c>
      <c r="G137" s="265" t="s">
        <v>1922</v>
      </c>
      <c r="H137" s="36" t="s">
        <v>1923</v>
      </c>
      <c r="I137" s="36" t="s">
        <v>1924</v>
      </c>
      <c r="J137" s="144">
        <v>45993</v>
      </c>
      <c r="L137" s="275" t="s">
        <v>1925</v>
      </c>
    </row>
    <row r="138" spans="1:12" ht="15">
      <c r="A138" s="305" t="s">
        <v>1926</v>
      </c>
      <c r="B138" s="391">
        <v>46087</v>
      </c>
      <c r="C138" s="31">
        <f xml:space="preserve"> VLOOKUP(E138, $A$3:$E$704, 2, FALSE)</f>
        <v>46080</v>
      </c>
      <c r="D138" s="36" t="s">
        <v>729</v>
      </c>
      <c r="E138" s="150" t="s">
        <v>1439</v>
      </c>
      <c r="F138" s="36" t="s">
        <v>1603</v>
      </c>
      <c r="G138" s="265" t="s">
        <v>1927</v>
      </c>
      <c r="H138" s="36" t="s">
        <v>1928</v>
      </c>
      <c r="I138" s="36" t="s">
        <v>1929</v>
      </c>
      <c r="J138" s="144">
        <v>45996</v>
      </c>
      <c r="L138" s="146" t="s">
        <v>1930</v>
      </c>
    </row>
    <row r="139" spans="1:12" ht="15">
      <c r="A139" s="36" t="s">
        <v>1931</v>
      </c>
      <c r="B139" s="30">
        <v>46087</v>
      </c>
      <c r="C139" s="31">
        <f xml:space="preserve"> VLOOKUP(E139, $A$3:$E$704, 2, FALSE)</f>
        <v>46080</v>
      </c>
      <c r="D139" s="36" t="s">
        <v>729</v>
      </c>
      <c r="E139" s="150" t="s">
        <v>1689</v>
      </c>
      <c r="F139" s="36" t="s">
        <v>1441</v>
      </c>
      <c r="G139" s="386"/>
      <c r="H139" s="36" t="s">
        <v>1845</v>
      </c>
      <c r="I139" s="36" t="s">
        <v>1932</v>
      </c>
      <c r="J139" s="144">
        <v>45996</v>
      </c>
      <c r="L139" s="275" t="s">
        <v>1933</v>
      </c>
    </row>
    <row r="140" spans="1:12" ht="15">
      <c r="A140" s="12" t="s">
        <v>1934</v>
      </c>
      <c r="B140" s="229">
        <v>46094</v>
      </c>
      <c r="C140" s="31">
        <f xml:space="preserve"> VLOOKUP(E140, $A$3:$E$704, 2, FALSE)</f>
        <v>46076</v>
      </c>
      <c r="D140" s="36" t="s">
        <v>729</v>
      </c>
      <c r="E140" s="150" t="s">
        <v>1761</v>
      </c>
      <c r="F140" s="36" t="s">
        <v>1645</v>
      </c>
      <c r="G140" s="434"/>
      <c r="H140" s="36" t="s">
        <v>1923</v>
      </c>
      <c r="I140" s="36" t="s">
        <v>1935</v>
      </c>
      <c r="J140" s="144">
        <v>46021</v>
      </c>
      <c r="K140" s="275" t="s">
        <v>1936</v>
      </c>
    </row>
    <row r="141" spans="1:12" ht="15">
      <c r="A141" s="12" t="s">
        <v>1937</v>
      </c>
      <c r="B141" s="229">
        <v>46087</v>
      </c>
      <c r="C141" s="31">
        <f xml:space="preserve"> VLOOKUP(E141, $A$3:$E$704, 2, FALSE)</f>
        <v>46080</v>
      </c>
      <c r="D141" s="36" t="s">
        <v>729</v>
      </c>
      <c r="E141" s="150" t="s">
        <v>1770</v>
      </c>
      <c r="F141" s="36" t="s">
        <v>1772</v>
      </c>
      <c r="G141" s="160" t="s">
        <v>1938</v>
      </c>
      <c r="H141" s="36" t="s">
        <v>1939</v>
      </c>
      <c r="I141" s="36" t="s">
        <v>1940</v>
      </c>
      <c r="L141" s="275"/>
    </row>
    <row r="142" spans="1:12" ht="15">
      <c r="B142" s="39"/>
      <c r="C142" s="31">
        <f xml:space="preserve"> VLOOKUP(E142, $A$3:$E$704, 2, FALSE)</f>
        <v>46086</v>
      </c>
      <c r="D142" s="36" t="s">
        <v>729</v>
      </c>
      <c r="E142" s="11" t="s">
        <v>1808</v>
      </c>
      <c r="F142" s="36" t="s">
        <v>1603</v>
      </c>
      <c r="G142" s="436" t="s">
        <v>730</v>
      </c>
      <c r="H142" s="36" t="s">
        <v>1941</v>
      </c>
      <c r="I142" s="36" t="s">
        <v>1942</v>
      </c>
      <c r="J142" s="144">
        <v>46042</v>
      </c>
      <c r="K142" s="146" t="s">
        <v>1797</v>
      </c>
    </row>
    <row r="143" spans="1:12" ht="15">
      <c r="A143" s="12" t="s">
        <v>1943</v>
      </c>
      <c r="B143" s="229">
        <v>46094</v>
      </c>
      <c r="C143" s="31">
        <f xml:space="preserve"> VLOOKUP(E143, $A$3:$E$704, 2, FALSE)</f>
        <v>46063</v>
      </c>
      <c r="D143" s="36" t="s">
        <v>788</v>
      </c>
      <c r="E143" s="11" t="s">
        <v>1571</v>
      </c>
      <c r="F143" s="36" t="s">
        <v>1603</v>
      </c>
      <c r="G143" s="265" t="s">
        <v>1944</v>
      </c>
      <c r="H143" s="36" t="s">
        <v>1945</v>
      </c>
      <c r="I143" s="36" t="s">
        <v>1946</v>
      </c>
      <c r="J143" s="144">
        <v>45979</v>
      </c>
    </row>
    <row r="144" spans="1:12" ht="15">
      <c r="A144" s="12" t="s">
        <v>1947</v>
      </c>
      <c r="B144" s="229">
        <v>46087</v>
      </c>
      <c r="C144" s="31">
        <f xml:space="preserve"> VLOOKUP(E144, $A$3:$E$704, 2, FALSE)</f>
        <v>46063</v>
      </c>
      <c r="D144" s="36" t="s">
        <v>788</v>
      </c>
      <c r="E144" s="150" t="s">
        <v>1466</v>
      </c>
      <c r="F144" s="36" t="s">
        <v>1680</v>
      </c>
      <c r="G144" s="389" t="s">
        <v>1948</v>
      </c>
      <c r="H144" s="36" t="s">
        <v>1754</v>
      </c>
      <c r="I144" s="36" t="s">
        <v>1949</v>
      </c>
      <c r="J144" s="144">
        <v>45876</v>
      </c>
      <c r="L144" s="146" t="s">
        <v>1756</v>
      </c>
    </row>
    <row r="145" spans="1:12" ht="15">
      <c r="A145" s="12" t="s">
        <v>1915</v>
      </c>
      <c r="B145" s="229">
        <v>46083</v>
      </c>
      <c r="C145" s="31" t="e">
        <f xml:space="preserve"> VLOOKUP(E145, $A$3:$E$704, 2, FALSE)</f>
        <v>#N/A</v>
      </c>
      <c r="D145" s="36" t="s">
        <v>788</v>
      </c>
      <c r="E145" s="150" t="s">
        <v>1950</v>
      </c>
      <c r="F145" s="36" t="s">
        <v>1603</v>
      </c>
      <c r="G145" s="265" t="s">
        <v>793</v>
      </c>
      <c r="H145" s="36" t="s">
        <v>1951</v>
      </c>
      <c r="I145" s="36" t="s">
        <v>1952</v>
      </c>
      <c r="L145" s="146" t="s">
        <v>1953</v>
      </c>
    </row>
    <row r="146" spans="1:12" ht="15">
      <c r="A146" s="12" t="s">
        <v>1954</v>
      </c>
      <c r="B146" s="229">
        <v>46090</v>
      </c>
      <c r="C146" s="31">
        <f xml:space="preserve"> VLOOKUP(E146, $A$3:$E$704, 2, FALSE)</f>
        <v>46063</v>
      </c>
      <c r="D146" s="36" t="s">
        <v>788</v>
      </c>
      <c r="E146" s="370" t="s">
        <v>1518</v>
      </c>
      <c r="F146" s="36" t="s">
        <v>1603</v>
      </c>
      <c r="G146" s="265" t="s">
        <v>1955</v>
      </c>
      <c r="H146" s="36" t="s">
        <v>1956</v>
      </c>
      <c r="I146" s="36" t="s">
        <v>1957</v>
      </c>
      <c r="L146" s="146" t="s">
        <v>1958</v>
      </c>
    </row>
    <row r="147" spans="1:12" ht="15">
      <c r="A147" s="12" t="s">
        <v>1959</v>
      </c>
      <c r="B147" s="229">
        <v>46090</v>
      </c>
      <c r="C147" s="31" t="e">
        <f xml:space="preserve"> VLOOKUP(E147, $A$3:$E$704, 2, FALSE)</f>
        <v>#N/A</v>
      </c>
      <c r="D147" s="36" t="s">
        <v>788</v>
      </c>
      <c r="E147" s="150" t="s">
        <v>1960</v>
      </c>
      <c r="F147" s="36" t="s">
        <v>1961</v>
      </c>
      <c r="G147" s="160" t="s">
        <v>1962</v>
      </c>
      <c r="H147" s="36" t="s">
        <v>1963</v>
      </c>
      <c r="I147" s="36" t="s">
        <v>1964</v>
      </c>
      <c r="J147" s="144" t="s">
        <v>1965</v>
      </c>
      <c r="L147" s="146" t="s">
        <v>1966</v>
      </c>
    </row>
    <row r="148" spans="1:12" ht="15">
      <c r="A148" s="36" t="s">
        <v>1967</v>
      </c>
      <c r="B148" s="39">
        <v>46090</v>
      </c>
      <c r="C148" s="31">
        <f xml:space="preserve"> VLOOKUP(E148, $A$3:$E$704, 2, FALSE)</f>
        <v>46008</v>
      </c>
      <c r="D148" s="36" t="s">
        <v>788</v>
      </c>
      <c r="E148" s="11" t="s">
        <v>1678</v>
      </c>
      <c r="F148" s="36" t="s">
        <v>1772</v>
      </c>
      <c r="G148" s="265" t="s">
        <v>1968</v>
      </c>
      <c r="H148" s="36" t="s">
        <v>1945</v>
      </c>
      <c r="I148" s="36" t="s">
        <v>1946</v>
      </c>
    </row>
    <row r="149" spans="1:12" ht="15">
      <c r="A149" s="12" t="s">
        <v>1969</v>
      </c>
      <c r="B149" s="229">
        <v>46090</v>
      </c>
      <c r="C149" s="31">
        <f xml:space="preserve"> VLOOKUP(E149, $A$3:$E$704, 2, FALSE)</f>
        <v>46069</v>
      </c>
      <c r="D149" s="36" t="s">
        <v>788</v>
      </c>
      <c r="E149" s="150" t="s">
        <v>1693</v>
      </c>
      <c r="F149" s="36" t="s">
        <v>1970</v>
      </c>
      <c r="G149" s="160" t="s">
        <v>1971</v>
      </c>
      <c r="H149" s="36" t="s">
        <v>1845</v>
      </c>
      <c r="I149" s="36" t="s">
        <v>1972</v>
      </c>
      <c r="J149" s="144">
        <v>46000</v>
      </c>
      <c r="L149" s="275" t="s">
        <v>1933</v>
      </c>
    </row>
    <row r="150" spans="1:12" ht="15">
      <c r="A150" s="12" t="s">
        <v>1973</v>
      </c>
      <c r="B150" s="229">
        <v>46090</v>
      </c>
      <c r="C150" s="31">
        <f xml:space="preserve"> VLOOKUP(E150, $A$3:$E$704, 2, FALSE)</f>
        <v>46042</v>
      </c>
      <c r="D150" s="36" t="s">
        <v>788</v>
      </c>
      <c r="E150" s="11" t="s">
        <v>1735</v>
      </c>
      <c r="F150" s="36" t="s">
        <v>1863</v>
      </c>
      <c r="H150" s="36" t="s">
        <v>1805</v>
      </c>
      <c r="I150" s="36" t="s">
        <v>1974</v>
      </c>
      <c r="J150" s="144">
        <v>46015</v>
      </c>
      <c r="L150" s="275" t="s">
        <v>1865</v>
      </c>
    </row>
    <row r="151" spans="1:12" ht="15">
      <c r="A151" s="12" t="s">
        <v>1975</v>
      </c>
      <c r="B151" s="229">
        <v>46090</v>
      </c>
      <c r="C151" s="31">
        <f xml:space="preserve"> VLOOKUP(E151, $A$3:$E$704, 2, FALSE)</f>
        <v>46055</v>
      </c>
      <c r="D151" s="36" t="s">
        <v>788</v>
      </c>
      <c r="E151" s="150" t="s">
        <v>1576</v>
      </c>
      <c r="F151" s="36" t="s">
        <v>1881</v>
      </c>
      <c r="G151" s="160" t="s">
        <v>1976</v>
      </c>
      <c r="H151" s="36" t="s">
        <v>1977</v>
      </c>
      <c r="I151" s="36" t="s">
        <v>1898</v>
      </c>
      <c r="J151" s="144">
        <v>46006.479166666664</v>
      </c>
      <c r="L151" s="146" t="s">
        <v>1978</v>
      </c>
    </row>
    <row r="152" spans="1:12" ht="15">
      <c r="A152" s="36" t="s">
        <v>1979</v>
      </c>
      <c r="B152" s="39">
        <v>46090</v>
      </c>
      <c r="C152" s="31">
        <f xml:space="preserve"> VLOOKUP(E152, $A$3:$E$704, 2, FALSE)</f>
        <v>46050</v>
      </c>
      <c r="D152" s="36" t="s">
        <v>788</v>
      </c>
      <c r="E152" s="11" t="s">
        <v>1579</v>
      </c>
      <c r="F152" s="36" t="s">
        <v>1863</v>
      </c>
      <c r="G152" s="265"/>
      <c r="H152" s="36" t="s">
        <v>1819</v>
      </c>
      <c r="I152" s="36" t="s">
        <v>1980</v>
      </c>
    </row>
    <row r="153" spans="1:12" ht="15">
      <c r="A153" s="12" t="s">
        <v>1981</v>
      </c>
      <c r="B153" s="229">
        <v>46090</v>
      </c>
      <c r="C153" s="31" t="e">
        <f xml:space="preserve"> VLOOKUP(E153, $A$3:$E$704, 2, FALSE)</f>
        <v>#N/A</v>
      </c>
      <c r="D153" s="36" t="s">
        <v>788</v>
      </c>
      <c r="E153" s="150" t="s">
        <v>1982</v>
      </c>
      <c r="F153" s="36" t="s">
        <v>1258</v>
      </c>
      <c r="G153" s="265" t="s">
        <v>1983</v>
      </c>
      <c r="H153" s="36" t="s">
        <v>1984</v>
      </c>
      <c r="I153" s="36" t="s">
        <v>1985</v>
      </c>
      <c r="J153" s="144">
        <v>45959</v>
      </c>
      <c r="L153" s="369" t="s">
        <v>1986</v>
      </c>
    </row>
    <row r="154" spans="1:12" ht="15">
      <c r="A154" s="12" t="s">
        <v>1987</v>
      </c>
      <c r="B154" s="229">
        <v>46090</v>
      </c>
      <c r="C154" s="31" t="e">
        <f xml:space="preserve"> VLOOKUP(E154, $A$3:$E$704, 2, FALSE)</f>
        <v>#N/A</v>
      </c>
      <c r="D154" s="36" t="s">
        <v>788</v>
      </c>
      <c r="E154" s="150" t="s">
        <v>1988</v>
      </c>
      <c r="F154" s="36" t="s">
        <v>1666</v>
      </c>
      <c r="G154" s="265" t="s">
        <v>1983</v>
      </c>
      <c r="H154" s="36" t="s">
        <v>1984</v>
      </c>
      <c r="I154" s="36" t="s">
        <v>1985</v>
      </c>
      <c r="J154" s="144">
        <v>45959</v>
      </c>
      <c r="L154" s="146" t="s">
        <v>1989</v>
      </c>
    </row>
    <row r="155" spans="1:12" ht="15">
      <c r="A155" s="12" t="s">
        <v>1990</v>
      </c>
      <c r="B155" s="229">
        <v>46090</v>
      </c>
      <c r="C155" s="31">
        <f xml:space="preserve"> VLOOKUP(E155, $A$3:$E$704, 2, FALSE)</f>
        <v>46076</v>
      </c>
      <c r="D155" s="36" t="s">
        <v>788</v>
      </c>
      <c r="E155" s="150" t="s">
        <v>1669</v>
      </c>
      <c r="F155" s="36" t="s">
        <v>1772</v>
      </c>
      <c r="G155" s="160" t="s">
        <v>793</v>
      </c>
      <c r="H155" s="36" t="s">
        <v>1655</v>
      </c>
      <c r="I155" s="36" t="s">
        <v>1991</v>
      </c>
      <c r="J155" s="144">
        <v>45994</v>
      </c>
      <c r="L155" s="275" t="s">
        <v>1992</v>
      </c>
    </row>
    <row r="156" spans="1:12" ht="15">
      <c r="A156" s="36" t="s">
        <v>1993</v>
      </c>
      <c r="B156" s="39">
        <v>46090</v>
      </c>
      <c r="C156" s="31">
        <f xml:space="preserve"> VLOOKUP(E156, $A$3:$E$704, 2, FALSE)</f>
        <v>46069</v>
      </c>
      <c r="D156" s="36" t="s">
        <v>788</v>
      </c>
      <c r="E156" s="11" t="s">
        <v>1793</v>
      </c>
      <c r="F156" s="36" t="s">
        <v>1863</v>
      </c>
      <c r="H156" s="36" t="s">
        <v>1994</v>
      </c>
      <c r="I156" s="36" t="s">
        <v>1995</v>
      </c>
      <c r="J156" s="144">
        <v>46042</v>
      </c>
      <c r="K156" s="146" t="s">
        <v>1899</v>
      </c>
    </row>
    <row r="157" spans="1:12" ht="15">
      <c r="A157" s="36" t="s">
        <v>1996</v>
      </c>
      <c r="B157" s="39">
        <v>46090</v>
      </c>
      <c r="C157" s="31">
        <f xml:space="preserve"> VLOOKUP(E157, $A$3:$E$704, 2, FALSE)</f>
        <v>46083</v>
      </c>
      <c r="D157" s="36" t="s">
        <v>992</v>
      </c>
      <c r="E157" s="11" t="s">
        <v>1752</v>
      </c>
      <c r="F157" s="36" t="s">
        <v>1603</v>
      </c>
      <c r="G157" s="265" t="s">
        <v>1997</v>
      </c>
      <c r="H157" s="36" t="s">
        <v>1998</v>
      </c>
      <c r="I157" s="36" t="s">
        <v>1999</v>
      </c>
      <c r="J157" s="144">
        <v>46037</v>
      </c>
      <c r="K157" s="146" t="s">
        <v>1899</v>
      </c>
    </row>
    <row r="158" spans="1:12" ht="15">
      <c r="A158" s="36" t="s">
        <v>2000</v>
      </c>
      <c r="B158" s="39">
        <v>46087</v>
      </c>
      <c r="C158" s="31">
        <f xml:space="preserve"> VLOOKUP(E158, $A$3:$E$704, 2, FALSE)</f>
        <v>46140</v>
      </c>
      <c r="D158" s="36" t="s">
        <v>992</v>
      </c>
      <c r="E158" s="11" t="s">
        <v>1822</v>
      </c>
      <c r="F158" s="160" t="s">
        <v>396</v>
      </c>
      <c r="G158" s="160" t="s">
        <v>2001</v>
      </c>
      <c r="H158" s="36" t="s">
        <v>1994</v>
      </c>
      <c r="I158" s="36" t="s">
        <v>2002</v>
      </c>
      <c r="J158" s="144" t="s">
        <v>2003</v>
      </c>
      <c r="K158" s="144" t="s">
        <v>1899</v>
      </c>
      <c r="L158" s="275" t="s">
        <v>2004</v>
      </c>
    </row>
    <row r="159" spans="1:12" ht="15">
      <c r="A159" s="36" t="s">
        <v>2005</v>
      </c>
      <c r="B159" s="39">
        <v>46132</v>
      </c>
      <c r="C159" s="31">
        <f xml:space="preserve"> VLOOKUP(E159, $A$3:$E$704, 2, FALSE)</f>
        <v>46237</v>
      </c>
      <c r="D159" s="36" t="s">
        <v>992</v>
      </c>
      <c r="E159" s="11" t="s">
        <v>1847</v>
      </c>
      <c r="F159" s="160" t="s">
        <v>396</v>
      </c>
      <c r="G159" s="371" t="s">
        <v>2006</v>
      </c>
      <c r="H159" s="36" t="s">
        <v>2007</v>
      </c>
      <c r="I159" s="36" t="s">
        <v>2008</v>
      </c>
      <c r="J159" s="144" t="s">
        <v>2009</v>
      </c>
      <c r="K159" s="146" t="s">
        <v>1797</v>
      </c>
      <c r="L159" s="368" t="s">
        <v>2010</v>
      </c>
    </row>
    <row r="160" spans="1:12" ht="15">
      <c r="A160" s="36" t="s">
        <v>2011</v>
      </c>
      <c r="B160" s="39">
        <v>46090</v>
      </c>
      <c r="C160" s="31">
        <f xml:space="preserve"> VLOOKUP(E160, $A$3:$E$704, 2, FALSE)</f>
        <v>46077</v>
      </c>
      <c r="D160" s="36" t="s">
        <v>992</v>
      </c>
      <c r="E160" s="11" t="s">
        <v>1724</v>
      </c>
      <c r="F160" s="36" t="s">
        <v>1427</v>
      </c>
      <c r="G160" s="160" t="s">
        <v>2012</v>
      </c>
      <c r="H160" s="36" t="s">
        <v>2013</v>
      </c>
      <c r="I160" s="36" t="s">
        <v>2014</v>
      </c>
    </row>
    <row r="161" spans="1:12" ht="15">
      <c r="A161" s="12" t="s">
        <v>2015</v>
      </c>
      <c r="B161" s="229">
        <v>46087</v>
      </c>
      <c r="C161" s="31">
        <f xml:space="preserve"> VLOOKUP(E161, $A$3:$E$704, 2, FALSE)</f>
        <v>46097</v>
      </c>
      <c r="D161" s="36" t="s">
        <v>992</v>
      </c>
      <c r="E161" s="150" t="s">
        <v>1457</v>
      </c>
      <c r="F161" s="36" t="s">
        <v>1603</v>
      </c>
      <c r="G161" s="265" t="s">
        <v>2016</v>
      </c>
      <c r="H161" s="36" t="s">
        <v>1423</v>
      </c>
      <c r="I161" s="36" t="s">
        <v>2017</v>
      </c>
      <c r="L161" s="146" t="s">
        <v>2018</v>
      </c>
    </row>
    <row r="162" spans="1:12" ht="15">
      <c r="A162" s="12" t="s">
        <v>2019</v>
      </c>
      <c r="B162" s="229">
        <v>46076</v>
      </c>
      <c r="C162" s="31">
        <f xml:space="preserve"> VLOOKUP(E162, $A$3:$E$704, 2, FALSE)</f>
        <v>46192</v>
      </c>
      <c r="D162" s="36" t="s">
        <v>992</v>
      </c>
      <c r="E162" s="150" t="s">
        <v>1432</v>
      </c>
      <c r="F162" s="36" t="s">
        <v>1441</v>
      </c>
      <c r="G162" s="265" t="s">
        <v>2020</v>
      </c>
      <c r="H162" s="36" t="s">
        <v>2013</v>
      </c>
      <c r="I162" s="36" t="s">
        <v>2021</v>
      </c>
      <c r="J162" s="144">
        <v>45833</v>
      </c>
      <c r="L162" s="146" t="s">
        <v>2022</v>
      </c>
    </row>
    <row r="163" spans="1:12" ht="36">
      <c r="A163" s="12" t="s">
        <v>2023</v>
      </c>
      <c r="B163" s="229">
        <v>46090</v>
      </c>
      <c r="C163" s="31" t="e">
        <f xml:space="preserve"> VLOOKUP(E163, $A$3:$E$704, 2, FALSE)</f>
        <v>#N/A</v>
      </c>
      <c r="D163" s="36" t="s">
        <v>992</v>
      </c>
      <c r="E163" s="150" t="s">
        <v>2024</v>
      </c>
      <c r="F163" s="36" t="s">
        <v>1666</v>
      </c>
      <c r="G163" s="265">
        <v>46042</v>
      </c>
      <c r="H163" s="36" t="s">
        <v>2025</v>
      </c>
      <c r="I163" s="36" t="s">
        <v>2026</v>
      </c>
      <c r="L163" s="146" t="s">
        <v>2027</v>
      </c>
    </row>
    <row r="164" spans="1:12" ht="15">
      <c r="A164" s="12" t="s">
        <v>2028</v>
      </c>
      <c r="B164" s="229">
        <v>46090</v>
      </c>
      <c r="C164" s="31" t="e">
        <f xml:space="preserve"> VLOOKUP(E164, $A$3:$E$704, 2, FALSE)</f>
        <v>#N/A</v>
      </c>
      <c r="D164" s="36" t="s">
        <v>992</v>
      </c>
      <c r="E164" s="150" t="s">
        <v>2029</v>
      </c>
      <c r="F164" s="36" t="s">
        <v>1258</v>
      </c>
      <c r="G164" s="265"/>
      <c r="H164" s="36" t="s">
        <v>2025</v>
      </c>
      <c r="I164" s="36" t="s">
        <v>2026</v>
      </c>
      <c r="L164" s="146" t="s">
        <v>2030</v>
      </c>
    </row>
    <row r="165" spans="1:12" ht="15">
      <c r="A165" s="12" t="s">
        <v>2031</v>
      </c>
      <c r="B165" s="229">
        <v>46092</v>
      </c>
      <c r="C165" s="31" t="e">
        <f xml:space="preserve"> VLOOKUP(E165, $A$3:$E$704, 2, FALSE)</f>
        <v>#N/A</v>
      </c>
      <c r="D165" s="36" t="s">
        <v>992</v>
      </c>
      <c r="E165" s="150" t="s">
        <v>2032</v>
      </c>
      <c r="F165" s="36" t="s">
        <v>1422</v>
      </c>
      <c r="G165" s="265"/>
      <c r="H165" s="36" t="s">
        <v>1908</v>
      </c>
      <c r="I165" s="36" t="s">
        <v>1909</v>
      </c>
      <c r="J165" s="144">
        <v>45922</v>
      </c>
      <c r="L165" s="275" t="s">
        <v>2033</v>
      </c>
    </row>
    <row r="166" spans="1:12" ht="15">
      <c r="A166" s="12" t="s">
        <v>2034</v>
      </c>
      <c r="B166" s="229">
        <v>46092</v>
      </c>
      <c r="C166" s="31" t="e">
        <f xml:space="preserve"> VLOOKUP(E166, $A$3:$E$704, 2, FALSE)</f>
        <v>#N/A</v>
      </c>
      <c r="D166" s="36" t="s">
        <v>992</v>
      </c>
      <c r="E166" s="150" t="s">
        <v>2035</v>
      </c>
      <c r="F166" s="36" t="s">
        <v>1603</v>
      </c>
      <c r="G166" s="265" t="s">
        <v>2036</v>
      </c>
      <c r="H166" s="36" t="s">
        <v>2037</v>
      </c>
      <c r="I166" s="36" t="s">
        <v>2038</v>
      </c>
      <c r="J166" s="144">
        <v>45944</v>
      </c>
      <c r="L166" s="146" t="s">
        <v>2039</v>
      </c>
    </row>
    <row r="167" spans="1:12" ht="15">
      <c r="A167" s="12" t="s">
        <v>2040</v>
      </c>
      <c r="B167" s="229">
        <v>46092</v>
      </c>
      <c r="C167" s="31">
        <f xml:space="preserve"> VLOOKUP(E167, $A$3:$E$704, 2, FALSE)</f>
        <v>46097</v>
      </c>
      <c r="D167" s="36" t="s">
        <v>992</v>
      </c>
      <c r="E167" s="150" t="s">
        <v>1514</v>
      </c>
      <c r="F167" s="36" t="s">
        <v>1603</v>
      </c>
      <c r="G167" s="265"/>
      <c r="H167" s="36" t="s">
        <v>1436</v>
      </c>
      <c r="I167" s="36" t="s">
        <v>2041</v>
      </c>
      <c r="J167" s="144">
        <v>45943</v>
      </c>
      <c r="L167" s="146" t="s">
        <v>2042</v>
      </c>
    </row>
    <row r="168" spans="1:12" ht="36">
      <c r="A168" s="12" t="s">
        <v>2043</v>
      </c>
      <c r="B168" s="229">
        <v>46092</v>
      </c>
      <c r="C168" s="31">
        <f xml:space="preserve"> VLOOKUP(E168, $A$3:$E$704, 2, FALSE)</f>
        <v>46119</v>
      </c>
      <c r="D168" s="36" t="s">
        <v>992</v>
      </c>
      <c r="E168" s="11" t="s">
        <v>1482</v>
      </c>
      <c r="F168" s="36" t="s">
        <v>1881</v>
      </c>
      <c r="G168" s="265" t="s">
        <v>2044</v>
      </c>
      <c r="H168" s="36" t="s">
        <v>2045</v>
      </c>
      <c r="I168" s="36" t="s">
        <v>2046</v>
      </c>
      <c r="J168" s="144">
        <v>45938</v>
      </c>
      <c r="L168" s="146" t="s">
        <v>2047</v>
      </c>
    </row>
    <row r="169" spans="1:12" ht="15">
      <c r="A169" s="12" t="s">
        <v>2048</v>
      </c>
      <c r="B169" s="229">
        <v>46092</v>
      </c>
      <c r="C169" s="31">
        <f xml:space="preserve"> VLOOKUP(E169, $A$3:$E$704, 2, FALSE)</f>
        <v>46097</v>
      </c>
      <c r="D169" s="36" t="s">
        <v>992</v>
      </c>
      <c r="E169" s="150" t="s">
        <v>1516</v>
      </c>
      <c r="F169" s="36" t="s">
        <v>1603</v>
      </c>
      <c r="G169" s="265"/>
      <c r="H169" s="36" t="s">
        <v>1828</v>
      </c>
      <c r="I169" s="36" t="s">
        <v>2049</v>
      </c>
      <c r="J169" s="144">
        <v>45936</v>
      </c>
      <c r="L169" s="146" t="s">
        <v>2050</v>
      </c>
    </row>
    <row r="170" spans="1:12" ht="15">
      <c r="A170" s="36" t="s">
        <v>2051</v>
      </c>
      <c r="B170" s="39">
        <v>46092</v>
      </c>
      <c r="C170" s="31">
        <f xml:space="preserve"> VLOOKUP(E170, $A$3:$E$704, 2, FALSE)</f>
        <v>46090</v>
      </c>
      <c r="D170" s="36" t="s">
        <v>992</v>
      </c>
      <c r="E170" s="11" t="s">
        <v>1555</v>
      </c>
      <c r="F170" s="36" t="s">
        <v>1427</v>
      </c>
      <c r="G170" s="160" t="s">
        <v>2052</v>
      </c>
      <c r="H170" s="36" t="s">
        <v>1883</v>
      </c>
      <c r="I170" s="36" t="s">
        <v>2053</v>
      </c>
      <c r="L170" s="146" t="s">
        <v>2054</v>
      </c>
    </row>
    <row r="171" spans="1:12" ht="15">
      <c r="A171" s="36" t="s">
        <v>2055</v>
      </c>
      <c r="B171" s="39">
        <v>46087</v>
      </c>
      <c r="C171" s="31">
        <f xml:space="preserve"> VLOOKUP(E171, $A$3:$E$704, 2, FALSE)</f>
        <v>46076</v>
      </c>
      <c r="D171" s="36" t="s">
        <v>992</v>
      </c>
      <c r="E171" s="11" t="s">
        <v>1568</v>
      </c>
      <c r="F171" s="36" t="s">
        <v>1603</v>
      </c>
      <c r="G171" s="265" t="s">
        <v>2056</v>
      </c>
      <c r="H171" s="36" t="s">
        <v>2057</v>
      </c>
      <c r="I171" s="36" t="s">
        <v>2058</v>
      </c>
      <c r="J171" s="144">
        <v>45978</v>
      </c>
      <c r="L171" s="275" t="s">
        <v>2059</v>
      </c>
    </row>
    <row r="172" spans="1:12" ht="15">
      <c r="A172" s="12" t="s">
        <v>2060</v>
      </c>
      <c r="B172" s="229">
        <v>46087</v>
      </c>
      <c r="C172" s="31">
        <f xml:space="preserve"> VLOOKUP(E172, $A$3:$E$704, 2, FALSE)</f>
        <v>46097</v>
      </c>
      <c r="D172" s="36" t="s">
        <v>992</v>
      </c>
      <c r="E172" s="11" t="s">
        <v>1529</v>
      </c>
      <c r="F172" s="36" t="s">
        <v>1772</v>
      </c>
      <c r="G172" s="265" t="s">
        <v>2061</v>
      </c>
      <c r="H172" s="36" t="s">
        <v>2037</v>
      </c>
      <c r="I172" s="36" t="s">
        <v>2038</v>
      </c>
      <c r="L172" s="146" t="s">
        <v>2062</v>
      </c>
    </row>
    <row r="173" spans="1:12" ht="15">
      <c r="A173" s="12" t="s">
        <v>2063</v>
      </c>
      <c r="B173" s="229">
        <v>46087</v>
      </c>
      <c r="C173" s="31" t="e">
        <f xml:space="preserve"> VLOOKUP(E173, $A$3:$E$704, 2, FALSE)</f>
        <v>#N/A</v>
      </c>
      <c r="D173" s="36" t="s">
        <v>992</v>
      </c>
      <c r="E173" s="150" t="s">
        <v>2064</v>
      </c>
      <c r="F173" s="36" t="s">
        <v>1603</v>
      </c>
      <c r="G173" s="265"/>
      <c r="H173" s="36" t="s">
        <v>2065</v>
      </c>
      <c r="I173" s="36" t="s">
        <v>2066</v>
      </c>
      <c r="J173" s="144">
        <v>45985</v>
      </c>
      <c r="L173" s="146" t="s">
        <v>2067</v>
      </c>
    </row>
    <row r="174" spans="1:12" ht="15">
      <c r="A174" s="12" t="s">
        <v>2068</v>
      </c>
      <c r="B174" s="229">
        <v>46087</v>
      </c>
      <c r="C174" s="31" t="e">
        <f xml:space="preserve"> VLOOKUP(E174, $A$3:$E$704, 2, FALSE)</f>
        <v>#N/A</v>
      </c>
      <c r="D174" s="36" t="s">
        <v>992</v>
      </c>
      <c r="E174" s="150" t="s">
        <v>2069</v>
      </c>
      <c r="F174" s="36" t="s">
        <v>1422</v>
      </c>
      <c r="H174" s="36" t="s">
        <v>1883</v>
      </c>
      <c r="I174" s="36" t="s">
        <v>2070</v>
      </c>
      <c r="J174" s="144">
        <v>45973</v>
      </c>
      <c r="L174" s="275" t="s">
        <v>2071</v>
      </c>
    </row>
    <row r="175" spans="1:12" ht="15">
      <c r="A175" s="36" t="s">
        <v>2072</v>
      </c>
      <c r="B175" s="39">
        <v>46087</v>
      </c>
      <c r="C175" s="31" t="e">
        <f xml:space="preserve"> VLOOKUP(E175, $A$3:$E$704, 2, FALSE)</f>
        <v>#N/A</v>
      </c>
      <c r="D175" s="36" t="s">
        <v>992</v>
      </c>
      <c r="E175" s="11" t="s">
        <v>2073</v>
      </c>
      <c r="F175" s="36" t="s">
        <v>1881</v>
      </c>
      <c r="G175" s="265" t="s">
        <v>2074</v>
      </c>
      <c r="H175" s="36" t="s">
        <v>1883</v>
      </c>
      <c r="I175" s="36" t="s">
        <v>2075</v>
      </c>
      <c r="J175" s="144">
        <v>45973</v>
      </c>
      <c r="L175" s="146" t="s">
        <v>2076</v>
      </c>
    </row>
    <row r="176" spans="1:12" ht="60">
      <c r="A176" s="12" t="s">
        <v>2077</v>
      </c>
      <c r="B176" s="229">
        <v>46077</v>
      </c>
      <c r="C176" s="31">
        <f xml:space="preserve"> VLOOKUP(E176, $A$3:$E$704, 2, FALSE)</f>
        <v>46296</v>
      </c>
      <c r="D176" s="36" t="s">
        <v>992</v>
      </c>
      <c r="E176" s="150" t="s">
        <v>1464</v>
      </c>
      <c r="F176" s="36" t="s">
        <v>1881</v>
      </c>
      <c r="G176" s="265">
        <v>46296</v>
      </c>
      <c r="H176" s="36" t="s">
        <v>2078</v>
      </c>
      <c r="I176" s="36" t="s">
        <v>2079</v>
      </c>
      <c r="J176" s="144">
        <v>45956</v>
      </c>
      <c r="L176" s="146" t="s">
        <v>2080</v>
      </c>
    </row>
    <row r="177" spans="1:12" ht="15">
      <c r="A177" s="36" t="s">
        <v>2081</v>
      </c>
      <c r="B177" s="39">
        <v>46092</v>
      </c>
      <c r="C177" s="31">
        <f xml:space="preserve"> VLOOKUP(E177, $A$3:$E$704, 2, FALSE)</f>
        <v>46097</v>
      </c>
      <c r="D177" s="36" t="s">
        <v>992</v>
      </c>
      <c r="E177" s="11" t="s">
        <v>1635</v>
      </c>
      <c r="F177" s="36" t="s">
        <v>1603</v>
      </c>
      <c r="G177" s="265"/>
      <c r="H177" s="36" t="s">
        <v>1727</v>
      </c>
      <c r="I177" s="36" t="s">
        <v>2082</v>
      </c>
      <c r="J177" s="144">
        <v>45987</v>
      </c>
      <c r="L177" s="275" t="s">
        <v>2083</v>
      </c>
    </row>
    <row r="178" spans="1:12" ht="15">
      <c r="A178" s="36" t="s">
        <v>2084</v>
      </c>
      <c r="B178" s="39">
        <v>46092</v>
      </c>
      <c r="C178" s="31">
        <f xml:space="preserve"> VLOOKUP(E178, $A$3:$E$704, 2, FALSE)</f>
        <v>46149</v>
      </c>
      <c r="D178" s="36" t="s">
        <v>992</v>
      </c>
      <c r="E178" s="11" t="s">
        <v>1471</v>
      </c>
      <c r="F178" s="36" t="s">
        <v>1422</v>
      </c>
      <c r="G178" s="265" t="s">
        <v>2085</v>
      </c>
      <c r="H178" s="36" t="s">
        <v>2086</v>
      </c>
      <c r="I178" s="36" t="s">
        <v>2087</v>
      </c>
      <c r="J178" s="144">
        <v>45987</v>
      </c>
      <c r="L178" s="146" t="s">
        <v>2088</v>
      </c>
    </row>
    <row r="179" spans="1:12" ht="36">
      <c r="A179" s="12" t="s">
        <v>2089</v>
      </c>
      <c r="B179" s="229">
        <v>46092</v>
      </c>
      <c r="C179" s="31">
        <f xml:space="preserve"> VLOOKUP(E179, $A$3:$E$704, 2, FALSE)</f>
        <v>46076</v>
      </c>
      <c r="D179" s="36" t="s">
        <v>992</v>
      </c>
      <c r="E179" s="11" t="s">
        <v>1558</v>
      </c>
      <c r="F179" s="36" t="s">
        <v>1603</v>
      </c>
      <c r="G179" s="265"/>
      <c r="H179" s="36" t="s">
        <v>1646</v>
      </c>
      <c r="I179" s="36" t="s">
        <v>2090</v>
      </c>
      <c r="J179" s="144">
        <v>45996</v>
      </c>
      <c r="L179" s="146" t="s">
        <v>2091</v>
      </c>
    </row>
    <row r="180" spans="1:12" ht="24">
      <c r="A180" s="12"/>
      <c r="B180" s="229"/>
      <c r="C180" s="31">
        <f xml:space="preserve"> VLOOKUP(E180, $A$3:$E$704, 2, FALSE)</f>
        <v>46114</v>
      </c>
      <c r="D180" s="36" t="s">
        <v>992</v>
      </c>
      <c r="E180" s="150" t="s">
        <v>1697</v>
      </c>
      <c r="F180" s="36" t="s">
        <v>1680</v>
      </c>
      <c r="G180" s="265" t="s">
        <v>2092</v>
      </c>
      <c r="H180" s="36" t="s">
        <v>2093</v>
      </c>
      <c r="I180" s="36" t="s">
        <v>2094</v>
      </c>
      <c r="J180" s="144">
        <v>45999</v>
      </c>
      <c r="L180" s="275" t="s">
        <v>2095</v>
      </c>
    </row>
    <row r="181" spans="1:12" ht="24">
      <c r="A181" s="12"/>
      <c r="B181" s="229"/>
      <c r="C181" s="31">
        <f xml:space="preserve"> VLOOKUP(E181, $A$3:$E$704, 2, FALSE)</f>
        <v>46097</v>
      </c>
      <c r="D181" s="36" t="s">
        <v>992</v>
      </c>
      <c r="E181" s="150" t="s">
        <v>1506</v>
      </c>
      <c r="F181" s="36" t="s">
        <v>1603</v>
      </c>
      <c r="G181" s="265" t="s">
        <v>2096</v>
      </c>
      <c r="H181" s="36" t="s">
        <v>2097</v>
      </c>
      <c r="I181" s="36" t="s">
        <v>2098</v>
      </c>
      <c r="J181" s="144">
        <v>45944</v>
      </c>
      <c r="L181" s="146" t="s">
        <v>2099</v>
      </c>
    </row>
    <row r="182" spans="1:12" ht="15">
      <c r="A182" s="12"/>
      <c r="B182" s="229"/>
      <c r="C182" s="31">
        <f xml:space="preserve"> VLOOKUP(E182, $A$3:$E$704, 2, FALSE)</f>
        <v>46084</v>
      </c>
      <c r="D182" s="36" t="s">
        <v>992</v>
      </c>
      <c r="E182" s="293" t="s">
        <v>1704</v>
      </c>
      <c r="F182" s="36" t="s">
        <v>1603</v>
      </c>
      <c r="H182" s="36" t="s">
        <v>2100</v>
      </c>
      <c r="I182" s="36" t="s">
        <v>2101</v>
      </c>
      <c r="L182" s="275" t="s">
        <v>2102</v>
      </c>
    </row>
    <row r="183" spans="1:12" ht="15">
      <c r="A183" s="12"/>
      <c r="B183" s="229"/>
      <c r="C183" s="31">
        <f xml:space="preserve"> VLOOKUP(E183, $A$3:$E$704, 2, FALSE)</f>
        <v>46091</v>
      </c>
      <c r="D183" s="36" t="s">
        <v>992</v>
      </c>
      <c r="E183" s="150" t="s">
        <v>1607</v>
      </c>
      <c r="F183" s="36" t="s">
        <v>1603</v>
      </c>
      <c r="G183" s="160" t="s">
        <v>2103</v>
      </c>
      <c r="H183" s="36" t="s">
        <v>1776</v>
      </c>
      <c r="I183" s="36" t="s">
        <v>2104</v>
      </c>
      <c r="J183" s="144">
        <v>45986</v>
      </c>
      <c r="L183" s="275" t="s">
        <v>1933</v>
      </c>
    </row>
    <row r="184" spans="1:12" ht="15">
      <c r="B184" s="39"/>
      <c r="C184" s="31">
        <f xml:space="preserve"> VLOOKUP(E184, $A$3:$E$704, 2, FALSE)</f>
        <v>46090</v>
      </c>
      <c r="D184" s="36" t="s">
        <v>992</v>
      </c>
      <c r="E184" s="11" t="s">
        <v>1592</v>
      </c>
      <c r="F184" s="36" t="s">
        <v>1603</v>
      </c>
      <c r="G184" s="265" t="s">
        <v>2105</v>
      </c>
      <c r="H184" s="36" t="s">
        <v>2106</v>
      </c>
      <c r="I184" s="36" t="s">
        <v>2107</v>
      </c>
      <c r="J184" s="144">
        <v>46006.479166666664</v>
      </c>
      <c r="L184" s="275" t="s">
        <v>2108</v>
      </c>
    </row>
    <row r="185" spans="1:12" ht="15">
      <c r="A185" s="12"/>
      <c r="B185" s="229"/>
      <c r="C185" s="31">
        <f xml:space="preserve"> VLOOKUP(E185, $A$3:$E$704, 2, FALSE)</f>
        <v>46097</v>
      </c>
      <c r="D185" s="36" t="s">
        <v>992</v>
      </c>
      <c r="E185" s="11" t="s">
        <v>1561</v>
      </c>
      <c r="F185" s="36" t="s">
        <v>1603</v>
      </c>
      <c r="G185" s="160" t="s">
        <v>2109</v>
      </c>
      <c r="H185" s="36" t="s">
        <v>2110</v>
      </c>
      <c r="I185" s="36" t="s">
        <v>2111</v>
      </c>
      <c r="J185" s="144">
        <v>45971</v>
      </c>
      <c r="L185" s="146" t="s">
        <v>2112</v>
      </c>
    </row>
    <row r="186" spans="1:12" ht="15">
      <c r="A186" s="12"/>
      <c r="B186" s="229"/>
      <c r="C186" s="31">
        <f xml:space="preserve"> VLOOKUP(E186, $A$3:$E$704, 2, FALSE)</f>
        <v>46115</v>
      </c>
      <c r="D186" s="36" t="s">
        <v>992</v>
      </c>
      <c r="E186" s="150" t="s">
        <v>1450</v>
      </c>
      <c r="F186" s="36" t="s">
        <v>1680</v>
      </c>
      <c r="G186" s="265" t="s">
        <v>2113</v>
      </c>
      <c r="H186" s="36" t="s">
        <v>2114</v>
      </c>
      <c r="I186" s="36" t="s">
        <v>2115</v>
      </c>
      <c r="J186" s="144">
        <v>45953</v>
      </c>
      <c r="L186" s="146" t="s">
        <v>1802</v>
      </c>
    </row>
    <row r="187" spans="1:12" ht="15">
      <c r="B187" s="39"/>
      <c r="C187" s="31" t="e">
        <f xml:space="preserve"> VLOOKUP(E187, $A$3:$E$704, 2, FALSE)</f>
        <v>#N/A</v>
      </c>
      <c r="D187" s="36" t="s">
        <v>992</v>
      </c>
      <c r="E187" s="150" t="s">
        <v>2116</v>
      </c>
      <c r="F187" s="36" t="s">
        <v>1258</v>
      </c>
      <c r="G187" s="295" t="s">
        <v>2117</v>
      </c>
      <c r="H187" s="36" t="s">
        <v>1423</v>
      </c>
      <c r="I187" s="36" t="s">
        <v>2118</v>
      </c>
      <c r="J187" s="144">
        <v>45947</v>
      </c>
      <c r="L187" s="146" t="s">
        <v>2117</v>
      </c>
    </row>
    <row r="188" spans="1:12" ht="15">
      <c r="A188" s="12"/>
      <c r="B188" s="229"/>
      <c r="C188" s="31" t="e">
        <f xml:space="preserve"> VLOOKUP(E188, $A$3:$E$704, 2, FALSE)</f>
        <v>#N/A</v>
      </c>
      <c r="D188" s="36" t="s">
        <v>992</v>
      </c>
      <c r="E188" s="150" t="s">
        <v>2119</v>
      </c>
      <c r="F188" s="36" t="s">
        <v>1666</v>
      </c>
      <c r="G188" s="265" t="s">
        <v>2120</v>
      </c>
      <c r="H188" s="36" t="s">
        <v>1423</v>
      </c>
      <c r="I188" s="36" t="s">
        <v>2118</v>
      </c>
      <c r="J188" s="144">
        <v>45947</v>
      </c>
      <c r="L188" s="146" t="s">
        <v>2121</v>
      </c>
    </row>
    <row r="189" spans="1:12" ht="15">
      <c r="A189" s="12"/>
      <c r="B189" s="229"/>
      <c r="C189" s="31" t="e">
        <f xml:space="preserve"> VLOOKUP(E189, $A$3:$E$704, 2, FALSE)</f>
        <v>#N/A</v>
      </c>
      <c r="D189" s="36" t="s">
        <v>992</v>
      </c>
      <c r="E189" s="150" t="s">
        <v>2122</v>
      </c>
      <c r="F189" s="36" t="s">
        <v>1603</v>
      </c>
      <c r="G189" s="160" t="s">
        <v>2123</v>
      </c>
      <c r="H189" s="36" t="s">
        <v>2124</v>
      </c>
      <c r="I189" s="36" t="s">
        <v>2125</v>
      </c>
      <c r="J189" s="144">
        <v>46007</v>
      </c>
      <c r="L189" s="275" t="s">
        <v>2126</v>
      </c>
    </row>
    <row r="190" spans="1:12" ht="15">
      <c r="B190" s="39"/>
      <c r="C190" s="31">
        <f xml:space="preserve"> VLOOKUP(E190, $A$3:$E$704, 2, FALSE)</f>
        <v>46090</v>
      </c>
      <c r="D190" s="36" t="s">
        <v>992</v>
      </c>
      <c r="E190" s="11" t="s">
        <v>1744</v>
      </c>
      <c r="F190" s="36" t="s">
        <v>396</v>
      </c>
      <c r="G190" s="160" t="s">
        <v>2127</v>
      </c>
      <c r="H190" s="36" t="s">
        <v>2128</v>
      </c>
      <c r="I190" s="36" t="s">
        <v>2129</v>
      </c>
      <c r="J190" s="144">
        <v>46035</v>
      </c>
      <c r="L190" s="146" t="s">
        <v>2130</v>
      </c>
    </row>
    <row r="191" spans="1:12" ht="15">
      <c r="B191" s="39"/>
      <c r="C191" s="31">
        <f xml:space="preserve"> VLOOKUP(E191, $A$3:$E$704, 2, FALSE)</f>
        <v>46076</v>
      </c>
      <c r="D191" s="36" t="s">
        <v>992</v>
      </c>
      <c r="E191" s="11" t="s">
        <v>1788</v>
      </c>
      <c r="F191" s="36" t="s">
        <v>1680</v>
      </c>
      <c r="H191" s="36" t="s">
        <v>2131</v>
      </c>
      <c r="I191" s="36" t="s">
        <v>2132</v>
      </c>
      <c r="J191" s="144">
        <v>46038</v>
      </c>
      <c r="L191" s="146" t="s">
        <v>1797</v>
      </c>
    </row>
    <row r="192" spans="1:12" ht="15">
      <c r="A192" s="12"/>
      <c r="B192" s="229"/>
      <c r="C192" s="31">
        <f xml:space="preserve"> VLOOKUP(E192, $A$3:$E$704, 2, FALSE)</f>
        <v>46756</v>
      </c>
      <c r="D192" s="36" t="s">
        <v>992</v>
      </c>
      <c r="E192" s="11" t="s">
        <v>1501</v>
      </c>
      <c r="F192" s="36" t="s">
        <v>1881</v>
      </c>
      <c r="G192" s="265" t="s">
        <v>2133</v>
      </c>
      <c r="H192" s="36" t="s">
        <v>2078</v>
      </c>
      <c r="I192" s="36" t="s">
        <v>2134</v>
      </c>
      <c r="J192" s="144">
        <v>45967</v>
      </c>
      <c r="L192" s="146" t="s">
        <v>2135</v>
      </c>
    </row>
    <row r="193" spans="1:12" ht="24">
      <c r="A193" s="12"/>
      <c r="B193" s="229"/>
      <c r="C193" s="31">
        <f xml:space="preserve"> VLOOKUP(E193, $A$3:$E$704, 2, FALSE)</f>
        <v>46097</v>
      </c>
      <c r="D193" s="36" t="s">
        <v>992</v>
      </c>
      <c r="E193" s="150" t="s">
        <v>1599</v>
      </c>
      <c r="F193" s="36">
        <v>72</v>
      </c>
      <c r="G193" s="160" t="s">
        <v>2136</v>
      </c>
      <c r="H193" s="36" t="s">
        <v>2045</v>
      </c>
      <c r="I193" s="36" t="s">
        <v>2137</v>
      </c>
      <c r="J193" s="144">
        <v>46007</v>
      </c>
      <c r="L193" s="275" t="s">
        <v>2138</v>
      </c>
    </row>
    <row r="194" spans="1:12" ht="24">
      <c r="B194" s="39"/>
      <c r="C194" s="31">
        <f xml:space="preserve"> VLOOKUP(E194, $A$3:$E$704, 2, FALSE)</f>
        <v>46119</v>
      </c>
      <c r="D194" s="36" t="s">
        <v>992</v>
      </c>
      <c r="E194" s="11" t="s">
        <v>1843</v>
      </c>
      <c r="F194" s="36" t="s">
        <v>396</v>
      </c>
      <c r="G194" s="160" t="s">
        <v>2139</v>
      </c>
      <c r="H194" s="36" t="s">
        <v>2140</v>
      </c>
      <c r="I194" s="36" t="s">
        <v>2141</v>
      </c>
      <c r="J194" s="144" t="s">
        <v>2142</v>
      </c>
      <c r="L194" s="275" t="s">
        <v>2143</v>
      </c>
    </row>
    <row r="195" spans="1:12" ht="15">
      <c r="B195" s="39"/>
      <c r="C195" s="31">
        <f xml:space="preserve"> VLOOKUP(E195, $A$3:$E$704, 2, FALSE)</f>
        <v>46132</v>
      </c>
      <c r="D195" s="36" t="s">
        <v>992</v>
      </c>
      <c r="E195" s="11" t="s">
        <v>2005</v>
      </c>
      <c r="F195" s="36" t="s">
        <v>1427</v>
      </c>
      <c r="H195" s="36" t="s">
        <v>2144</v>
      </c>
      <c r="I195" s="36" t="s">
        <v>2145</v>
      </c>
    </row>
    <row r="196" spans="1:12" ht="15">
      <c r="B196" s="39"/>
      <c r="C196" s="31">
        <f xml:space="preserve"> VLOOKUP(E196, $A$3:$E$704, 2, FALSE)</f>
        <v>46092</v>
      </c>
      <c r="D196" s="36" t="s">
        <v>992</v>
      </c>
      <c r="E196" s="11" t="s">
        <v>2040</v>
      </c>
      <c r="F196" s="36" t="s">
        <v>1427</v>
      </c>
      <c r="G196" s="160" t="s">
        <v>2146</v>
      </c>
      <c r="H196" s="36" t="s">
        <v>2147</v>
      </c>
      <c r="I196" s="36" t="s">
        <v>2148</v>
      </c>
      <c r="K196" s="275"/>
    </row>
    <row r="197" spans="1:12" ht="15">
      <c r="B197" s="39"/>
      <c r="C197" s="31">
        <f xml:space="preserve"> VLOOKUP(E197, $A$3:$E$704, 2, FALSE)</f>
        <v>46092</v>
      </c>
      <c r="D197" s="36" t="s">
        <v>992</v>
      </c>
      <c r="E197" s="11" t="s">
        <v>2043</v>
      </c>
      <c r="F197" s="36" t="s">
        <v>2149</v>
      </c>
      <c r="H197" s="36" t="s">
        <v>2147</v>
      </c>
      <c r="I197" s="431" t="s">
        <v>2148</v>
      </c>
      <c r="K197" s="275"/>
    </row>
    <row r="198" spans="1:12" ht="15">
      <c r="B198" s="39"/>
      <c r="C198" s="31">
        <f xml:space="preserve"> VLOOKUP(E198, $A$3:$E$704, 2, FALSE)</f>
        <v>46090</v>
      </c>
      <c r="D198" s="36" t="s">
        <v>992</v>
      </c>
      <c r="E198" s="11" t="s">
        <v>1774</v>
      </c>
      <c r="F198" s="36" t="s">
        <v>1435</v>
      </c>
      <c r="G198" s="371" t="s">
        <v>2150</v>
      </c>
      <c r="H198" s="36" t="s">
        <v>2151</v>
      </c>
      <c r="I198" s="36" t="s">
        <v>2152</v>
      </c>
      <c r="J198" s="144">
        <v>46027</v>
      </c>
      <c r="K198" s="146" t="s">
        <v>1431</v>
      </c>
    </row>
    <row r="199" spans="1:12" ht="15">
      <c r="B199" s="39"/>
      <c r="C199" s="31">
        <f xml:space="preserve"> VLOOKUP(E199, $A$3:$E$704, 2, FALSE)</f>
        <v>46090</v>
      </c>
      <c r="D199" s="36" t="s">
        <v>992</v>
      </c>
      <c r="E199" s="11" t="s">
        <v>1833</v>
      </c>
      <c r="F199" s="36" t="s">
        <v>2153</v>
      </c>
      <c r="H199" s="36" t="s">
        <v>2154</v>
      </c>
      <c r="I199" s="36" t="s">
        <v>2155</v>
      </c>
      <c r="K199" s="144" t="s">
        <v>1797</v>
      </c>
      <c r="L199" s="146" t="s">
        <v>2156</v>
      </c>
    </row>
    <row r="200" spans="1:12" ht="15">
      <c r="B200" s="39"/>
      <c r="C200" s="31">
        <f xml:space="preserve"> VLOOKUP(E200, $A$3:$E$704, 2, FALSE)</f>
        <v>46087</v>
      </c>
      <c r="D200" s="36" t="s">
        <v>992</v>
      </c>
      <c r="E200" s="11" t="s">
        <v>1914</v>
      </c>
      <c r="F200" s="36" t="s">
        <v>396</v>
      </c>
      <c r="G200" s="160">
        <v>2027</v>
      </c>
      <c r="H200" s="36" t="s">
        <v>2157</v>
      </c>
      <c r="I200" s="36" t="s">
        <v>2158</v>
      </c>
      <c r="J200" s="144">
        <v>46062</v>
      </c>
      <c r="K200" s="144" t="s">
        <v>1899</v>
      </c>
      <c r="L200" s="275" t="s">
        <v>2159</v>
      </c>
    </row>
    <row r="201" spans="1:12" ht="15">
      <c r="B201" s="39"/>
      <c r="C201" s="31">
        <f xml:space="preserve"> VLOOKUP(E201, $A$3:$E$704, 2, FALSE)</f>
        <v>46092</v>
      </c>
      <c r="D201" s="36" t="s">
        <v>992</v>
      </c>
      <c r="E201" s="11" t="s">
        <v>2081</v>
      </c>
      <c r="F201" s="36" t="s">
        <v>1427</v>
      </c>
      <c r="H201" s="36" t="s">
        <v>2160</v>
      </c>
      <c r="I201" s="36" t="s">
        <v>2161</v>
      </c>
      <c r="K201" s="275"/>
    </row>
    <row r="202" spans="1:12" ht="15">
      <c r="B202" s="39"/>
      <c r="C202" s="31">
        <f xml:space="preserve"> VLOOKUP(E202, $A$3:$E$704, 2, FALSE)</f>
        <v>46092</v>
      </c>
      <c r="D202" s="36" t="s">
        <v>992</v>
      </c>
      <c r="E202" s="11" t="s">
        <v>2084</v>
      </c>
      <c r="F202" s="36" t="s">
        <v>1427</v>
      </c>
      <c r="H202" s="36" t="s">
        <v>2160</v>
      </c>
      <c r="I202" s="36" t="s">
        <v>2162</v>
      </c>
      <c r="K202" s="275"/>
    </row>
    <row r="203" spans="1:12" ht="15">
      <c r="B203" s="39"/>
      <c r="C203" s="31">
        <f xml:space="preserve"> VLOOKUP(E203, $A$3:$E$704, 2, FALSE)</f>
        <v>46072</v>
      </c>
      <c r="D203" s="36" t="s">
        <v>1206</v>
      </c>
      <c r="E203" s="11" t="s">
        <v>1445</v>
      </c>
      <c r="F203" s="36" t="s">
        <v>2163</v>
      </c>
      <c r="G203" s="265" t="s">
        <v>2164</v>
      </c>
      <c r="H203" s="36" t="s">
        <v>2165</v>
      </c>
      <c r="I203" s="36" t="s">
        <v>2166</v>
      </c>
      <c r="J203" s="144">
        <v>45979</v>
      </c>
      <c r="L203" s="146" t="s">
        <v>2167</v>
      </c>
    </row>
    <row r="204" spans="1:12" ht="15">
      <c r="A204" s="12"/>
      <c r="B204" s="229"/>
      <c r="C204" s="31">
        <f xml:space="preserve"> VLOOKUP(E204, $A$3:$E$704, 2, FALSE)</f>
        <v>46076</v>
      </c>
      <c r="D204" s="36" t="s">
        <v>1206</v>
      </c>
      <c r="E204" s="150" t="s">
        <v>1684</v>
      </c>
      <c r="F204" s="36" t="s">
        <v>1435</v>
      </c>
      <c r="G204" s="265" t="s">
        <v>2168</v>
      </c>
      <c r="H204" s="36" t="s">
        <v>1646</v>
      </c>
      <c r="I204" s="36" t="s">
        <v>2169</v>
      </c>
      <c r="J204" s="144">
        <v>46000</v>
      </c>
      <c r="K204" s="275" t="s">
        <v>2170</v>
      </c>
    </row>
    <row r="205" spans="1:12" ht="15">
      <c r="A205" s="12"/>
      <c r="B205" s="229"/>
      <c r="C205" s="31">
        <f xml:space="preserve"> VLOOKUP(E205, $A$3:$E$704, 2, FALSE)</f>
        <v>46080</v>
      </c>
      <c r="D205" s="36" t="s">
        <v>1206</v>
      </c>
      <c r="E205" s="150" t="s">
        <v>1750</v>
      </c>
      <c r="F205" s="36" t="s">
        <v>1441</v>
      </c>
      <c r="G205" s="373" t="s">
        <v>2171</v>
      </c>
      <c r="H205" s="36" t="s">
        <v>1737</v>
      </c>
      <c r="I205" s="36" t="s">
        <v>2172</v>
      </c>
      <c r="J205" s="144">
        <v>46020</v>
      </c>
      <c r="K205" s="144" t="s">
        <v>2126</v>
      </c>
      <c r="L205" s="275" t="s">
        <v>2173</v>
      </c>
    </row>
    <row r="206" spans="1:12" ht="15">
      <c r="A206" s="12"/>
      <c r="B206" s="229"/>
      <c r="C206" s="31">
        <f xml:space="preserve"> VLOOKUP(E206, $A$3:$E$704, 2, FALSE)</f>
        <v>46073</v>
      </c>
      <c r="D206" s="36" t="s">
        <v>1206</v>
      </c>
      <c r="E206" s="150" t="s">
        <v>1510</v>
      </c>
      <c r="F206" s="36" t="s">
        <v>1645</v>
      </c>
      <c r="G206" s="316"/>
      <c r="H206" s="36" t="s">
        <v>2174</v>
      </c>
      <c r="I206" s="36" t="s">
        <v>2175</v>
      </c>
      <c r="J206" s="144">
        <v>45916</v>
      </c>
    </row>
    <row r="207" spans="1:12" ht="15">
      <c r="A207" s="12"/>
      <c r="B207" s="229"/>
      <c r="C207" s="31">
        <f xml:space="preserve"> VLOOKUP(E207, $A$3:$E$704, 2, FALSE)</f>
        <v>46076</v>
      </c>
      <c r="D207" s="36" t="s">
        <v>1206</v>
      </c>
      <c r="E207" s="361" t="s">
        <v>1624</v>
      </c>
      <c r="F207" s="36" t="s">
        <v>1603</v>
      </c>
      <c r="G207" s="387" t="s">
        <v>2176</v>
      </c>
      <c r="H207" s="36" t="s">
        <v>2177</v>
      </c>
      <c r="I207" s="36" t="s">
        <v>2178</v>
      </c>
      <c r="J207" s="144">
        <v>46001</v>
      </c>
      <c r="K207" s="275" t="s">
        <v>2170</v>
      </c>
    </row>
    <row r="208" spans="1:12" ht="24">
      <c r="B208" s="39"/>
      <c r="C208" s="31" t="e">
        <f xml:space="preserve"> VLOOKUP(E208, $A$3:$E$704, 2, FALSE)</f>
        <v>#N/A</v>
      </c>
      <c r="D208" s="36" t="s">
        <v>1206</v>
      </c>
      <c r="E208" s="11" t="s">
        <v>2179</v>
      </c>
      <c r="F208" s="36" t="s">
        <v>1680</v>
      </c>
      <c r="G208" s="160" t="s">
        <v>2180</v>
      </c>
      <c r="H208" s="36" t="s">
        <v>2181</v>
      </c>
      <c r="I208" s="36" t="s">
        <v>2182</v>
      </c>
      <c r="J208" s="144">
        <v>46031</v>
      </c>
      <c r="K208" s="144" t="s">
        <v>2183</v>
      </c>
      <c r="L208" s="146" t="s">
        <v>2184</v>
      </c>
    </row>
    <row r="209" spans="1:12" ht="15">
      <c r="A209" s="317" t="s">
        <v>2185</v>
      </c>
      <c r="B209" s="306">
        <v>46094</v>
      </c>
      <c r="C209" s="31">
        <f xml:space="preserve"> VLOOKUP(E209, $A$3:$E$704, 2, FALSE)</f>
        <v>46083</v>
      </c>
      <c r="D209" s="36" t="s">
        <v>1238</v>
      </c>
      <c r="E209" s="11" t="s">
        <v>1894</v>
      </c>
      <c r="F209" s="160" t="s">
        <v>1863</v>
      </c>
      <c r="H209" s="36" t="s">
        <v>2186</v>
      </c>
      <c r="I209" s="36" t="s">
        <v>2187</v>
      </c>
      <c r="J209" s="144">
        <v>46055</v>
      </c>
      <c r="K209" s="146" t="s">
        <v>1899</v>
      </c>
    </row>
    <row r="210" spans="1:12" ht="15">
      <c r="A210" s="12" t="s">
        <v>2188</v>
      </c>
      <c r="B210" s="229">
        <v>46092</v>
      </c>
      <c r="C210" s="31" t="e">
        <f xml:space="preserve"> VLOOKUP(E210, $A$3:$E$704, 2, FALSE)</f>
        <v>#N/A</v>
      </c>
      <c r="D210" s="36" t="s">
        <v>1238</v>
      </c>
      <c r="E210" s="150" t="s">
        <v>2189</v>
      </c>
      <c r="F210" s="36" t="s">
        <v>1441</v>
      </c>
      <c r="G210" s="265"/>
      <c r="H210" s="36" t="s">
        <v>1737</v>
      </c>
      <c r="I210" s="36" t="s">
        <v>2190</v>
      </c>
      <c r="J210" s="144">
        <v>45854</v>
      </c>
    </row>
    <row r="211" spans="1:12" ht="15">
      <c r="A211" s="12"/>
      <c r="B211" s="229"/>
      <c r="C211" s="31">
        <f xml:space="preserve"> VLOOKUP(E211, $A$3:$E$704, 2, FALSE)</f>
        <v>46045</v>
      </c>
      <c r="D211" s="36" t="s">
        <v>1238</v>
      </c>
      <c r="E211" s="150" t="s">
        <v>1488</v>
      </c>
      <c r="F211" s="36" t="s">
        <v>1772</v>
      </c>
      <c r="G211" s="265"/>
      <c r="H211" s="36" t="s">
        <v>2191</v>
      </c>
      <c r="I211" s="36" t="s">
        <v>2192</v>
      </c>
      <c r="J211" s="144">
        <v>45952</v>
      </c>
      <c r="L211" s="146" t="s">
        <v>2193</v>
      </c>
    </row>
    <row r="212" spans="1:12" ht="15">
      <c r="B212" s="39"/>
      <c r="C212" s="31">
        <f xml:space="preserve"> VLOOKUP(E212, $A$3:$E$704, 2, FALSE)</f>
        <v>46064</v>
      </c>
      <c r="D212" s="36" t="s">
        <v>1238</v>
      </c>
      <c r="E212" s="11" t="s">
        <v>1868</v>
      </c>
      <c r="F212" s="160" t="s">
        <v>1863</v>
      </c>
      <c r="H212" s="36" t="s">
        <v>1912</v>
      </c>
      <c r="I212" s="36" t="s">
        <v>2194</v>
      </c>
      <c r="J212" s="144">
        <v>46056</v>
      </c>
      <c r="K212" s="146" t="s">
        <v>1797</v>
      </c>
    </row>
    <row r="213" spans="1:12" ht="15">
      <c r="B213" s="39"/>
      <c r="C213" s="31">
        <f xml:space="preserve"> VLOOKUP(E213, $A$3:$E$704, 2, FALSE)</f>
        <v>46069</v>
      </c>
      <c r="D213" s="36" t="s">
        <v>1238</v>
      </c>
      <c r="E213" s="11" t="s">
        <v>1803</v>
      </c>
      <c r="F213" s="36" t="s">
        <v>1626</v>
      </c>
      <c r="H213" s="36" t="s">
        <v>2195</v>
      </c>
      <c r="I213" s="36" t="s">
        <v>2196</v>
      </c>
      <c r="J213" s="144">
        <v>46042</v>
      </c>
      <c r="K213" s="146" t="s">
        <v>1797</v>
      </c>
    </row>
    <row r="214" spans="1:12" ht="15">
      <c r="B214" s="39"/>
      <c r="C214" s="31">
        <f xml:space="preserve"> VLOOKUP(E214, $A$3:$E$704, 2, FALSE)</f>
        <v>46059</v>
      </c>
      <c r="D214" s="36" t="s">
        <v>1238</v>
      </c>
      <c r="E214" s="11" t="s">
        <v>1905</v>
      </c>
      <c r="F214" s="160" t="s">
        <v>1916</v>
      </c>
      <c r="H214" s="36" t="s">
        <v>2147</v>
      </c>
      <c r="I214" s="36" t="s">
        <v>2197</v>
      </c>
      <c r="J214" s="144">
        <v>46058</v>
      </c>
      <c r="K214" s="146" t="s">
        <v>1865</v>
      </c>
    </row>
    <row r="215" spans="1:12" ht="15">
      <c r="B215" s="39"/>
      <c r="C215" s="31">
        <f xml:space="preserve"> VLOOKUP(E215, $A$3:$E$704, 2, FALSE)</f>
        <v>46078</v>
      </c>
      <c r="D215" s="36" t="s">
        <v>1238</v>
      </c>
      <c r="E215" s="11" t="s">
        <v>1900</v>
      </c>
      <c r="F215" s="160" t="s">
        <v>1872</v>
      </c>
      <c r="H215" s="36" t="s">
        <v>2198</v>
      </c>
      <c r="I215" s="36" t="s">
        <v>2199</v>
      </c>
      <c r="J215" s="144">
        <v>46066</v>
      </c>
      <c r="K215" s="146" t="s">
        <v>1899</v>
      </c>
    </row>
    <row r="216" spans="1:12" ht="15">
      <c r="B216" s="39"/>
      <c r="C216" s="31">
        <f xml:space="preserve"> VLOOKUP(E216, $A$3:$E$704, 2, FALSE)</f>
        <v>46083</v>
      </c>
      <c r="D216" s="36" t="s">
        <v>1238</v>
      </c>
      <c r="E216" s="11" t="s">
        <v>1920</v>
      </c>
      <c r="F216" s="36" t="s">
        <v>2200</v>
      </c>
      <c r="H216" s="36" t="s">
        <v>2198</v>
      </c>
      <c r="I216" s="36" t="s">
        <v>2199</v>
      </c>
      <c r="J216" s="144">
        <v>46066</v>
      </c>
      <c r="K216" s="146" t="s">
        <v>1899</v>
      </c>
    </row>
    <row r="217" spans="1:12" ht="15">
      <c r="A217" s="12"/>
      <c r="B217" s="229"/>
      <c r="C217" s="31">
        <f xml:space="preserve"> VLOOKUP(E217, $A$3:$E$704, 2, FALSE)</f>
        <v>46073</v>
      </c>
      <c r="D217" s="36" t="s">
        <v>1238</v>
      </c>
      <c r="E217" s="150" t="s">
        <v>1491</v>
      </c>
      <c r="F217" s="36" t="s">
        <v>1603</v>
      </c>
      <c r="G217" s="300"/>
      <c r="H217" s="36" t="s">
        <v>2201</v>
      </c>
      <c r="I217" s="36" t="s">
        <v>2202</v>
      </c>
      <c r="J217" s="144" t="s">
        <v>1275</v>
      </c>
    </row>
    <row r="218" spans="1:12" ht="15">
      <c r="A218" s="12" t="s">
        <v>2203</v>
      </c>
      <c r="B218" s="229">
        <v>46087</v>
      </c>
      <c r="C218" s="31">
        <f xml:space="preserve"> VLOOKUP(E218, $A$3:$E$704, 2, FALSE)</f>
        <v>46084</v>
      </c>
      <c r="D218" s="36" t="s">
        <v>1244</v>
      </c>
      <c r="E218" s="36" t="s">
        <v>1553</v>
      </c>
      <c r="F218" s="36" t="s">
        <v>1772</v>
      </c>
      <c r="G218" s="265" t="s">
        <v>2204</v>
      </c>
      <c r="H218" s="36" t="s">
        <v>1828</v>
      </c>
      <c r="I218" s="36" t="s">
        <v>1746</v>
      </c>
    </row>
    <row r="219" spans="1:12" ht="15">
      <c r="A219" s="36" t="s">
        <v>2205</v>
      </c>
      <c r="B219" s="39">
        <v>46083</v>
      </c>
      <c r="C219" s="31" t="e">
        <f xml:space="preserve"> VLOOKUP(E219, $A$3:$E$704, 2, FALSE)</f>
        <v>#N/A</v>
      </c>
      <c r="D219" s="36" t="s">
        <v>1244</v>
      </c>
      <c r="E219" s="11" t="s">
        <v>2206</v>
      </c>
      <c r="F219" s="36" t="s">
        <v>1603</v>
      </c>
      <c r="G219" s="265" t="s">
        <v>2207</v>
      </c>
      <c r="H219" s="36" t="s">
        <v>2208</v>
      </c>
      <c r="I219" s="36" t="s">
        <v>2209</v>
      </c>
      <c r="J219" s="144">
        <v>46049</v>
      </c>
      <c r="K219" s="146" t="s">
        <v>1899</v>
      </c>
      <c r="L219" s="146" t="s">
        <v>2210</v>
      </c>
    </row>
    <row r="220" spans="1:12" ht="15">
      <c r="A220" s="305" t="s">
        <v>2211</v>
      </c>
      <c r="B220" s="306">
        <v>46087</v>
      </c>
      <c r="C220" s="31">
        <f xml:space="preserve"> VLOOKUP(E220, $A$3:$E$704, 2, FALSE)</f>
        <v>46086</v>
      </c>
      <c r="D220" s="36" t="s">
        <v>1244</v>
      </c>
      <c r="E220" s="150" t="s">
        <v>1522</v>
      </c>
      <c r="F220" s="36" t="s">
        <v>1603</v>
      </c>
      <c r="G220" s="265" t="s">
        <v>2212</v>
      </c>
      <c r="H220" s="36" t="s">
        <v>2097</v>
      </c>
      <c r="I220" s="36" t="s">
        <v>2213</v>
      </c>
      <c r="J220" s="144">
        <v>45967</v>
      </c>
      <c r="L220" s="146" t="s">
        <v>2214</v>
      </c>
    </row>
    <row r="221" spans="1:12" ht="15">
      <c r="A221" s="36" t="s">
        <v>2215</v>
      </c>
      <c r="B221" s="39">
        <v>46087</v>
      </c>
      <c r="C221" s="31">
        <f xml:space="preserve"> VLOOKUP(E221, $A$3:$E$704, 2, FALSE)</f>
        <v>46087</v>
      </c>
      <c r="D221" s="36" t="s">
        <v>1244</v>
      </c>
      <c r="E221" s="11" t="s">
        <v>1779</v>
      </c>
      <c r="F221" s="36" t="s">
        <v>1863</v>
      </c>
      <c r="G221" s="265"/>
      <c r="H221" s="36" t="s">
        <v>2216</v>
      </c>
      <c r="I221" s="36" t="s">
        <v>2217</v>
      </c>
      <c r="J221" s="144">
        <v>46035</v>
      </c>
      <c r="L221" s="146" t="s">
        <v>1431</v>
      </c>
    </row>
    <row r="222" spans="1:12" ht="15">
      <c r="A222" s="12"/>
      <c r="B222" s="229"/>
      <c r="C222" s="31">
        <f xml:space="preserve"> VLOOKUP(E222, $A$3:$E$704, 2, FALSE)</f>
        <v>46086</v>
      </c>
      <c r="D222" s="36" t="s">
        <v>1244</v>
      </c>
      <c r="E222" s="150" t="s">
        <v>1462</v>
      </c>
      <c r="F222" s="36" t="s">
        <v>1680</v>
      </c>
      <c r="G222" s="265" t="s">
        <v>2218</v>
      </c>
      <c r="H222" s="36" t="s">
        <v>2106</v>
      </c>
      <c r="I222" s="36" t="s">
        <v>2219</v>
      </c>
      <c r="J222" s="144">
        <v>45938</v>
      </c>
      <c r="L222" s="146" t="s">
        <v>1696</v>
      </c>
    </row>
    <row r="223" spans="1:12" ht="15">
      <c r="A223" s="317" t="s">
        <v>2220</v>
      </c>
      <c r="B223" s="306">
        <v>46090</v>
      </c>
      <c r="C223" s="31">
        <f xml:space="preserve"> VLOOKUP(E223, $A$3:$E$704, 2, FALSE)</f>
        <v>46085</v>
      </c>
      <c r="D223" s="36" t="s">
        <v>1244</v>
      </c>
      <c r="E223" s="11" t="s">
        <v>1584</v>
      </c>
      <c r="F223" s="36">
        <v>59</v>
      </c>
      <c r="G223" s="265"/>
      <c r="H223" s="36" t="s">
        <v>1819</v>
      </c>
      <c r="I223" s="36" t="s">
        <v>2221</v>
      </c>
      <c r="J223" s="144">
        <v>45987</v>
      </c>
      <c r="L223" s="146" t="s">
        <v>1859</v>
      </c>
    </row>
    <row r="224" spans="1:12" ht="15">
      <c r="B224" s="39"/>
      <c r="C224" s="31">
        <f xml:space="preserve"> VLOOKUP(E224, $A$3:$E$704, 2, FALSE)</f>
        <v>46086</v>
      </c>
      <c r="D224" s="36" t="s">
        <v>1244</v>
      </c>
      <c r="E224" s="11" t="s">
        <v>1852</v>
      </c>
      <c r="F224" s="36" t="s">
        <v>1603</v>
      </c>
      <c r="H224" s="36" t="s">
        <v>2222</v>
      </c>
      <c r="I224" s="36" t="s">
        <v>2223</v>
      </c>
      <c r="J224" s="144">
        <v>46049</v>
      </c>
      <c r="K224" s="146" t="s">
        <v>1899</v>
      </c>
    </row>
    <row r="225" spans="1:12" ht="15">
      <c r="A225" s="12"/>
      <c r="B225" s="229"/>
      <c r="C225" s="31">
        <f xml:space="preserve"> VLOOKUP(E225, $A$3:$E$704, 2, FALSE)</f>
        <v>46083</v>
      </c>
      <c r="D225" s="36" t="s">
        <v>1244</v>
      </c>
      <c r="E225" s="150" t="s">
        <v>1503</v>
      </c>
      <c r="F225" s="36" t="s">
        <v>1881</v>
      </c>
      <c r="G225" s="265" t="s">
        <v>2224</v>
      </c>
      <c r="H225" s="36" t="s">
        <v>1883</v>
      </c>
      <c r="I225" s="36" t="s">
        <v>2225</v>
      </c>
      <c r="J225" s="144" t="s">
        <v>2226</v>
      </c>
      <c r="L225" s="146" t="s">
        <v>2227</v>
      </c>
    </row>
    <row r="226" spans="1:12" ht="15">
      <c r="A226" s="317"/>
      <c r="B226" s="306"/>
      <c r="C226" s="31" t="e">
        <f xml:space="preserve"> VLOOKUP(E226, $A$3:$E$704, 2, FALSE)</f>
        <v>#N/A</v>
      </c>
      <c r="D226" s="36" t="s">
        <v>1244</v>
      </c>
      <c r="E226" s="150" t="s">
        <v>2228</v>
      </c>
      <c r="F226" s="36" t="s">
        <v>1603</v>
      </c>
      <c r="G226" s="265"/>
      <c r="H226" s="36" t="s">
        <v>2229</v>
      </c>
      <c r="I226" s="36" t="s">
        <v>2230</v>
      </c>
      <c r="J226" s="144" t="s">
        <v>1702</v>
      </c>
      <c r="L226" s="146" t="s">
        <v>1618</v>
      </c>
    </row>
    <row r="227" spans="1:12" ht="15">
      <c r="B227" s="39"/>
      <c r="C227" s="31">
        <f xml:space="preserve"> VLOOKUP(E227, $A$3:$E$704, 2, FALSE)</f>
        <v>46062</v>
      </c>
      <c r="D227" s="36" t="s">
        <v>1244</v>
      </c>
      <c r="E227" s="11" t="s">
        <v>1849</v>
      </c>
      <c r="F227" s="36" t="s">
        <v>1916</v>
      </c>
      <c r="G227" s="160" t="s">
        <v>793</v>
      </c>
      <c r="H227" s="36" t="s">
        <v>2140</v>
      </c>
      <c r="I227" s="36" t="s">
        <v>2231</v>
      </c>
      <c r="J227" s="144">
        <v>46048</v>
      </c>
      <c r="K227" s="146" t="s">
        <v>1933</v>
      </c>
    </row>
    <row r="228" spans="1:12" ht="15">
      <c r="A228" s="12"/>
      <c r="B228" s="229"/>
      <c r="C228" s="31">
        <f xml:space="preserve"> VLOOKUP(E228, $A$3:$E$704, 2, FALSE)</f>
        <v>46069</v>
      </c>
      <c r="D228" s="36" t="s">
        <v>1244</v>
      </c>
      <c r="E228" s="150" t="s">
        <v>1539</v>
      </c>
      <c r="F228" s="36" t="s">
        <v>1680</v>
      </c>
      <c r="G228" s="265"/>
      <c r="H228" s="36" t="s">
        <v>1754</v>
      </c>
      <c r="I228" s="36" t="s">
        <v>1949</v>
      </c>
      <c r="L228" s="146" t="s">
        <v>2232</v>
      </c>
    </row>
    <row r="229" spans="1:12" ht="15">
      <c r="A229" s="12"/>
      <c r="B229" s="229"/>
      <c r="C229" s="31">
        <f xml:space="preserve"> VLOOKUP(E229, $A$3:$E$704, 2, FALSE)</f>
        <v>45985</v>
      </c>
      <c r="D229" s="36" t="s">
        <v>1244</v>
      </c>
      <c r="E229" s="150" t="s">
        <v>1485</v>
      </c>
      <c r="F229" s="36" t="s">
        <v>1680</v>
      </c>
      <c r="G229" s="265"/>
      <c r="H229" s="36" t="s">
        <v>2233</v>
      </c>
      <c r="I229" s="36" t="s">
        <v>2234</v>
      </c>
      <c r="J229" s="144" t="s">
        <v>1764</v>
      </c>
    </row>
    <row r="230" spans="1:12" ht="15">
      <c r="A230" s="12"/>
      <c r="B230" s="229"/>
      <c r="C230" s="31" t="e">
        <f xml:space="preserve"> VLOOKUP(E230, $A$3:$E$704, 2, FALSE)</f>
        <v>#N/A</v>
      </c>
      <c r="D230" s="36" t="s">
        <v>1244</v>
      </c>
      <c r="E230" s="150" t="s">
        <v>2235</v>
      </c>
      <c r="F230" s="36" t="s">
        <v>1680</v>
      </c>
      <c r="G230" s="265"/>
      <c r="H230" s="36" t="s">
        <v>2165</v>
      </c>
      <c r="I230" s="36" t="s">
        <v>2236</v>
      </c>
    </row>
    <row r="231" spans="1:12" ht="15">
      <c r="B231" s="39"/>
      <c r="C231" s="31">
        <f xml:space="preserve"> VLOOKUP(E231, $A$3:$E$704, 2, FALSE)</f>
        <v>46069</v>
      </c>
      <c r="D231" s="36" t="s">
        <v>1244</v>
      </c>
      <c r="E231" s="11" t="s">
        <v>1595</v>
      </c>
      <c r="F231" s="36" t="s">
        <v>1680</v>
      </c>
      <c r="G231" s="265"/>
      <c r="H231" s="36" t="s">
        <v>2106</v>
      </c>
      <c r="I231" s="36" t="s">
        <v>2237</v>
      </c>
      <c r="J231" s="144">
        <v>45987</v>
      </c>
      <c r="K231" s="146" t="s">
        <v>2238</v>
      </c>
    </row>
    <row r="232" spans="1:12" ht="15">
      <c r="A232" s="12"/>
      <c r="B232" s="229"/>
      <c r="C232" s="31">
        <f xml:space="preserve"> VLOOKUP(E232, $A$3:$E$704, 2, FALSE)</f>
        <v>46069</v>
      </c>
      <c r="D232" s="36" t="s">
        <v>1244</v>
      </c>
      <c r="E232" s="150" t="s">
        <v>1653</v>
      </c>
      <c r="F232" s="36" t="s">
        <v>1863</v>
      </c>
      <c r="G232" s="316"/>
      <c r="H232" s="36" t="s">
        <v>1754</v>
      </c>
      <c r="I232" s="36" t="s">
        <v>2239</v>
      </c>
      <c r="J232" s="144">
        <v>45994</v>
      </c>
      <c r="K232" s="275" t="s">
        <v>1431</v>
      </c>
    </row>
    <row r="233" spans="1:12" ht="15">
      <c r="A233" s="12"/>
      <c r="B233" s="229"/>
      <c r="C233" s="31">
        <f xml:space="preserve"> VLOOKUP(E233, $A$3:$E$704, 2, FALSE)</f>
        <v>46059</v>
      </c>
      <c r="D233" s="36" t="s">
        <v>1244</v>
      </c>
      <c r="E233" s="150" t="s">
        <v>1714</v>
      </c>
      <c r="F233" s="36" t="s">
        <v>1863</v>
      </c>
      <c r="G233" s="160" t="s">
        <v>2240</v>
      </c>
      <c r="H233" s="36" t="s">
        <v>1814</v>
      </c>
      <c r="I233" s="36" t="s">
        <v>2241</v>
      </c>
      <c r="J233" s="144">
        <v>46007</v>
      </c>
      <c r="K233" s="275" t="s">
        <v>1797</v>
      </c>
    </row>
    <row r="234" spans="1:12" ht="15">
      <c r="A234" s="12"/>
      <c r="B234" s="229"/>
      <c r="C234" s="31">
        <f xml:space="preserve"> VLOOKUP(E234, $A$3:$E$704, 2, FALSE)</f>
        <v>46084</v>
      </c>
      <c r="D234" s="36" t="s">
        <v>1244</v>
      </c>
      <c r="E234" s="150" t="s">
        <v>1757</v>
      </c>
      <c r="F234" s="36" t="s">
        <v>1863</v>
      </c>
      <c r="H234" s="36" t="s">
        <v>2242</v>
      </c>
      <c r="I234" s="36" t="s">
        <v>2243</v>
      </c>
      <c r="K234" s="275" t="s">
        <v>1431</v>
      </c>
    </row>
    <row r="235" spans="1:12" ht="15">
      <c r="B235" s="39"/>
      <c r="C235" s="31">
        <f xml:space="preserve"> VLOOKUP(E235, $A$3:$E$704, 2, FALSE)</f>
        <v>46087</v>
      </c>
      <c r="D235" s="36" t="s">
        <v>1244</v>
      </c>
      <c r="E235" s="11" t="s">
        <v>1590</v>
      </c>
      <c r="F235" s="36" t="s">
        <v>1772</v>
      </c>
      <c r="G235" s="300"/>
      <c r="H235" s="36" t="s">
        <v>1956</v>
      </c>
      <c r="I235" s="36" t="s">
        <v>1957</v>
      </c>
      <c r="K235" s="146"/>
    </row>
    <row r="236" spans="1:12" ht="15">
      <c r="B236" s="39"/>
      <c r="C236" s="31">
        <f xml:space="preserve"> VLOOKUP(E236, $A$3:$E$704, 2, FALSE)</f>
        <v>46086</v>
      </c>
      <c r="D236" s="36" t="s">
        <v>1244</v>
      </c>
      <c r="E236" s="11" t="s">
        <v>1860</v>
      </c>
      <c r="F236" s="160" t="s">
        <v>1863</v>
      </c>
      <c r="H236" s="36" t="s">
        <v>2244</v>
      </c>
      <c r="I236" s="36" t="s">
        <v>2245</v>
      </c>
      <c r="J236" s="144">
        <v>46052</v>
      </c>
      <c r="K236" s="146" t="s">
        <v>1431</v>
      </c>
    </row>
    <row r="237" spans="1:12" ht="15">
      <c r="B237" s="39"/>
      <c r="C237" s="31" t="e">
        <f xml:space="preserve"> VLOOKUP(E237, $A$3:$E$704, 2, FALSE)</f>
        <v>#N/A</v>
      </c>
      <c r="D237" s="36" t="s">
        <v>1244</v>
      </c>
      <c r="E237" s="11" t="s">
        <v>2246</v>
      </c>
      <c r="F237" s="36" t="s">
        <v>1603</v>
      </c>
      <c r="H237" s="36" t="s">
        <v>2247</v>
      </c>
      <c r="I237" s="36" t="s">
        <v>2248</v>
      </c>
    </row>
    <row r="238" spans="1:12" ht="15">
      <c r="B238" s="39"/>
      <c r="C238" s="31" t="e">
        <f xml:space="preserve"> VLOOKUP(E238, $A$3:$E$704, 2, FALSE)</f>
        <v>#N/A</v>
      </c>
      <c r="D238" s="36" t="s">
        <v>1244</v>
      </c>
      <c r="E238" s="11" t="s">
        <v>2249</v>
      </c>
      <c r="F238" s="36" t="s">
        <v>1603</v>
      </c>
      <c r="G238" s="265" t="s">
        <v>2204</v>
      </c>
      <c r="H238" s="36" t="s">
        <v>2250</v>
      </c>
      <c r="I238" s="36" t="s">
        <v>2251</v>
      </c>
      <c r="J238" s="144">
        <v>45971</v>
      </c>
      <c r="L238" s="146" t="s">
        <v>2252</v>
      </c>
    </row>
    <row r="239" spans="1:12" ht="15">
      <c r="A239" s="12"/>
      <c r="B239" s="229"/>
      <c r="C239" s="31">
        <f xml:space="preserve"> VLOOKUP(E239, $A$3:$E$704, 2, FALSE)</f>
        <v>46086</v>
      </c>
      <c r="D239" s="36" t="s">
        <v>1244</v>
      </c>
      <c r="E239" s="150" t="s">
        <v>1718</v>
      </c>
      <c r="F239" s="36" t="s">
        <v>1772</v>
      </c>
      <c r="G239" s="265" t="s">
        <v>2253</v>
      </c>
      <c r="H239" s="36" t="s">
        <v>2250</v>
      </c>
      <c r="I239" s="36" t="s">
        <v>2254</v>
      </c>
      <c r="L239" s="275"/>
    </row>
    <row r="240" spans="1:12" ht="15">
      <c r="B240" s="39"/>
      <c r="C240" s="31">
        <f xml:space="preserve"> VLOOKUP(E240, $A$3:$E$704, 2, FALSE)</f>
        <v>46087</v>
      </c>
      <c r="D240" s="36" t="s">
        <v>1244</v>
      </c>
      <c r="E240" s="11" t="s">
        <v>2015</v>
      </c>
      <c r="F240" s="36" t="s">
        <v>1772</v>
      </c>
      <c r="G240" s="160" t="s">
        <v>2255</v>
      </c>
      <c r="H240" s="36" t="s">
        <v>1941</v>
      </c>
      <c r="I240" s="36" t="s">
        <v>2256</v>
      </c>
      <c r="K240" s="275"/>
    </row>
    <row r="241" spans="1:12" ht="15">
      <c r="B241" s="39"/>
      <c r="C241" s="31">
        <f xml:space="preserve"> VLOOKUP(E241, $A$3:$E$704, 2, FALSE)</f>
        <v>46092</v>
      </c>
      <c r="D241" s="36" t="s">
        <v>1244</v>
      </c>
      <c r="E241" s="11" t="s">
        <v>2089</v>
      </c>
      <c r="F241" s="36" t="s">
        <v>1427</v>
      </c>
      <c r="H241" s="36" t="s">
        <v>2257</v>
      </c>
      <c r="I241" s="36" t="s">
        <v>2258</v>
      </c>
      <c r="K241" s="275"/>
    </row>
    <row r="242" spans="1:12" ht="15">
      <c r="A242" s="12"/>
      <c r="B242" s="229"/>
      <c r="C242" s="31" t="e">
        <f xml:space="preserve"> VLOOKUP(E242, $A$3:$E$704, 2, FALSE)</f>
        <v>#N/A</v>
      </c>
      <c r="D242" s="36" t="s">
        <v>1286</v>
      </c>
      <c r="E242" s="11" t="s">
        <v>2259</v>
      </c>
      <c r="F242" s="36" t="s">
        <v>1452</v>
      </c>
      <c r="G242" s="265" t="s">
        <v>2260</v>
      </c>
      <c r="H242" s="36" t="s">
        <v>1923</v>
      </c>
      <c r="I242" s="36" t="s">
        <v>2261</v>
      </c>
      <c r="J242" s="144" t="s">
        <v>1245</v>
      </c>
      <c r="K242" s="390"/>
      <c r="L242" s="146" t="s">
        <v>2262</v>
      </c>
    </row>
    <row r="243" spans="1:12" ht="15">
      <c r="A243" s="317"/>
      <c r="B243" s="306"/>
      <c r="C243" s="31">
        <f xml:space="preserve"> VLOOKUP(E243, $A$3:$E$704, 2, FALSE)</f>
        <v>46070</v>
      </c>
      <c r="D243" s="36" t="s">
        <v>1286</v>
      </c>
      <c r="E243" s="11" t="s">
        <v>1545</v>
      </c>
      <c r="F243" s="36" t="s">
        <v>1772</v>
      </c>
      <c r="G243" s="265" t="s">
        <v>2263</v>
      </c>
      <c r="H243" s="36" t="s">
        <v>2191</v>
      </c>
      <c r="I243" s="36" t="s">
        <v>2264</v>
      </c>
      <c r="L243" s="146" t="s">
        <v>2265</v>
      </c>
    </row>
    <row r="244" spans="1:12" ht="15">
      <c r="B244" s="39"/>
      <c r="C244" s="31">
        <f xml:space="preserve"> VLOOKUP(E244, $A$3:$E$704, 2, FALSE)</f>
        <v>46052</v>
      </c>
      <c r="D244" s="36" t="s">
        <v>1286</v>
      </c>
      <c r="E244" s="150" t="s">
        <v>1512</v>
      </c>
      <c r="F244" s="36" t="s">
        <v>1452</v>
      </c>
      <c r="G244" s="265" t="s">
        <v>2266</v>
      </c>
      <c r="H244" s="36" t="s">
        <v>1474</v>
      </c>
      <c r="I244" s="36" t="s">
        <v>2267</v>
      </c>
      <c r="J244" s="144" t="s">
        <v>1702</v>
      </c>
      <c r="L244" s="146" t="s">
        <v>2268</v>
      </c>
    </row>
    <row r="245" spans="1:12" ht="15">
      <c r="B245" s="39"/>
      <c r="C245" s="31" t="e">
        <f xml:space="preserve"> VLOOKUP(E245, $A$3:$E$704, 2, FALSE)</f>
        <v>#N/A</v>
      </c>
      <c r="D245" s="36" t="s">
        <v>1286</v>
      </c>
      <c r="E245" s="150" t="s">
        <v>2269</v>
      </c>
      <c r="F245" s="36" t="s">
        <v>1961</v>
      </c>
      <c r="G245" s="265" t="s">
        <v>1962</v>
      </c>
      <c r="H245" s="36" t="s">
        <v>1902</v>
      </c>
      <c r="I245" s="36" t="s">
        <v>2270</v>
      </c>
      <c r="J245" s="144">
        <v>45887</v>
      </c>
    </row>
    <row r="246" spans="1:12" ht="15">
      <c r="A246" s="12"/>
      <c r="B246" s="229"/>
      <c r="C246" s="31">
        <f xml:space="preserve"> VLOOKUP(E246, $A$3:$E$704, 2, FALSE)</f>
        <v>46073</v>
      </c>
      <c r="D246" s="36" t="s">
        <v>1286</v>
      </c>
      <c r="E246" s="150" t="s">
        <v>1582</v>
      </c>
      <c r="F246" s="36" t="s">
        <v>1961</v>
      </c>
      <c r="G246" s="265" t="s">
        <v>1962</v>
      </c>
      <c r="H246" s="36" t="s">
        <v>1800</v>
      </c>
      <c r="I246" s="36" t="s">
        <v>2271</v>
      </c>
      <c r="J246" s="144">
        <v>45986</v>
      </c>
      <c r="K246" s="275" t="s">
        <v>1821</v>
      </c>
    </row>
    <row r="247" spans="1:12" ht="15">
      <c r="A247" s="12"/>
      <c r="B247" s="229"/>
      <c r="C247" s="31">
        <f xml:space="preserve"> VLOOKUP(E247, $A$3:$E$704, 2, FALSE)</f>
        <v>46048</v>
      </c>
      <c r="D247" s="36" t="s">
        <v>1286</v>
      </c>
      <c r="E247" s="150" t="s">
        <v>1673</v>
      </c>
      <c r="F247" s="36" t="s">
        <v>1961</v>
      </c>
      <c r="H247" s="36" t="s">
        <v>1448</v>
      </c>
      <c r="I247" s="36" t="s">
        <v>2272</v>
      </c>
      <c r="J247" s="144">
        <v>45992</v>
      </c>
      <c r="K247" s="275" t="s">
        <v>1821</v>
      </c>
      <c r="L247" s="275" t="s">
        <v>2273</v>
      </c>
    </row>
    <row r="248" spans="1:12" ht="15">
      <c r="B248" s="39"/>
      <c r="C248" s="31" t="e">
        <f xml:space="preserve"> VLOOKUP(E248, $A$3:$E$704, 2, FALSE)</f>
        <v>#N/A</v>
      </c>
      <c r="D248" s="36" t="s">
        <v>1286</v>
      </c>
      <c r="E248" s="11" t="s">
        <v>2274</v>
      </c>
      <c r="F248" s="36" t="s">
        <v>2149</v>
      </c>
      <c r="G248" s="265" t="s">
        <v>1962</v>
      </c>
      <c r="H248" s="36" t="s">
        <v>1795</v>
      </c>
      <c r="I248" s="36" t="s">
        <v>2275</v>
      </c>
      <c r="J248" s="144">
        <v>45992</v>
      </c>
    </row>
    <row r="249" spans="1:12" ht="15">
      <c r="B249" s="39"/>
      <c r="C249" s="31">
        <f xml:space="preserve"> VLOOKUP(E249, $A$3:$E$704, 2, FALSE)</f>
        <v>46048</v>
      </c>
      <c r="D249" s="36" t="s">
        <v>1286</v>
      </c>
      <c r="E249" s="11" t="s">
        <v>1564</v>
      </c>
      <c r="F249" s="36" t="s">
        <v>1961</v>
      </c>
      <c r="H249" s="36" t="s">
        <v>2276</v>
      </c>
      <c r="I249" s="36" t="s">
        <v>2277</v>
      </c>
      <c r="J249" s="144">
        <v>45978</v>
      </c>
    </row>
    <row r="250" spans="1:12" ht="15">
      <c r="B250" s="39"/>
      <c r="C250" s="31">
        <f xml:space="preserve"> VLOOKUP(E250, $A$3:$E$704, 2, FALSE)</f>
        <v>46064</v>
      </c>
      <c r="D250" s="36" t="s">
        <v>1286</v>
      </c>
      <c r="E250" s="11" t="s">
        <v>1870</v>
      </c>
      <c r="F250" s="160" t="s">
        <v>1863</v>
      </c>
      <c r="G250" s="160" t="s">
        <v>2278</v>
      </c>
      <c r="H250" s="36" t="s">
        <v>2279</v>
      </c>
      <c r="I250" s="36" t="s">
        <v>2280</v>
      </c>
      <c r="J250" s="144">
        <v>46056</v>
      </c>
      <c r="K250" s="146" t="s">
        <v>1899</v>
      </c>
    </row>
    <row r="251" spans="1:12" ht="15">
      <c r="B251" s="39"/>
      <c r="C251" s="31">
        <f xml:space="preserve"> VLOOKUP(E251, $A$3:$E$704, 2, FALSE)</f>
        <v>46069</v>
      </c>
      <c r="D251" s="36" t="s">
        <v>1286</v>
      </c>
      <c r="E251" s="11" t="s">
        <v>1826</v>
      </c>
      <c r="F251" s="36" t="s">
        <v>1680</v>
      </c>
      <c r="H251" s="36" t="s">
        <v>2281</v>
      </c>
      <c r="I251" s="36" t="s">
        <v>2282</v>
      </c>
      <c r="J251" s="144" t="s">
        <v>2283</v>
      </c>
      <c r="K251" s="146" t="s">
        <v>1431</v>
      </c>
    </row>
    <row r="252" spans="1:12" ht="15">
      <c r="B252" s="39"/>
      <c r="C252" s="31">
        <f xml:space="preserve"> VLOOKUP(E252, $A$3:$E$704, 2, FALSE)</f>
        <v>46092</v>
      </c>
      <c r="D252" s="36" t="s">
        <v>1286</v>
      </c>
      <c r="E252" s="11" t="s">
        <v>1812</v>
      </c>
      <c r="F252" s="36" t="s">
        <v>2284</v>
      </c>
      <c r="H252" s="36" t="s">
        <v>2285</v>
      </c>
      <c r="I252" s="36" t="s">
        <v>2286</v>
      </c>
      <c r="K252" s="275"/>
    </row>
    <row r="253" spans="1:12" ht="15">
      <c r="B253" s="39"/>
      <c r="C253" s="31">
        <f xml:space="preserve"> VLOOKUP(E253, $A$3:$E$704, 2, FALSE)</f>
        <v>46092</v>
      </c>
      <c r="D253" s="36" t="s">
        <v>1286</v>
      </c>
      <c r="E253" s="11" t="s">
        <v>1526</v>
      </c>
      <c r="F253" s="36" t="s">
        <v>1680</v>
      </c>
      <c r="H253" s="36" t="s">
        <v>2285</v>
      </c>
      <c r="I253" s="36" t="s">
        <v>2286</v>
      </c>
      <c r="K253" s="275"/>
    </row>
    <row r="254" spans="1:12" ht="15">
      <c r="B254" s="39"/>
      <c r="C254" s="31" t="e">
        <f xml:space="preserve"> VLOOKUP(E254, $A$3:$E$704, 2, FALSE)</f>
        <v>#N/A</v>
      </c>
      <c r="D254" s="36" t="s">
        <v>1286</v>
      </c>
      <c r="E254" s="11" t="s">
        <v>2287</v>
      </c>
      <c r="F254" s="36" t="s">
        <v>1863</v>
      </c>
      <c r="G254" s="160" t="s">
        <v>2288</v>
      </c>
      <c r="H254" s="36" t="s">
        <v>2289</v>
      </c>
      <c r="I254" s="36" t="s">
        <v>2290</v>
      </c>
      <c r="K254" s="275"/>
    </row>
    <row r="255" spans="1:12" ht="24">
      <c r="A255" s="12"/>
      <c r="B255" s="229"/>
      <c r="C255" s="31">
        <f xml:space="preserve"> VLOOKUP(E255, $A$3:$E$704, 2, FALSE)</f>
        <v>46079</v>
      </c>
      <c r="D255" s="36" t="s">
        <v>1319</v>
      </c>
      <c r="E255" s="150" t="s">
        <v>1730</v>
      </c>
      <c r="F255" s="36" t="s">
        <v>1645</v>
      </c>
      <c r="G255" s="160" t="s">
        <v>2291</v>
      </c>
      <c r="H255" s="36" t="s">
        <v>2124</v>
      </c>
      <c r="I255" s="36" t="s">
        <v>2292</v>
      </c>
      <c r="K255" s="146" t="s">
        <v>1865</v>
      </c>
      <c r="L255" s="275" t="s">
        <v>2293</v>
      </c>
    </row>
    <row r="256" spans="1:12" ht="14.25" customHeight="1">
      <c r="B256" s="39"/>
      <c r="C256" s="31">
        <f xml:space="preserve"> VLOOKUP(E256, $A$3:$E$704, 2, FALSE)</f>
        <v>46050</v>
      </c>
      <c r="D256" s="36" t="s">
        <v>1319</v>
      </c>
      <c r="E256" s="11" t="s">
        <v>1588</v>
      </c>
      <c r="F256" s="36" t="s">
        <v>1645</v>
      </c>
      <c r="G256" s="265" t="s">
        <v>2294</v>
      </c>
      <c r="H256" s="36" t="s">
        <v>2124</v>
      </c>
      <c r="I256" s="36" t="s">
        <v>2295</v>
      </c>
      <c r="J256" s="144">
        <v>45986</v>
      </c>
      <c r="K256" s="146" t="s">
        <v>1865</v>
      </c>
    </row>
    <row r="257" spans="1:12" ht="15">
      <c r="B257" s="39"/>
      <c r="C257" s="31">
        <f xml:space="preserve"> VLOOKUP(E257, $A$3:$E$704, 2, FALSE)</f>
        <v>46087</v>
      </c>
      <c r="D257" s="36" t="s">
        <v>1319</v>
      </c>
      <c r="E257" s="11" t="s">
        <v>1830</v>
      </c>
      <c r="F257" s="36" t="s">
        <v>1961</v>
      </c>
      <c r="H257" s="36" t="s">
        <v>2296</v>
      </c>
      <c r="I257" s="36" t="s">
        <v>2297</v>
      </c>
      <c r="J257" s="144">
        <v>46048</v>
      </c>
      <c r="K257" s="146" t="s">
        <v>1797</v>
      </c>
    </row>
    <row r="258" spans="1:12" ht="15">
      <c r="B258" s="39"/>
      <c r="C258" s="31">
        <f xml:space="preserve"> VLOOKUP(E258, $A$3:$E$704, 2, FALSE)</f>
        <v>46076</v>
      </c>
      <c r="D258" s="36" t="s">
        <v>1319</v>
      </c>
      <c r="E258" s="11" t="s">
        <v>1875</v>
      </c>
      <c r="F258" s="160" t="s">
        <v>1881</v>
      </c>
      <c r="H258" s="36" t="s">
        <v>2298</v>
      </c>
      <c r="I258" s="36" t="s">
        <v>2299</v>
      </c>
      <c r="J258" s="144">
        <v>46052</v>
      </c>
      <c r="K258" s="146" t="s">
        <v>1797</v>
      </c>
      <c r="L258" s="146" t="s">
        <v>2300</v>
      </c>
    </row>
    <row r="259" spans="1:12" ht="15">
      <c r="A259" s="12"/>
      <c r="B259" s="229"/>
      <c r="C259" s="31">
        <f xml:space="preserve"> VLOOKUP(E259, $A$3:$E$704, 2, FALSE)</f>
        <v>46076</v>
      </c>
      <c r="D259" s="36" t="s">
        <v>1319</v>
      </c>
      <c r="E259" s="150" t="s">
        <v>1641</v>
      </c>
      <c r="F259" s="36" t="s">
        <v>1603</v>
      </c>
      <c r="G259" s="160" t="s">
        <v>2301</v>
      </c>
      <c r="H259" s="36" t="s">
        <v>1883</v>
      </c>
      <c r="I259" s="36" t="s">
        <v>2302</v>
      </c>
      <c r="J259" s="144">
        <v>46058</v>
      </c>
      <c r="K259" s="275" t="s">
        <v>1899</v>
      </c>
    </row>
    <row r="260" spans="1:12" ht="15">
      <c r="B260" s="39"/>
      <c r="C260" s="31">
        <f xml:space="preserve"> VLOOKUP(E260, $A$3:$E$704, 2, FALSE)</f>
        <v>46079</v>
      </c>
      <c r="D260" s="36" t="s">
        <v>1319</v>
      </c>
      <c r="E260" s="11" t="s">
        <v>1720</v>
      </c>
      <c r="F260" s="36" t="s">
        <v>1863</v>
      </c>
      <c r="H260" s="36" t="s">
        <v>1460</v>
      </c>
      <c r="I260" s="36" t="s">
        <v>2303</v>
      </c>
      <c r="J260" s="144">
        <v>46063</v>
      </c>
      <c r="K260" s="275" t="s">
        <v>2102</v>
      </c>
    </row>
    <row r="261" spans="1:12" ht="15">
      <c r="B261" s="39"/>
      <c r="C261" s="31">
        <f xml:space="preserve"> VLOOKUP(E261, $A$3:$E$704, 2, FALSE)</f>
        <v>46090</v>
      </c>
      <c r="D261" s="36" t="s">
        <v>1319</v>
      </c>
      <c r="E261" s="11" t="s">
        <v>1954</v>
      </c>
      <c r="F261" s="36" t="s">
        <v>1603</v>
      </c>
      <c r="H261" s="36" t="s">
        <v>2304</v>
      </c>
      <c r="I261" s="36" t="s">
        <v>2305</v>
      </c>
      <c r="J261" s="144">
        <v>46065</v>
      </c>
      <c r="K261" s="144" t="s">
        <v>1899</v>
      </c>
    </row>
    <row r="262" spans="1:12" ht="15">
      <c r="B262" s="39"/>
      <c r="C262" s="31">
        <f xml:space="preserve"> VLOOKUP(E262, $A$3:$E$704, 2, FALSE)</f>
        <v>46083</v>
      </c>
      <c r="D262" s="36" t="s">
        <v>1319</v>
      </c>
      <c r="E262" s="11" t="s">
        <v>2205</v>
      </c>
      <c r="F262" s="36" t="s">
        <v>1835</v>
      </c>
      <c r="H262" s="36" t="s">
        <v>2306</v>
      </c>
      <c r="I262" s="36" t="s">
        <v>2307</v>
      </c>
      <c r="J262" s="144">
        <v>46066</v>
      </c>
      <c r="K262" s="146" t="s">
        <v>1899</v>
      </c>
      <c r="L262" s="146" t="s">
        <v>2308</v>
      </c>
    </row>
    <row r="263" spans="1:12" ht="15">
      <c r="B263" s="39"/>
      <c r="C263" s="31">
        <f xml:space="preserve"> VLOOKUP(E263, $A$3:$E$704, 2, FALSE)</f>
        <v>46087</v>
      </c>
      <c r="D263" s="36" t="s">
        <v>1319</v>
      </c>
      <c r="E263" s="11" t="s">
        <v>2215</v>
      </c>
      <c r="F263" s="160" t="s">
        <v>1603</v>
      </c>
      <c r="G263" s="160" t="s">
        <v>2309</v>
      </c>
      <c r="H263" s="36" t="s">
        <v>2310</v>
      </c>
      <c r="I263" s="36" t="s">
        <v>2311</v>
      </c>
      <c r="J263" s="144">
        <v>46059</v>
      </c>
      <c r="K263" s="144" t="s">
        <v>1899</v>
      </c>
    </row>
    <row r="264" spans="1:12" ht="15">
      <c r="B264" s="39"/>
      <c r="C264" s="31">
        <f xml:space="preserve"> VLOOKUP(E264, $A$3:$E$704, 2, FALSE)</f>
        <v>46090</v>
      </c>
      <c r="D264" s="36" t="s">
        <v>1319</v>
      </c>
      <c r="E264" s="11" t="s">
        <v>2312</v>
      </c>
      <c r="F264" s="160" t="s">
        <v>1603</v>
      </c>
      <c r="G264" s="160" t="s">
        <v>2313</v>
      </c>
      <c r="H264" s="36" t="s">
        <v>2314</v>
      </c>
      <c r="I264" s="36" t="s">
        <v>2315</v>
      </c>
      <c r="J264" s="144">
        <v>46062</v>
      </c>
      <c r="K264" s="144" t="s">
        <v>1807</v>
      </c>
    </row>
    <row r="265" spans="1:12" ht="15">
      <c r="B265" s="39"/>
      <c r="C265" s="31">
        <f xml:space="preserve"> VLOOKUP(E265, $A$3:$E$704, 2, FALSE)</f>
        <v>46087</v>
      </c>
      <c r="D265" s="36" t="s">
        <v>1319</v>
      </c>
      <c r="E265" s="11" t="s">
        <v>1880</v>
      </c>
      <c r="F265" s="36" t="s">
        <v>1961</v>
      </c>
      <c r="H265" s="36" t="s">
        <v>2316</v>
      </c>
      <c r="I265" s="36" t="s">
        <v>2317</v>
      </c>
      <c r="J265" s="144">
        <v>46063</v>
      </c>
      <c r="K265" s="275" t="s">
        <v>2102</v>
      </c>
    </row>
    <row r="266" spans="1:12" ht="15">
      <c r="B266" s="39"/>
      <c r="C266" s="31">
        <f xml:space="preserve"> VLOOKUP(E266, $A$3:$E$704, 2, FALSE)</f>
        <v>46087</v>
      </c>
      <c r="D266" s="36" t="s">
        <v>1319</v>
      </c>
      <c r="E266" s="11" t="s">
        <v>1926</v>
      </c>
      <c r="F266" s="36" t="s">
        <v>396</v>
      </c>
      <c r="H266" s="36" t="s">
        <v>2318</v>
      </c>
      <c r="I266" s="36" t="s">
        <v>2319</v>
      </c>
      <c r="J266" s="144" t="s">
        <v>2320</v>
      </c>
      <c r="K266" s="144" t="s">
        <v>1807</v>
      </c>
    </row>
    <row r="267" spans="1:12" ht="15">
      <c r="B267" s="39"/>
      <c r="C267" s="31">
        <f xml:space="preserve"> VLOOKUP(E267, $A$3:$E$704, 2, FALSE)</f>
        <v>46076</v>
      </c>
      <c r="D267" s="36" t="s">
        <v>1319</v>
      </c>
      <c r="E267" s="11" t="s">
        <v>1520</v>
      </c>
      <c r="F267" s="36" t="s">
        <v>1603</v>
      </c>
      <c r="H267" s="36" t="s">
        <v>2321</v>
      </c>
      <c r="I267" s="36" t="s">
        <v>2322</v>
      </c>
      <c r="J267" s="144">
        <v>46064</v>
      </c>
      <c r="K267" s="144" t="s">
        <v>1431</v>
      </c>
      <c r="L267" s="146" t="s">
        <v>2323</v>
      </c>
    </row>
    <row r="268" spans="1:12" ht="15">
      <c r="B268" s="39"/>
      <c r="C268" s="31">
        <f xml:space="preserve"> VLOOKUP(E268, $A$3:$E$704, 2, FALSE)</f>
        <v>46087</v>
      </c>
      <c r="D268" s="36" t="s">
        <v>1319</v>
      </c>
      <c r="E268" s="11" t="s">
        <v>1947</v>
      </c>
      <c r="F268" s="36" t="s">
        <v>1680</v>
      </c>
      <c r="G268" s="160" t="s">
        <v>2324</v>
      </c>
      <c r="H268" s="36" t="s">
        <v>2325</v>
      </c>
      <c r="I268" s="36" t="s">
        <v>2311</v>
      </c>
      <c r="J268" s="144" t="s">
        <v>2326</v>
      </c>
      <c r="K268" s="144" t="s">
        <v>1899</v>
      </c>
      <c r="L268" s="374" t="s">
        <v>2327</v>
      </c>
    </row>
    <row r="269" spans="1:12" ht="15">
      <c r="B269" s="39"/>
      <c r="C269" s="31">
        <f xml:space="preserve"> VLOOKUP(E269, $A$3:$E$704, 2, FALSE)</f>
        <v>46090</v>
      </c>
      <c r="D269" s="36" t="s">
        <v>1319</v>
      </c>
      <c r="E269" s="11" t="s">
        <v>2023</v>
      </c>
      <c r="F269" s="36" t="s">
        <v>1603</v>
      </c>
      <c r="H269" s="36" t="s">
        <v>2328</v>
      </c>
      <c r="I269" s="36" t="s">
        <v>2329</v>
      </c>
      <c r="J269" s="144">
        <v>46069</v>
      </c>
      <c r="K269" s="144" t="s">
        <v>1807</v>
      </c>
    </row>
    <row r="270" spans="1:12" ht="15">
      <c r="B270" s="39"/>
      <c r="C270" s="31">
        <f xml:space="preserve"> VLOOKUP(E270, $A$3:$E$704, 2, FALSE)</f>
        <v>46090</v>
      </c>
      <c r="D270" s="36" t="s">
        <v>1319</v>
      </c>
      <c r="E270" s="11" t="s">
        <v>1969</v>
      </c>
      <c r="F270" s="36" t="s">
        <v>1895</v>
      </c>
      <c r="H270" s="36" t="s">
        <v>2330</v>
      </c>
      <c r="I270" s="36" t="s">
        <v>2331</v>
      </c>
      <c r="J270" s="144">
        <v>46070</v>
      </c>
      <c r="K270" s="144" t="s">
        <v>1899</v>
      </c>
    </row>
    <row r="271" spans="1:12" ht="15">
      <c r="B271" s="39"/>
      <c r="C271" s="31">
        <f xml:space="preserve"> VLOOKUP(E271, $A$3:$E$704, 2, FALSE)</f>
        <v>46087</v>
      </c>
      <c r="D271" s="36" t="s">
        <v>1319</v>
      </c>
      <c r="E271" s="11" t="s">
        <v>2203</v>
      </c>
      <c r="F271" s="36" t="s">
        <v>396</v>
      </c>
      <c r="H271" s="36" t="s">
        <v>2216</v>
      </c>
      <c r="I271" s="36" t="s">
        <v>2332</v>
      </c>
      <c r="J271" s="144" t="s">
        <v>2333</v>
      </c>
      <c r="K271" s="144" t="s">
        <v>1431</v>
      </c>
      <c r="L271" s="275" t="s">
        <v>2334</v>
      </c>
    </row>
    <row r="272" spans="1:12" ht="15">
      <c r="B272" s="39"/>
      <c r="C272" s="31">
        <f xml:space="preserve"> VLOOKUP(E272, $A$3:$E$704, 2, FALSE)</f>
        <v>46090</v>
      </c>
      <c r="D272" s="36" t="s">
        <v>1319</v>
      </c>
      <c r="E272" s="11" t="s">
        <v>1993</v>
      </c>
      <c r="F272" s="36" t="s">
        <v>1863</v>
      </c>
      <c r="H272" s="36" t="s">
        <v>1912</v>
      </c>
      <c r="I272" s="36" t="s">
        <v>2335</v>
      </c>
      <c r="J272" s="144">
        <v>46070</v>
      </c>
      <c r="K272" s="144" t="s">
        <v>1431</v>
      </c>
      <c r="L272" s="369" t="s">
        <v>2336</v>
      </c>
    </row>
    <row r="273" spans="1:12" ht="15">
      <c r="B273" s="39"/>
      <c r="C273" s="31">
        <f xml:space="preserve"> VLOOKUP(E273, $A$3:$E$704, 2, FALSE)</f>
        <v>46090</v>
      </c>
      <c r="D273" s="36" t="s">
        <v>1319</v>
      </c>
      <c r="E273" s="11" t="s">
        <v>1990</v>
      </c>
      <c r="F273" s="36" t="s">
        <v>1863</v>
      </c>
      <c r="H273" s="36" t="s">
        <v>1912</v>
      </c>
      <c r="I273" s="36" t="s">
        <v>2335</v>
      </c>
      <c r="J273" s="144">
        <v>46070</v>
      </c>
      <c r="K273" s="144" t="s">
        <v>1431</v>
      </c>
      <c r="L273" s="369" t="s">
        <v>2337</v>
      </c>
    </row>
    <row r="274" spans="1:12" ht="15">
      <c r="B274" s="39"/>
      <c r="C274" s="31">
        <f xml:space="preserve"> VLOOKUP(E274, $A$3:$E$704, 2, FALSE)</f>
        <v>46084</v>
      </c>
      <c r="D274" s="36" t="s">
        <v>1319</v>
      </c>
      <c r="E274" s="11" t="s">
        <v>1537</v>
      </c>
      <c r="F274" s="36" t="s">
        <v>1863</v>
      </c>
      <c r="H274" s="36" t="s">
        <v>2338</v>
      </c>
      <c r="I274" s="36" t="s">
        <v>2339</v>
      </c>
      <c r="J274" s="144">
        <v>46070</v>
      </c>
      <c r="K274" s="275" t="s">
        <v>1807</v>
      </c>
    </row>
    <row r="275" spans="1:12" ht="15">
      <c r="B275" s="39"/>
      <c r="C275" s="31">
        <f xml:space="preserve"> VLOOKUP(E275, $A$3:$E$704, 2, FALSE)</f>
        <v>46090</v>
      </c>
      <c r="D275" s="36" t="s">
        <v>1319</v>
      </c>
      <c r="E275" s="11" t="s">
        <v>1973</v>
      </c>
      <c r="F275" s="36" t="s">
        <v>396</v>
      </c>
      <c r="H275" s="36" t="s">
        <v>2007</v>
      </c>
      <c r="I275" s="36" t="s">
        <v>2340</v>
      </c>
      <c r="J275" s="144" t="s">
        <v>2341</v>
      </c>
      <c r="K275" s="144" t="s">
        <v>1431</v>
      </c>
      <c r="L275" s="374" t="s">
        <v>2342</v>
      </c>
    </row>
    <row r="276" spans="1:12" ht="15">
      <c r="B276" s="39"/>
      <c r="C276" s="31">
        <f xml:space="preserve"> VLOOKUP(E276, $A$3:$E$704, 2, FALSE)</f>
        <v>46084</v>
      </c>
      <c r="D276" s="36" t="s">
        <v>1319</v>
      </c>
      <c r="E276" s="11" t="s">
        <v>1498</v>
      </c>
      <c r="F276" s="36" t="s">
        <v>1603</v>
      </c>
      <c r="G276" s="160" t="s">
        <v>2343</v>
      </c>
      <c r="H276" s="36" t="s">
        <v>1754</v>
      </c>
      <c r="I276" s="36" t="s">
        <v>2344</v>
      </c>
      <c r="J276" s="144">
        <v>46071</v>
      </c>
      <c r="K276" s="144" t="s">
        <v>1899</v>
      </c>
    </row>
    <row r="277" spans="1:12" ht="15">
      <c r="B277" s="39"/>
      <c r="C277" s="31">
        <f xml:space="preserve"> VLOOKUP(E277, $A$3:$E$704, 2, FALSE)</f>
        <v>46087</v>
      </c>
      <c r="D277" s="36" t="s">
        <v>1319</v>
      </c>
      <c r="E277" s="11" t="s">
        <v>1495</v>
      </c>
      <c r="F277" s="36" t="s">
        <v>1881</v>
      </c>
      <c r="G277" s="160" t="s">
        <v>2345</v>
      </c>
      <c r="H277" s="36" t="s">
        <v>2346</v>
      </c>
      <c r="I277" s="36" t="s">
        <v>2347</v>
      </c>
      <c r="J277" s="144">
        <v>46064</v>
      </c>
      <c r="K277" s="144" t="s">
        <v>1865</v>
      </c>
    </row>
    <row r="278" spans="1:12" ht="15">
      <c r="B278" s="39"/>
      <c r="C278" s="31">
        <f xml:space="preserve"> VLOOKUP(E278, $A$3:$E$704, 2, FALSE)</f>
        <v>46090</v>
      </c>
      <c r="D278" s="36" t="s">
        <v>1319</v>
      </c>
      <c r="E278" s="11" t="s">
        <v>1574</v>
      </c>
      <c r="F278" s="36" t="s">
        <v>1881</v>
      </c>
      <c r="H278" s="36" t="s">
        <v>2346</v>
      </c>
      <c r="I278" s="36" t="s">
        <v>2347</v>
      </c>
      <c r="J278" s="144">
        <v>46064</v>
      </c>
      <c r="K278" s="144" t="s">
        <v>1865</v>
      </c>
      <c r="L278" s="146" t="s">
        <v>2348</v>
      </c>
    </row>
    <row r="279" spans="1:12" ht="15">
      <c r="B279" s="39"/>
      <c r="C279" s="31">
        <f xml:space="preserve"> VLOOKUP(E279, $A$3:$E$704, 2, FALSE)</f>
        <v>46087</v>
      </c>
      <c r="D279" s="36" t="s">
        <v>1319</v>
      </c>
      <c r="E279" s="11" t="s">
        <v>2055</v>
      </c>
      <c r="F279" s="36" t="s">
        <v>1863</v>
      </c>
      <c r="H279" s="36" t="s">
        <v>2349</v>
      </c>
      <c r="I279" s="36" t="s">
        <v>2350</v>
      </c>
      <c r="J279" s="144">
        <v>46101</v>
      </c>
      <c r="K279" s="275" t="s">
        <v>1899</v>
      </c>
    </row>
    <row r="280" spans="1:12" ht="15">
      <c r="B280" s="39"/>
      <c r="C280" s="31">
        <f xml:space="preserve"> VLOOKUP(E280, $A$3:$E$704, 2, FALSE)</f>
        <v>46090</v>
      </c>
      <c r="D280" s="36" t="s">
        <v>1319</v>
      </c>
      <c r="E280" s="11" t="s">
        <v>1597</v>
      </c>
      <c r="F280" s="36" t="s">
        <v>1603</v>
      </c>
      <c r="H280" s="36" t="s">
        <v>2276</v>
      </c>
      <c r="I280" s="36" t="s">
        <v>2351</v>
      </c>
      <c r="J280" s="144">
        <v>46101</v>
      </c>
      <c r="K280" s="275" t="s">
        <v>1899</v>
      </c>
      <c r="L280" s="146" t="s">
        <v>2352</v>
      </c>
    </row>
    <row r="281" spans="1:12" ht="15">
      <c r="B281" s="39"/>
      <c r="C281" s="31">
        <f xml:space="preserve"> VLOOKUP(E281, $A$3:$E$704, 2, FALSE)</f>
        <v>46083</v>
      </c>
      <c r="D281" s="36" t="s">
        <v>1319</v>
      </c>
      <c r="E281" s="11" t="s">
        <v>1419</v>
      </c>
      <c r="F281" s="36" t="s">
        <v>1863</v>
      </c>
      <c r="H281" s="36" t="s">
        <v>2349</v>
      </c>
      <c r="I281" s="36" t="s">
        <v>2353</v>
      </c>
      <c r="J281" s="144">
        <v>46101</v>
      </c>
      <c r="K281" s="275" t="s">
        <v>1431</v>
      </c>
      <c r="L281" s="146" t="s">
        <v>2354</v>
      </c>
    </row>
    <row r="282" spans="1:12" ht="24">
      <c r="B282" s="39"/>
      <c r="C282" s="31">
        <f xml:space="preserve"> VLOOKUP(E282, $A$3:$E$704, 2, FALSE)</f>
        <v>46097</v>
      </c>
      <c r="D282" s="36" t="s">
        <v>1319</v>
      </c>
      <c r="E282" s="11" t="s">
        <v>1566</v>
      </c>
      <c r="F282" s="36" t="s">
        <v>1603</v>
      </c>
      <c r="G282" s="160" t="s">
        <v>2355</v>
      </c>
      <c r="H282" s="36" t="s">
        <v>2356</v>
      </c>
      <c r="I282" s="36" t="s">
        <v>2357</v>
      </c>
      <c r="J282" s="144">
        <v>46041</v>
      </c>
      <c r="K282" s="144" t="s">
        <v>1899</v>
      </c>
      <c r="L282" s="146" t="s">
        <v>2358</v>
      </c>
    </row>
    <row r="283" spans="1:12" ht="15">
      <c r="B283" s="39"/>
      <c r="C283" s="31" t="e">
        <f xml:space="preserve"> VLOOKUP(E283, $A$3:$E$704, 2, FALSE)</f>
        <v>#N/A</v>
      </c>
      <c r="D283" s="36" t="s">
        <v>1319</v>
      </c>
      <c r="E283" s="11" t="s">
        <v>2359</v>
      </c>
      <c r="F283" s="36" t="s">
        <v>1603</v>
      </c>
      <c r="G283" s="160" t="s">
        <v>2360</v>
      </c>
      <c r="H283" s="36" t="s">
        <v>2250</v>
      </c>
      <c r="I283" s="36" t="s">
        <v>2361</v>
      </c>
      <c r="J283" s="144">
        <v>46041</v>
      </c>
      <c r="K283" s="144" t="s">
        <v>1899</v>
      </c>
      <c r="L283" s="146" t="s">
        <v>2362</v>
      </c>
    </row>
    <row r="284" spans="1:12" ht="15">
      <c r="A284" s="318"/>
      <c r="B284" s="229"/>
      <c r="C284" s="31">
        <f xml:space="preserve"> VLOOKUP(E284, $A$3:$E$704, 2, FALSE)</f>
        <v>46080</v>
      </c>
      <c r="D284" s="36" t="s">
        <v>1372</v>
      </c>
      <c r="E284" s="150" t="s">
        <v>1709</v>
      </c>
      <c r="F284" s="36" t="s">
        <v>396</v>
      </c>
      <c r="G284" s="265" t="s">
        <v>2363</v>
      </c>
      <c r="H284" s="36" t="s">
        <v>1436</v>
      </c>
      <c r="I284" s="36" t="s">
        <v>2364</v>
      </c>
      <c r="J284" s="144">
        <v>46071</v>
      </c>
      <c r="K284" s="144" t="s">
        <v>1899</v>
      </c>
      <c r="L284" s="374" t="s">
        <v>2365</v>
      </c>
    </row>
    <row r="285" spans="1:12" ht="15">
      <c r="A285" s="12"/>
      <c r="B285" s="229"/>
      <c r="C285" s="31">
        <f xml:space="preserve"> VLOOKUP(E285, $A$3:$E$704, 2, FALSE)</f>
        <v>46076</v>
      </c>
      <c r="D285" s="36" t="s">
        <v>1372</v>
      </c>
      <c r="E285" s="150" t="s">
        <v>1619</v>
      </c>
      <c r="F285" s="36" t="s">
        <v>1680</v>
      </c>
      <c r="H285" s="36" t="s">
        <v>2366</v>
      </c>
      <c r="I285" s="36" t="s">
        <v>2367</v>
      </c>
      <c r="J285" s="144" t="s">
        <v>2368</v>
      </c>
      <c r="K285" s="275" t="s">
        <v>2126</v>
      </c>
      <c r="L285" s="374" t="s">
        <v>2365</v>
      </c>
    </row>
    <row r="286" spans="1:12" ht="15">
      <c r="B286" s="39"/>
      <c r="C286" s="31">
        <f xml:space="preserve"> VLOOKUP(E286, $A$3:$E$704, 2, FALSE)</f>
        <v>46087</v>
      </c>
      <c r="D286" s="36" t="s">
        <v>1372</v>
      </c>
      <c r="E286" s="11" t="s">
        <v>1862</v>
      </c>
      <c r="F286" s="36" t="s">
        <v>1680</v>
      </c>
      <c r="H286" s="36" t="s">
        <v>2369</v>
      </c>
      <c r="I286" s="36" t="s">
        <v>2370</v>
      </c>
      <c r="J286" s="144" t="s">
        <v>2371</v>
      </c>
      <c r="K286" s="144" t="s">
        <v>1431</v>
      </c>
      <c r="L286" s="375" t="s">
        <v>2372</v>
      </c>
    </row>
    <row r="287" spans="1:12" ht="15">
      <c r="B287" s="39"/>
      <c r="C287" s="31">
        <f xml:space="preserve"> VLOOKUP(E287, $A$3:$E$704, 2, FALSE)</f>
        <v>46087</v>
      </c>
      <c r="D287" s="36" t="s">
        <v>1372</v>
      </c>
      <c r="E287" s="11" t="s">
        <v>1891</v>
      </c>
      <c r="F287" s="160" t="s">
        <v>2153</v>
      </c>
      <c r="H287" s="36" t="s">
        <v>2373</v>
      </c>
      <c r="I287" s="36" t="s">
        <v>2374</v>
      </c>
      <c r="J287" s="144">
        <v>46057.479166666664</v>
      </c>
      <c r="K287" s="280" t="s">
        <v>1797</v>
      </c>
      <c r="L287" s="376" t="s">
        <v>2375</v>
      </c>
    </row>
    <row r="288" spans="1:12" ht="15">
      <c r="A288" s="12"/>
      <c r="B288" s="229"/>
      <c r="C288" s="31">
        <f xml:space="preserve"> VLOOKUP(E288, $A$3:$E$704, 2, FALSE)</f>
        <v>46078</v>
      </c>
      <c r="D288" s="36" t="s">
        <v>1372</v>
      </c>
      <c r="E288" s="150" t="s">
        <v>1613</v>
      </c>
      <c r="F288" s="36" t="s">
        <v>1680</v>
      </c>
      <c r="G288" s="326"/>
      <c r="H288" s="36" t="s">
        <v>2376</v>
      </c>
      <c r="I288" s="36" t="s">
        <v>2377</v>
      </c>
      <c r="J288" s="144">
        <v>46022</v>
      </c>
      <c r="K288" s="275" t="s">
        <v>2102</v>
      </c>
      <c r="L288" s="275" t="s">
        <v>2378</v>
      </c>
    </row>
    <row r="289" spans="1:12" ht="15">
      <c r="A289" s="12"/>
      <c r="B289" s="229"/>
      <c r="C289" s="31">
        <f xml:space="preserve"> VLOOKUP(E289, $A$3:$E$704, 2, FALSE)</f>
        <v>46090</v>
      </c>
      <c r="D289" s="36" t="s">
        <v>1372</v>
      </c>
      <c r="E289" s="150" t="s">
        <v>1659</v>
      </c>
      <c r="F289" s="36" t="s">
        <v>396</v>
      </c>
      <c r="G289" s="160" t="s">
        <v>2379</v>
      </c>
      <c r="H289" s="36" t="s">
        <v>2380</v>
      </c>
      <c r="I289" s="36" t="s">
        <v>2381</v>
      </c>
      <c r="J289" s="144">
        <v>46006.479166666664</v>
      </c>
      <c r="K289" s="275" t="s">
        <v>2102</v>
      </c>
      <c r="L289" s="374" t="s">
        <v>2382</v>
      </c>
    </row>
    <row r="290" spans="1:12" ht="15">
      <c r="A290" s="12"/>
      <c r="B290" s="229"/>
      <c r="C290" s="31" t="e">
        <f xml:space="preserve"> VLOOKUP(E290, $A$3:$E$704, 2, FALSE)</f>
        <v>#N/A</v>
      </c>
      <c r="D290" s="36" t="s">
        <v>1372</v>
      </c>
      <c r="E290" s="150" t="s">
        <v>2383</v>
      </c>
      <c r="F290" s="36" t="s">
        <v>1881</v>
      </c>
      <c r="H290" s="36" t="s">
        <v>2384</v>
      </c>
      <c r="I290" s="36" t="s">
        <v>2385</v>
      </c>
      <c r="J290" s="144">
        <v>45973</v>
      </c>
      <c r="L290" s="275" t="s">
        <v>2386</v>
      </c>
    </row>
    <row r="291" spans="1:12" ht="15">
      <c r="A291" s="12"/>
      <c r="B291" s="229"/>
      <c r="C291" s="31" t="e">
        <f xml:space="preserve"> VLOOKUP(E291, $A$3:$E$704, 2, FALSE)</f>
        <v>#N/A</v>
      </c>
      <c r="D291" s="36" t="s">
        <v>1372</v>
      </c>
      <c r="E291" s="150" t="s">
        <v>2387</v>
      </c>
      <c r="F291" s="36" t="s">
        <v>1881</v>
      </c>
      <c r="H291" s="36" t="s">
        <v>2384</v>
      </c>
      <c r="I291" s="36" t="s">
        <v>2388</v>
      </c>
      <c r="J291" s="144">
        <v>45973</v>
      </c>
      <c r="L291" s="275" t="s">
        <v>2386</v>
      </c>
    </row>
    <row r="292" spans="1:12" ht="15">
      <c r="B292" s="39"/>
      <c r="C292" s="31">
        <f xml:space="preserve"> VLOOKUP(E292, $A$3:$E$704, 2, FALSE)</f>
        <v>46079</v>
      </c>
      <c r="D292" s="36" t="s">
        <v>1372</v>
      </c>
      <c r="E292" s="11" t="s">
        <v>1784</v>
      </c>
      <c r="F292" s="36" t="s">
        <v>1603</v>
      </c>
      <c r="H292" s="36" t="s">
        <v>2389</v>
      </c>
      <c r="I292" s="36" t="s">
        <v>2390</v>
      </c>
      <c r="J292" s="144">
        <v>46038</v>
      </c>
      <c r="K292" s="146" t="s">
        <v>1899</v>
      </c>
      <c r="L292" s="146" t="s">
        <v>2391</v>
      </c>
    </row>
    <row r="293" spans="1:12" ht="15">
      <c r="B293" s="39"/>
      <c r="C293" s="31">
        <f xml:space="preserve"> VLOOKUP(E293, $A$3:$E$704, 2, FALSE)</f>
        <v>46079</v>
      </c>
      <c r="D293" s="36" t="s">
        <v>1372</v>
      </c>
      <c r="E293" s="11" t="s">
        <v>1838</v>
      </c>
      <c r="F293" s="36" t="s">
        <v>1427</v>
      </c>
      <c r="H293" s="36" t="s">
        <v>2392</v>
      </c>
      <c r="I293" s="36" t="s">
        <v>2393</v>
      </c>
      <c r="J293" s="144">
        <v>46048</v>
      </c>
      <c r="K293" s="146" t="s">
        <v>1899</v>
      </c>
    </row>
    <row r="294" spans="1:12" ht="15">
      <c r="B294" s="39"/>
      <c r="C294" s="31">
        <f xml:space="preserve"> VLOOKUP(E294, $A$3:$E$704, 2, FALSE)</f>
        <v>46083</v>
      </c>
      <c r="D294" s="36" t="s">
        <v>1372</v>
      </c>
      <c r="E294" s="11" t="s">
        <v>1855</v>
      </c>
      <c r="F294" s="160" t="s">
        <v>1435</v>
      </c>
      <c r="H294" s="36" t="s">
        <v>2394</v>
      </c>
      <c r="I294" s="36" t="s">
        <v>2395</v>
      </c>
      <c r="J294" s="144">
        <v>46057</v>
      </c>
      <c r="K294" s="144" t="s">
        <v>1899</v>
      </c>
      <c r="L294" s="146" t="s">
        <v>2396</v>
      </c>
    </row>
    <row r="295" spans="1:12" ht="15">
      <c r="B295" s="39"/>
      <c r="C295" s="31">
        <f xml:space="preserve"> VLOOKUP(E295, $A$3:$E$704, 2, FALSE)</f>
        <v>46099</v>
      </c>
      <c r="D295" s="36" t="s">
        <v>1372</v>
      </c>
      <c r="E295" s="11" t="s">
        <v>1886</v>
      </c>
      <c r="F295" s="160" t="s">
        <v>1603</v>
      </c>
      <c r="H295" s="36" t="s">
        <v>2247</v>
      </c>
      <c r="I295" s="36" t="s">
        <v>2397</v>
      </c>
      <c r="J295" s="144">
        <v>46058</v>
      </c>
      <c r="K295" s="144" t="s">
        <v>2102</v>
      </c>
    </row>
    <row r="296" spans="1:12" ht="15">
      <c r="A296" s="12"/>
      <c r="B296" s="229"/>
      <c r="C296" s="31">
        <f xml:space="preserve"> VLOOKUP(E296, $A$3:$E$704, 2, FALSE)</f>
        <v>46090</v>
      </c>
      <c r="D296" s="36" t="s">
        <v>1372</v>
      </c>
      <c r="E296" s="150" t="s">
        <v>1765</v>
      </c>
      <c r="F296" s="160" t="s">
        <v>1435</v>
      </c>
      <c r="G296" s="160" t="s">
        <v>2398</v>
      </c>
      <c r="H296" s="36" t="s">
        <v>2321</v>
      </c>
      <c r="I296" s="36" t="s">
        <v>2399</v>
      </c>
      <c r="J296" s="144" t="s">
        <v>2400</v>
      </c>
      <c r="K296" s="144" t="s">
        <v>1431</v>
      </c>
      <c r="L296" s="275"/>
    </row>
    <row r="297" spans="1:12" ht="15">
      <c r="B297" s="39"/>
      <c r="C297" s="31">
        <f xml:space="preserve"> VLOOKUP(E297, $A$3:$E$704, 2, FALSE)</f>
        <v>46087</v>
      </c>
      <c r="D297" s="36" t="s">
        <v>1372</v>
      </c>
      <c r="E297" s="11" t="s">
        <v>1931</v>
      </c>
      <c r="F297" s="36" t="s">
        <v>2401</v>
      </c>
      <c r="H297" s="36" t="s">
        <v>2402</v>
      </c>
      <c r="I297" s="36" t="s">
        <v>2403</v>
      </c>
      <c r="J297" s="144" t="s">
        <v>2404</v>
      </c>
      <c r="K297" s="275"/>
    </row>
    <row r="298" spans="1:12" ht="15">
      <c r="B298" s="39"/>
      <c r="C298" s="31">
        <f xml:space="preserve"> VLOOKUP(E298, $A$3:$E$704, 2, FALSE)</f>
        <v>46090</v>
      </c>
      <c r="D298" s="36" t="s">
        <v>1372</v>
      </c>
      <c r="E298" s="11" t="s">
        <v>1996</v>
      </c>
      <c r="F298" s="36" t="s">
        <v>1603</v>
      </c>
      <c r="H298" s="36" t="s">
        <v>2405</v>
      </c>
      <c r="I298" s="36" t="s">
        <v>2406</v>
      </c>
      <c r="J298" s="144">
        <v>46065</v>
      </c>
      <c r="K298" s="275"/>
    </row>
    <row r="299" spans="1:12" ht="15">
      <c r="B299" s="39"/>
      <c r="C299" s="31">
        <f xml:space="preserve"> VLOOKUP(E299, $A$3:$E$704, 2, FALSE)</f>
        <v>46087</v>
      </c>
      <c r="D299" s="36" t="s">
        <v>1372</v>
      </c>
      <c r="E299" s="11" t="s">
        <v>1937</v>
      </c>
      <c r="F299" s="36" t="s">
        <v>1603</v>
      </c>
      <c r="H299" s="36" t="s">
        <v>2407</v>
      </c>
      <c r="I299" s="36" t="s">
        <v>2408</v>
      </c>
      <c r="J299" s="144">
        <v>46069</v>
      </c>
      <c r="K299" s="275"/>
    </row>
    <row r="300" spans="1:12" ht="15">
      <c r="B300" s="39"/>
      <c r="C300" s="31">
        <f xml:space="preserve"> VLOOKUP(E300, $A$3:$E$704, 2, FALSE)</f>
        <v>46084</v>
      </c>
      <c r="D300" s="36" t="s">
        <v>1372</v>
      </c>
      <c r="E300" s="11" t="s">
        <v>1664</v>
      </c>
      <c r="F300" s="36" t="s">
        <v>1680</v>
      </c>
      <c r="G300" s="160" t="s">
        <v>2409</v>
      </c>
      <c r="H300" s="36" t="s">
        <v>2410</v>
      </c>
      <c r="I300" s="36" t="s">
        <v>2411</v>
      </c>
      <c r="J300" s="144" t="s">
        <v>2412</v>
      </c>
      <c r="K300" s="275" t="s">
        <v>1807</v>
      </c>
    </row>
    <row r="301" spans="1:12" ht="15">
      <c r="B301" s="39"/>
      <c r="C301" s="31">
        <f xml:space="preserve"> VLOOKUP(E301, $A$3:$E$704, 2, FALSE)</f>
        <v>46092</v>
      </c>
      <c r="D301" s="36" t="s">
        <v>1372</v>
      </c>
      <c r="E301" s="11" t="s">
        <v>2188</v>
      </c>
      <c r="F301" s="36" t="s">
        <v>1435</v>
      </c>
      <c r="H301" s="36" t="s">
        <v>2140</v>
      </c>
      <c r="I301" s="36" t="s">
        <v>2413</v>
      </c>
      <c r="J301" s="144">
        <v>46071</v>
      </c>
      <c r="K301" s="275" t="s">
        <v>1431</v>
      </c>
      <c r="L301" s="146" t="s">
        <v>2414</v>
      </c>
    </row>
    <row r="302" spans="1:12" ht="15">
      <c r="B302" s="39"/>
      <c r="C302" s="31">
        <f xml:space="preserve"> VLOOKUP(E302, $A$3:$E$704, 2, FALSE)</f>
        <v>46090</v>
      </c>
      <c r="D302" s="36" t="s">
        <v>1372</v>
      </c>
      <c r="E302" s="11" t="s">
        <v>1979</v>
      </c>
      <c r="F302" s="36" t="s">
        <v>1603</v>
      </c>
      <c r="H302" s="36" t="s">
        <v>2415</v>
      </c>
      <c r="I302" s="36" t="s">
        <v>2416</v>
      </c>
      <c r="J302" s="144">
        <v>46071</v>
      </c>
      <c r="K302" s="275" t="s">
        <v>1807</v>
      </c>
    </row>
    <row r="303" spans="1:12" ht="15">
      <c r="B303" s="39"/>
      <c r="C303" s="31">
        <f xml:space="preserve"> VLOOKUP(E303, $A$3:$E$704, 2, FALSE)</f>
        <v>46087</v>
      </c>
      <c r="D303" s="36" t="s">
        <v>1372</v>
      </c>
      <c r="E303" s="11" t="s">
        <v>2211</v>
      </c>
      <c r="F303" s="36" t="s">
        <v>396</v>
      </c>
      <c r="H303" s="36" t="s">
        <v>2140</v>
      </c>
      <c r="I303" s="36" t="s">
        <v>2417</v>
      </c>
      <c r="J303" s="144" t="s">
        <v>2418</v>
      </c>
      <c r="K303" s="275"/>
      <c r="L303" s="146" t="s">
        <v>2419</v>
      </c>
    </row>
    <row r="304" spans="1:12" ht="15">
      <c r="B304" s="39"/>
      <c r="C304" s="31">
        <f xml:space="preserve"> VLOOKUP(E304, $A$3:$E$704, 2, FALSE)</f>
        <v>46090</v>
      </c>
      <c r="D304" s="36" t="s">
        <v>1372</v>
      </c>
      <c r="E304" s="11" t="s">
        <v>2011</v>
      </c>
      <c r="F304" s="36" t="s">
        <v>1772</v>
      </c>
      <c r="H304" s="36" t="s">
        <v>1474</v>
      </c>
      <c r="I304" s="36" t="s">
        <v>2420</v>
      </c>
      <c r="J304" s="144">
        <v>46041</v>
      </c>
      <c r="K304" s="275"/>
    </row>
    <row r="305" spans="2:12" ht="15">
      <c r="B305" s="39"/>
      <c r="C305" s="31">
        <f xml:space="preserve"> VLOOKUP(E305, $A$3:$E$704, 2, FALSE)</f>
        <v>46090</v>
      </c>
      <c r="D305" s="36" t="s">
        <v>1372</v>
      </c>
      <c r="E305" s="11" t="s">
        <v>1987</v>
      </c>
      <c r="F305" s="36" t="s">
        <v>1603</v>
      </c>
      <c r="H305" s="36" t="s">
        <v>2421</v>
      </c>
      <c r="I305" s="36" t="s">
        <v>2422</v>
      </c>
      <c r="J305" s="144">
        <v>46041</v>
      </c>
      <c r="K305" s="275"/>
    </row>
    <row r="306" spans="2:12" ht="15">
      <c r="B306" s="39"/>
      <c r="C306" s="31">
        <f xml:space="preserve"> VLOOKUP(E306, $A$3:$E$704, 2, FALSE)</f>
        <v>46090</v>
      </c>
      <c r="D306" s="36" t="s">
        <v>1372</v>
      </c>
      <c r="E306" s="11" t="s">
        <v>1959</v>
      </c>
      <c r="F306" s="36" t="s">
        <v>1603</v>
      </c>
      <c r="H306" s="36" t="s">
        <v>2423</v>
      </c>
      <c r="I306" s="36" t="s">
        <v>2424</v>
      </c>
      <c r="J306" s="144">
        <v>46072</v>
      </c>
      <c r="K306" s="275"/>
    </row>
    <row r="307" spans="2:12" ht="15">
      <c r="B307" s="39"/>
      <c r="C307" s="31">
        <f xml:space="preserve"> VLOOKUP(E307, $A$3:$E$704, 2, FALSE)</f>
        <v>46094</v>
      </c>
      <c r="D307" s="36" t="s">
        <v>1372</v>
      </c>
      <c r="E307" s="11" t="s">
        <v>1934</v>
      </c>
      <c r="F307" s="36" t="s">
        <v>1435</v>
      </c>
      <c r="H307" s="36" t="s">
        <v>2349</v>
      </c>
      <c r="I307" s="36" t="s">
        <v>2425</v>
      </c>
      <c r="J307" s="144">
        <v>46076</v>
      </c>
      <c r="K307" s="275"/>
      <c r="L307" s="146" t="s">
        <v>2426</v>
      </c>
    </row>
    <row r="308" spans="2:12" ht="15">
      <c r="B308" s="39"/>
      <c r="C308" s="31">
        <f xml:space="preserve"> VLOOKUP(E308, $A$3:$E$704, 2, FALSE)</f>
        <v>46090</v>
      </c>
      <c r="D308" s="36" t="s">
        <v>1372</v>
      </c>
      <c r="E308" s="11" t="s">
        <v>1975</v>
      </c>
      <c r="F308" s="36" t="s">
        <v>1603</v>
      </c>
      <c r="H308" s="36" t="s">
        <v>2049</v>
      </c>
      <c r="I308" s="36" t="s">
        <v>2427</v>
      </c>
      <c r="J308" s="144">
        <v>46076</v>
      </c>
      <c r="K308" s="275"/>
    </row>
    <row r="309" spans="2:12" ht="15">
      <c r="B309" s="39"/>
      <c r="C309" s="31" t="e">
        <f xml:space="preserve"> VLOOKUP(E309, $A$3:$E$704, 2, FALSE)</f>
        <v>#N/A</v>
      </c>
      <c r="D309" s="36" t="s">
        <v>1372</v>
      </c>
      <c r="E309" s="11" t="s">
        <v>2428</v>
      </c>
      <c r="F309" s="36" t="s">
        <v>1603</v>
      </c>
      <c r="H309" s="36" t="s">
        <v>2429</v>
      </c>
      <c r="I309" s="36" t="s">
        <v>2430</v>
      </c>
      <c r="J309" s="144">
        <v>46076</v>
      </c>
      <c r="K309" s="275"/>
    </row>
    <row r="310" spans="2:12" ht="15">
      <c r="B310" s="39"/>
      <c r="C310" s="31">
        <f xml:space="preserve"> VLOOKUP(E310, $A$3:$E$704, 2, FALSE)</f>
        <v>46092</v>
      </c>
      <c r="D310" s="36" t="s">
        <v>1387</v>
      </c>
      <c r="E310" s="11" t="s">
        <v>2034</v>
      </c>
      <c r="F310" s="36" t="s">
        <v>1427</v>
      </c>
      <c r="H310" s="36" t="s">
        <v>2431</v>
      </c>
      <c r="I310" s="36" t="s">
        <v>2432</v>
      </c>
      <c r="J310" s="144">
        <v>46101</v>
      </c>
      <c r="K310" s="275"/>
    </row>
    <row r="311" spans="2:12" ht="15">
      <c r="B311" s="39"/>
      <c r="C311" s="31">
        <f xml:space="preserve"> VLOOKUP(E311, $A$3:$E$704, 2, FALSE)</f>
        <v>46092</v>
      </c>
      <c r="D311" s="36" t="s">
        <v>1387</v>
      </c>
      <c r="E311" s="11" t="s">
        <v>2031</v>
      </c>
      <c r="F311" s="36" t="s">
        <v>1427</v>
      </c>
      <c r="H311" s="36" t="s">
        <v>2431</v>
      </c>
      <c r="I311" s="36" t="s">
        <v>2433</v>
      </c>
      <c r="J311" s="144">
        <v>46101</v>
      </c>
      <c r="K311" s="275"/>
    </row>
    <row r="312" spans="2:12" ht="15">
      <c r="B312" s="39"/>
      <c r="C312" s="31">
        <f xml:space="preserve"> VLOOKUP(E312, $A$3:$E$704, 2, FALSE)</f>
        <v>46077</v>
      </c>
      <c r="D312" s="36" t="s">
        <v>1387</v>
      </c>
      <c r="E312" s="11" t="s">
        <v>2077</v>
      </c>
      <c r="F312" s="36" t="s">
        <v>1863</v>
      </c>
      <c r="H312" s="36" t="s">
        <v>2434</v>
      </c>
      <c r="I312" s="36" t="s">
        <v>2435</v>
      </c>
      <c r="J312" s="144">
        <v>46076</v>
      </c>
      <c r="K312" s="275"/>
    </row>
    <row r="313" spans="2:12" ht="15">
      <c r="B313" s="39"/>
      <c r="C313" s="31">
        <f xml:space="preserve"> VLOOKUP(E313, $A$3:$E$704, 2, FALSE)</f>
        <v>46084</v>
      </c>
      <c r="D313" s="36" t="s">
        <v>1387</v>
      </c>
      <c r="E313" s="11" t="s">
        <v>1476</v>
      </c>
      <c r="F313" s="36" t="s">
        <v>1680</v>
      </c>
      <c r="H313" s="36" t="s">
        <v>2436</v>
      </c>
      <c r="I313" s="36" t="s">
        <v>2437</v>
      </c>
      <c r="J313" s="144">
        <v>46076</v>
      </c>
      <c r="K313" s="275"/>
      <c r="L313" s="146" t="s">
        <v>2438</v>
      </c>
    </row>
    <row r="314" spans="2:12" ht="15">
      <c r="B314" s="39"/>
      <c r="C314" s="31">
        <f xml:space="preserve"> VLOOKUP(E314, $A$3:$E$704, 2, FALSE)</f>
        <v>46076</v>
      </c>
      <c r="D314" s="36" t="s">
        <v>1387</v>
      </c>
      <c r="E314" s="11" t="s">
        <v>2019</v>
      </c>
      <c r="F314" s="36" t="s">
        <v>1916</v>
      </c>
      <c r="H314" s="36" t="s">
        <v>2439</v>
      </c>
      <c r="I314" s="36" t="s">
        <v>2440</v>
      </c>
      <c r="K314" s="275"/>
    </row>
    <row r="315" spans="2:12" ht="24">
      <c r="B315" s="39"/>
      <c r="C315" s="31" t="e">
        <f xml:space="preserve"> VLOOKUP(E315, $A$3:$E$704, 2, FALSE)</f>
        <v>#N/A</v>
      </c>
      <c r="D315" s="36" t="s">
        <v>1387</v>
      </c>
      <c r="E315" s="11" t="s">
        <v>2441</v>
      </c>
      <c r="F315" s="36" t="s">
        <v>1422</v>
      </c>
      <c r="H315" s="36" t="s">
        <v>2442</v>
      </c>
      <c r="I315" s="36" t="s">
        <v>2443</v>
      </c>
      <c r="J315" s="144">
        <v>46085</v>
      </c>
      <c r="K315" s="275"/>
      <c r="L315" s="146" t="s">
        <v>2444</v>
      </c>
    </row>
    <row r="316" spans="2:12" ht="24">
      <c r="B316" s="39"/>
      <c r="C316" s="31">
        <f xml:space="preserve"> VLOOKUP(E316, $A$3:$E$704, 2, FALSE)</f>
        <v>46084</v>
      </c>
      <c r="D316" s="36" t="s">
        <v>1387</v>
      </c>
      <c r="E316" s="11" t="s">
        <v>1508</v>
      </c>
      <c r="F316" s="36" t="s">
        <v>1435</v>
      </c>
      <c r="H316" s="36" t="s">
        <v>2445</v>
      </c>
      <c r="I316" s="36" t="s">
        <v>2446</v>
      </c>
      <c r="J316" s="144">
        <v>46085</v>
      </c>
      <c r="K316" s="275"/>
      <c r="L316" s="146" t="s">
        <v>2447</v>
      </c>
    </row>
    <row r="317" spans="2:12" ht="15">
      <c r="B317" s="39"/>
      <c r="C317" s="31">
        <f xml:space="preserve"> VLOOKUP(E317, $A$3:$E$704, 2, FALSE)</f>
        <v>46084</v>
      </c>
      <c r="D317" s="36" t="s">
        <v>1387</v>
      </c>
      <c r="E317" s="11" t="s">
        <v>1532</v>
      </c>
      <c r="F317" s="36" t="s">
        <v>1435</v>
      </c>
      <c r="H317" s="36" t="s">
        <v>2448</v>
      </c>
      <c r="I317" s="36" t="s">
        <v>2449</v>
      </c>
      <c r="J317" s="144" t="s">
        <v>2450</v>
      </c>
      <c r="K317" s="275"/>
      <c r="L317" s="146" t="s">
        <v>2451</v>
      </c>
    </row>
    <row r="318" spans="2:12" ht="15">
      <c r="B318" s="39"/>
      <c r="C318" s="31">
        <f xml:space="preserve"> VLOOKUP(E318, $A$3:$E$704, 2, FALSE)</f>
        <v>46084</v>
      </c>
      <c r="D318" s="36" t="s">
        <v>1387</v>
      </c>
      <c r="E318" s="11" t="s">
        <v>1542</v>
      </c>
      <c r="F318" s="36" t="s">
        <v>1680</v>
      </c>
      <c r="H318" s="36" t="s">
        <v>2452</v>
      </c>
      <c r="I318" s="36" t="s">
        <v>2453</v>
      </c>
      <c r="J318" s="144" t="s">
        <v>2454</v>
      </c>
      <c r="K318" s="275"/>
      <c r="L318" s="146" t="s">
        <v>2455</v>
      </c>
    </row>
    <row r="319" spans="2:12" ht="15">
      <c r="B319" s="39"/>
      <c r="C319" s="31">
        <f xml:space="preserve"> VLOOKUP(E319, $A$3:$E$704, 2, FALSE)</f>
        <v>46084</v>
      </c>
      <c r="D319" s="36" t="s">
        <v>1387</v>
      </c>
      <c r="E319" s="11" t="s">
        <v>1639</v>
      </c>
      <c r="F319" s="36" t="s">
        <v>1680</v>
      </c>
      <c r="H319" s="36" t="s">
        <v>2452</v>
      </c>
      <c r="I319" s="36" t="s">
        <v>2453</v>
      </c>
      <c r="J319" s="144" t="s">
        <v>2454</v>
      </c>
      <c r="K319" s="275"/>
      <c r="L319" s="146" t="s">
        <v>2455</v>
      </c>
    </row>
    <row r="320" spans="2:12" ht="15">
      <c r="B320" s="39"/>
      <c r="C320" s="31">
        <f xml:space="preserve"> VLOOKUP(E320, $A$3:$E$704, 2, FALSE)</f>
        <v>46092</v>
      </c>
      <c r="D320" s="36" t="s">
        <v>1387</v>
      </c>
      <c r="E320" s="11" t="s">
        <v>2051</v>
      </c>
      <c r="F320" s="36" t="s">
        <v>1970</v>
      </c>
      <c r="H320" s="36" t="s">
        <v>2456</v>
      </c>
      <c r="I320" s="36" t="s">
        <v>2457</v>
      </c>
      <c r="J320" s="144">
        <v>46077</v>
      </c>
      <c r="K320" s="275"/>
    </row>
    <row r="321" spans="1:12" ht="15">
      <c r="B321" s="39"/>
      <c r="C321" s="31">
        <f xml:space="preserve"> VLOOKUP(E321, $A$3:$E$704, 2, FALSE)</f>
        <v>46092</v>
      </c>
      <c r="D321" s="36" t="s">
        <v>1387</v>
      </c>
      <c r="E321" s="11" t="s">
        <v>2048</v>
      </c>
      <c r="F321" s="36" t="s">
        <v>1427</v>
      </c>
      <c r="H321" s="36" t="s">
        <v>2456</v>
      </c>
      <c r="I321" s="36" t="s">
        <v>2457</v>
      </c>
      <c r="J321" s="144">
        <v>46077</v>
      </c>
      <c r="K321" s="275"/>
    </row>
    <row r="322" spans="1:12" ht="15">
      <c r="B322" s="39"/>
      <c r="C322" s="31">
        <f xml:space="preserve"> VLOOKUP(E322, $A$3:$E$704, 2, FALSE)</f>
        <v>46090</v>
      </c>
      <c r="D322" s="36" t="s">
        <v>1387</v>
      </c>
      <c r="E322" s="11" t="s">
        <v>1967</v>
      </c>
      <c r="F322" s="36" t="s">
        <v>1603</v>
      </c>
      <c r="H322" s="36" t="s">
        <v>2458</v>
      </c>
      <c r="I322" s="36" t="s">
        <v>2459</v>
      </c>
      <c r="J322" s="144">
        <v>46077</v>
      </c>
      <c r="K322" s="275"/>
    </row>
    <row r="323" spans="1:12" ht="15">
      <c r="B323" s="39"/>
      <c r="C323" s="31">
        <f xml:space="preserve"> VLOOKUP(E323, $A$3:$E$704, 2, FALSE)</f>
        <v>46087</v>
      </c>
      <c r="D323" s="36" t="s">
        <v>1387</v>
      </c>
      <c r="E323" s="11" t="s">
        <v>2072</v>
      </c>
      <c r="F323" s="36" t="s">
        <v>1435</v>
      </c>
      <c r="H323" s="36" t="s">
        <v>2460</v>
      </c>
      <c r="I323" s="36" t="s">
        <v>2461</v>
      </c>
      <c r="J323" s="144">
        <v>46087</v>
      </c>
      <c r="K323" s="275"/>
      <c r="L323" s="146" t="s">
        <v>2462</v>
      </c>
    </row>
    <row r="324" spans="1:12" ht="15">
      <c r="B324" s="39"/>
      <c r="C324" s="31">
        <f xml:space="preserve"> VLOOKUP(E324, $A$3:$E$704, 2, FALSE)</f>
        <v>46090</v>
      </c>
      <c r="D324" s="36" t="s">
        <v>1387</v>
      </c>
      <c r="E324" s="11" t="s">
        <v>1981</v>
      </c>
      <c r="F324" s="36" t="s">
        <v>1427</v>
      </c>
      <c r="H324" s="36" t="s">
        <v>2463</v>
      </c>
      <c r="I324" s="36" t="s">
        <v>2464</v>
      </c>
      <c r="J324" s="144">
        <v>46078</v>
      </c>
      <c r="K324" s="275"/>
    </row>
    <row r="325" spans="1:12" ht="15">
      <c r="B325" s="39"/>
      <c r="C325" s="31">
        <f xml:space="preserve"> VLOOKUP(E325, $A$3:$E$704, 2, FALSE)</f>
        <v>46087</v>
      </c>
      <c r="D325" s="36" t="s">
        <v>1387</v>
      </c>
      <c r="E325" s="11" t="s">
        <v>2068</v>
      </c>
      <c r="F325" s="36" t="s">
        <v>1603</v>
      </c>
      <c r="H325" s="36" t="s">
        <v>2465</v>
      </c>
      <c r="I325" s="36" t="s">
        <v>2466</v>
      </c>
      <c r="J325" s="144">
        <v>46078</v>
      </c>
      <c r="K325" s="275"/>
    </row>
    <row r="326" spans="1:12" ht="15">
      <c r="B326" s="39"/>
      <c r="C326" s="31">
        <f xml:space="preserve"> VLOOKUP(E326, $A$3:$E$704, 2, FALSE)</f>
        <v>46084</v>
      </c>
      <c r="D326" s="36" t="s">
        <v>1387</v>
      </c>
      <c r="E326" s="11" t="s">
        <v>1551</v>
      </c>
      <c r="F326" s="36" t="s">
        <v>1435</v>
      </c>
      <c r="H326" s="36" t="s">
        <v>2467</v>
      </c>
      <c r="I326" s="36" t="s">
        <v>2468</v>
      </c>
      <c r="J326" s="144">
        <v>46078</v>
      </c>
      <c r="K326" s="275"/>
      <c r="L326" s="146" t="s">
        <v>2469</v>
      </c>
    </row>
    <row r="327" spans="1:12" ht="15">
      <c r="B327" s="39"/>
      <c r="C327" s="31" t="e">
        <f xml:space="preserve"> VLOOKUP(E327, $A$3:$E$704, 2, FALSE)</f>
        <v>#N/A</v>
      </c>
      <c r="D327" s="36" t="s">
        <v>1387</v>
      </c>
      <c r="E327" s="11" t="s">
        <v>2470</v>
      </c>
      <c r="F327" s="36" t="s">
        <v>1603</v>
      </c>
      <c r="H327" s="36" t="s">
        <v>2405</v>
      </c>
      <c r="I327" s="36" t="s">
        <v>2471</v>
      </c>
      <c r="J327" s="144">
        <v>46078</v>
      </c>
      <c r="K327" s="275"/>
    </row>
    <row r="328" spans="1:12" ht="15">
      <c r="B328" s="39"/>
      <c r="C328" s="31">
        <f xml:space="preserve"> VLOOKUP(E328, $A$3:$E$704, 2, FALSE)</f>
        <v>46090</v>
      </c>
      <c r="D328" s="36" t="s">
        <v>1387</v>
      </c>
      <c r="E328" s="11" t="s">
        <v>2220</v>
      </c>
      <c r="F328" s="36" t="s">
        <v>396</v>
      </c>
      <c r="H328" s="36" t="s">
        <v>2472</v>
      </c>
      <c r="I328" s="36" t="s">
        <v>2473</v>
      </c>
      <c r="J328" s="144">
        <v>46078</v>
      </c>
      <c r="K328" s="275"/>
      <c r="L328" s="146" t="s">
        <v>2474</v>
      </c>
    </row>
    <row r="329" spans="1:12" ht="15">
      <c r="B329" s="39"/>
      <c r="C329" s="31">
        <f xml:space="preserve"> VLOOKUP(E329, $A$3:$E$704, 2, FALSE)</f>
        <v>46087</v>
      </c>
      <c r="D329" s="36" t="s">
        <v>1387</v>
      </c>
      <c r="E329" s="11" t="s">
        <v>2000</v>
      </c>
      <c r="F329" s="36" t="s">
        <v>1961</v>
      </c>
      <c r="H329" s="36" t="s">
        <v>2475</v>
      </c>
      <c r="I329" s="36" t="s">
        <v>2476</v>
      </c>
      <c r="J329" s="144">
        <v>46079</v>
      </c>
      <c r="K329" s="275"/>
    </row>
    <row r="330" spans="1:12" ht="15">
      <c r="B330" s="39"/>
      <c r="C330" s="31">
        <f xml:space="preserve"> VLOOKUP(E330, $A$3:$E$704, 2, FALSE)</f>
        <v>46094</v>
      </c>
      <c r="D330" s="36" t="s">
        <v>1387</v>
      </c>
      <c r="E330" s="11" t="s">
        <v>1943</v>
      </c>
      <c r="F330" s="36" t="s">
        <v>1645</v>
      </c>
      <c r="H330" s="36" t="s">
        <v>2477</v>
      </c>
      <c r="I330" s="36" t="s">
        <v>2478</v>
      </c>
      <c r="J330" s="144" t="s">
        <v>2479</v>
      </c>
      <c r="K330" s="275"/>
    </row>
    <row r="331" spans="1:12" ht="15">
      <c r="B331" s="39"/>
      <c r="C331" s="31">
        <f xml:space="preserve"> VLOOKUP(E331, $A$3:$E$704, 2, FALSE)</f>
        <v>46087</v>
      </c>
      <c r="D331" s="36" t="s">
        <v>1387</v>
      </c>
      <c r="E331" s="11" t="s">
        <v>2060</v>
      </c>
      <c r="F331" s="36" t="s">
        <v>1680</v>
      </c>
      <c r="H331" s="36" t="s">
        <v>2480</v>
      </c>
      <c r="I331" s="36" t="s">
        <v>2481</v>
      </c>
      <c r="J331" s="144">
        <v>46079</v>
      </c>
      <c r="K331" s="275"/>
    </row>
    <row r="332" spans="1:12" ht="15">
      <c r="A332" s="305" t="s">
        <v>2312</v>
      </c>
      <c r="B332" s="306">
        <v>46090</v>
      </c>
      <c r="C332" s="31">
        <f xml:space="preserve"> VLOOKUP(E332, $A$3:$E$704, 2, FALSE)</f>
        <v>46084</v>
      </c>
      <c r="D332" s="36" t="s">
        <v>1387</v>
      </c>
      <c r="E332" s="150" t="s">
        <v>1524</v>
      </c>
      <c r="F332" s="36" t="s">
        <v>1603</v>
      </c>
      <c r="G332" s="265" t="s">
        <v>2482</v>
      </c>
      <c r="H332" s="36" t="s">
        <v>2191</v>
      </c>
      <c r="I332" s="36" t="s">
        <v>2264</v>
      </c>
      <c r="J332" s="144">
        <v>46079</v>
      </c>
      <c r="L332" s="146" t="s">
        <v>2483</v>
      </c>
    </row>
    <row r="333" spans="1:12" ht="15">
      <c r="B333" s="39"/>
      <c r="C333" s="31" t="e">
        <f xml:space="preserve"> VLOOKUP(E333, $A$3:$E$704, 2, FALSE)</f>
        <v>#N/A</v>
      </c>
      <c r="D333" s="36" t="s">
        <v>1387</v>
      </c>
      <c r="E333" s="11" t="s">
        <v>2484</v>
      </c>
      <c r="F333" s="36" t="s">
        <v>2284</v>
      </c>
      <c r="G333" s="160" t="s">
        <v>2485</v>
      </c>
      <c r="H333" s="36" t="s">
        <v>2486</v>
      </c>
      <c r="I333" s="36" t="s">
        <v>2487</v>
      </c>
      <c r="J333" s="144">
        <v>46080</v>
      </c>
      <c r="K333" s="275"/>
      <c r="L333" s="146" t="s">
        <v>2488</v>
      </c>
    </row>
    <row r="334" spans="1:12" ht="15">
      <c r="B334" s="39"/>
      <c r="C334" s="31" t="e">
        <f xml:space="preserve"> VLOOKUP(E334, $A$3:$E$704, 2, FALSE)</f>
        <v>#N/A</v>
      </c>
      <c r="D334" s="36" t="s">
        <v>1387</v>
      </c>
      <c r="E334" s="11" t="s">
        <v>2489</v>
      </c>
      <c r="F334" s="36" t="s">
        <v>1435</v>
      </c>
      <c r="G334" s="160" t="s">
        <v>2485</v>
      </c>
      <c r="H334" s="36" t="s">
        <v>2486</v>
      </c>
      <c r="I334" s="36" t="s">
        <v>2487</v>
      </c>
      <c r="J334" s="144">
        <v>46080</v>
      </c>
      <c r="K334" s="275"/>
      <c r="L334" s="146" t="s">
        <v>2488</v>
      </c>
    </row>
    <row r="335" spans="1:12" ht="15">
      <c r="B335" s="39"/>
      <c r="C335" s="31">
        <f xml:space="preserve"> VLOOKUP(E335, $A$3:$E$704, 2, FALSE)</f>
        <v>46084</v>
      </c>
      <c r="D335" s="36" t="s">
        <v>1387</v>
      </c>
      <c r="E335" s="11" t="s">
        <v>1534</v>
      </c>
      <c r="F335" s="36" t="s">
        <v>1603</v>
      </c>
      <c r="H335" s="36" t="s">
        <v>2490</v>
      </c>
      <c r="I335" s="36" t="s">
        <v>2491</v>
      </c>
      <c r="J335" s="144">
        <v>46080</v>
      </c>
      <c r="K335" s="275"/>
    </row>
    <row r="336" spans="1:12" ht="15">
      <c r="B336" s="39"/>
      <c r="C336" s="31" t="e">
        <f xml:space="preserve"> VLOOKUP(E336, $A$3:$E$704, 2, FALSE)</f>
        <v>#N/A</v>
      </c>
      <c r="D336" s="36" t="s">
        <v>1387</v>
      </c>
      <c r="E336" s="11" t="s">
        <v>2492</v>
      </c>
      <c r="F336" s="36" t="s">
        <v>1603</v>
      </c>
      <c r="H336" s="36" t="s">
        <v>2490</v>
      </c>
      <c r="I336" s="36" t="s">
        <v>2493</v>
      </c>
      <c r="J336" s="144">
        <v>46080</v>
      </c>
      <c r="K336" s="275"/>
    </row>
    <row r="337" spans="2:12" ht="15">
      <c r="B337" s="39"/>
      <c r="C337" s="31">
        <f xml:space="preserve"> VLOOKUP(E337, $A$3:$E$704, 2, FALSE)</f>
        <v>46084</v>
      </c>
      <c r="D337" s="36" t="s">
        <v>1387</v>
      </c>
      <c r="E337" s="11" t="s">
        <v>1586</v>
      </c>
      <c r="F337" s="36" t="s">
        <v>1435</v>
      </c>
      <c r="H337" s="36" t="s">
        <v>2494</v>
      </c>
      <c r="I337" s="36" t="s">
        <v>2495</v>
      </c>
      <c r="J337" s="144">
        <v>46080</v>
      </c>
      <c r="K337" s="275"/>
      <c r="L337" s="146" t="s">
        <v>2496</v>
      </c>
    </row>
    <row r="338" spans="2:12" ht="15">
      <c r="B338" s="39"/>
      <c r="C338" s="31" t="e">
        <f xml:space="preserve"> VLOOKUP(E338, $A$3:$E$704, 2, FALSE)</f>
        <v>#N/A</v>
      </c>
      <c r="D338" s="36" t="s">
        <v>1387</v>
      </c>
      <c r="E338" s="11" t="s">
        <v>2497</v>
      </c>
      <c r="F338" s="36" t="s">
        <v>1603</v>
      </c>
      <c r="H338" s="36" t="s">
        <v>2498</v>
      </c>
      <c r="I338" s="36" t="s">
        <v>2499</v>
      </c>
      <c r="J338" s="144">
        <v>46080</v>
      </c>
      <c r="K338" s="275"/>
    </row>
    <row r="339" spans="2:12" ht="15">
      <c r="B339" s="39"/>
      <c r="C339" s="31">
        <f xml:space="preserve"> VLOOKUP(E339, $A$3:$E$704, 2, FALSE)</f>
        <v>46094</v>
      </c>
      <c r="D339" s="36" t="s">
        <v>1387</v>
      </c>
      <c r="E339" s="11" t="s">
        <v>2185</v>
      </c>
      <c r="F339" s="36" t="s">
        <v>1645</v>
      </c>
      <c r="H339" s="36" t="s">
        <v>2500</v>
      </c>
      <c r="I339" s="36" t="s">
        <v>2501</v>
      </c>
      <c r="J339" s="144">
        <v>46086</v>
      </c>
      <c r="K339" s="275"/>
      <c r="L339" s="146" t="s">
        <v>2502</v>
      </c>
    </row>
    <row r="340" spans="2:12" ht="15">
      <c r="B340" s="39"/>
      <c r="C340" s="31">
        <f xml:space="preserve"> VLOOKUP(E340, $A$3:$E$704, 2, FALSE)</f>
        <v>46090</v>
      </c>
      <c r="D340" s="36" t="s">
        <v>1387</v>
      </c>
      <c r="E340" s="11" t="s">
        <v>2028</v>
      </c>
      <c r="F340" s="36" t="s">
        <v>1427</v>
      </c>
      <c r="H340" s="36" t="s">
        <v>2242</v>
      </c>
      <c r="I340" s="36" t="s">
        <v>2503</v>
      </c>
      <c r="J340" s="144">
        <v>46086</v>
      </c>
      <c r="K340" s="275"/>
    </row>
    <row r="341" spans="2:12" ht="15">
      <c r="B341" s="39"/>
      <c r="C341" s="31">
        <f xml:space="preserve"> VLOOKUP(E341, $A$3:$E$704, 2, FALSE)</f>
        <v>46142</v>
      </c>
      <c r="D341" s="36" t="s">
        <v>1387</v>
      </c>
      <c r="E341" s="11" t="s">
        <v>1817</v>
      </c>
      <c r="F341" s="36" t="s">
        <v>2149</v>
      </c>
      <c r="H341" s="36" t="s">
        <v>2504</v>
      </c>
      <c r="I341" s="36" t="s">
        <v>2505</v>
      </c>
      <c r="K341" s="275"/>
      <c r="L341" s="146" t="s">
        <v>2506</v>
      </c>
    </row>
    <row r="342" spans="2:12" ht="15">
      <c r="B342" s="39"/>
      <c r="C342" s="31" t="e">
        <f xml:space="preserve"> VLOOKUP(E342, $A$3:$E$704, 2, FALSE)</f>
        <v>#N/A</v>
      </c>
      <c r="D342" s="36" t="s">
        <v>1387</v>
      </c>
      <c r="E342" s="11" t="s">
        <v>2507</v>
      </c>
      <c r="F342" s="36" t="s">
        <v>1427</v>
      </c>
      <c r="H342" s="36" t="s">
        <v>2504</v>
      </c>
      <c r="I342" s="36" t="s">
        <v>2505</v>
      </c>
      <c r="K342" s="275"/>
      <c r="L342" s="146" t="s">
        <v>2506</v>
      </c>
    </row>
    <row r="343" spans="2:12" ht="15">
      <c r="B343" s="39"/>
      <c r="C343" s="31" t="e">
        <f xml:space="preserve"> VLOOKUP(E343, $A$3:$E$704, 2, FALSE)</f>
        <v>#N/A</v>
      </c>
      <c r="D343" s="36" t="s">
        <v>1387</v>
      </c>
      <c r="E343" s="11" t="s">
        <v>2508</v>
      </c>
      <c r="F343" s="36" t="s">
        <v>1435</v>
      </c>
      <c r="H343" s="36" t="s">
        <v>2509</v>
      </c>
      <c r="I343" s="36" t="s">
        <v>2510</v>
      </c>
      <c r="J343" s="144">
        <v>46091</v>
      </c>
      <c r="K343" s="275"/>
      <c r="L343" s="146" t="s">
        <v>2511</v>
      </c>
    </row>
    <row r="344" spans="2:12" ht="15">
      <c r="B344" s="39"/>
      <c r="C344" s="31">
        <f xml:space="preserve"> VLOOKUP(E344, $A$3:$E$704, 2, FALSE)</f>
        <v>46084</v>
      </c>
      <c r="D344" s="36" t="s">
        <v>1387</v>
      </c>
      <c r="E344" s="11" t="s">
        <v>1493</v>
      </c>
      <c r="F344" s="36" t="s">
        <v>1680</v>
      </c>
      <c r="H344" s="36" t="s">
        <v>2512</v>
      </c>
      <c r="I344" s="36" t="s">
        <v>2513</v>
      </c>
      <c r="J344" s="144">
        <v>46091</v>
      </c>
      <c r="K344" s="275"/>
      <c r="L344" s="146" t="s">
        <v>2514</v>
      </c>
    </row>
    <row r="345" spans="2:12" ht="15">
      <c r="B345" s="39"/>
      <c r="C345" s="31">
        <f xml:space="preserve"> VLOOKUP(E345, $A$3:$E$704, 2, FALSE)</f>
        <v>46084</v>
      </c>
      <c r="D345" s="36" t="s">
        <v>1387</v>
      </c>
      <c r="E345" s="11" t="s">
        <v>1548</v>
      </c>
      <c r="F345" s="36" t="s">
        <v>1680</v>
      </c>
      <c r="H345" s="36" t="s">
        <v>2373</v>
      </c>
      <c r="I345" s="36" t="s">
        <v>2515</v>
      </c>
      <c r="J345" s="144">
        <v>46090</v>
      </c>
      <c r="K345" s="275"/>
      <c r="L345" s="146" t="s">
        <v>2516</v>
      </c>
    </row>
    <row r="346" spans="2:12" ht="15">
      <c r="B346" s="39"/>
      <c r="C346" s="31">
        <f xml:space="preserve"> VLOOKUP(E346, $A$3:$E$704, 2, FALSE)</f>
        <v>46084</v>
      </c>
      <c r="D346" s="36" t="s">
        <v>1387</v>
      </c>
      <c r="E346" s="11" t="s">
        <v>1601</v>
      </c>
      <c r="F346" s="36" t="s">
        <v>1603</v>
      </c>
      <c r="H346" s="36" t="s">
        <v>2498</v>
      </c>
      <c r="I346" s="36" t="s">
        <v>2517</v>
      </c>
      <c r="J346" s="144">
        <v>46090</v>
      </c>
      <c r="K346" s="275"/>
    </row>
    <row r="347" spans="2:12" ht="15">
      <c r="B347" s="39"/>
      <c r="C347" s="31">
        <f xml:space="preserve"> VLOOKUP(E347, $A$3:$E$704, 2, FALSE)</f>
        <v>46084</v>
      </c>
      <c r="D347" s="36" t="s">
        <v>1387</v>
      </c>
      <c r="E347" s="11" t="s">
        <v>1643</v>
      </c>
      <c r="F347" s="36" t="s">
        <v>1603</v>
      </c>
      <c r="H347" s="36" t="s">
        <v>2518</v>
      </c>
      <c r="I347" s="36" t="s">
        <v>2519</v>
      </c>
      <c r="J347" s="144">
        <v>46090</v>
      </c>
      <c r="K347" s="275"/>
    </row>
    <row r="348" spans="2:12" ht="15">
      <c r="B348" s="39"/>
      <c r="C348" s="31">
        <f xml:space="preserve"> VLOOKUP(E348, $A$3:$E$704, 2, FALSE)</f>
        <v>46087</v>
      </c>
      <c r="D348" s="36" t="s">
        <v>1387</v>
      </c>
      <c r="E348" s="11" t="s">
        <v>2063</v>
      </c>
      <c r="F348" s="36" t="s">
        <v>1603</v>
      </c>
      <c r="H348" s="36" t="s">
        <v>1912</v>
      </c>
      <c r="I348" s="36" t="s">
        <v>2520</v>
      </c>
      <c r="J348" s="144">
        <v>46090</v>
      </c>
      <c r="K348" s="275"/>
    </row>
    <row r="349" spans="2:12" ht="15">
      <c r="B349" s="39"/>
      <c r="C349" s="31" t="e">
        <f xml:space="preserve"> VLOOKUP(E349, $A$3:$E$704, 2, FALSE)</f>
        <v>#N/A</v>
      </c>
      <c r="D349" s="36" t="s">
        <v>1387</v>
      </c>
      <c r="E349" s="11" t="s">
        <v>2521</v>
      </c>
      <c r="F349" s="36" t="s">
        <v>1863</v>
      </c>
      <c r="H349" s="36" t="s">
        <v>2415</v>
      </c>
      <c r="I349" s="36" t="s">
        <v>2522</v>
      </c>
      <c r="K349" s="275"/>
    </row>
    <row r="350" spans="2:12" ht="15">
      <c r="B350" s="39"/>
      <c r="C350" s="31"/>
      <c r="E350" s="11"/>
      <c r="K350" s="275"/>
    </row>
    <row r="351" spans="2:12" ht="15">
      <c r="B351" s="39"/>
      <c r="C351" s="31"/>
      <c r="E351" s="11"/>
      <c r="K351" s="275"/>
    </row>
    <row r="352" spans="2:12" ht="15">
      <c r="B352" s="39"/>
      <c r="C352" s="31"/>
      <c r="E352" s="11"/>
      <c r="K352" s="275"/>
    </row>
    <row r="353" spans="2:11" ht="15">
      <c r="B353" s="39"/>
      <c r="C353" s="31"/>
      <c r="E353" s="11"/>
      <c r="K353" s="275"/>
    </row>
    <row r="354" spans="2:11" ht="15">
      <c r="B354" s="39"/>
      <c r="C354" s="31"/>
      <c r="E354" s="11"/>
      <c r="K354" s="275"/>
    </row>
    <row r="355" spans="2:11" ht="15">
      <c r="B355" s="39"/>
      <c r="C355" s="31"/>
      <c r="E355" s="11"/>
      <c r="K355" s="275"/>
    </row>
    <row r="356" spans="2:11" ht="15">
      <c r="B356" s="39"/>
      <c r="C356" s="31"/>
      <c r="E356" s="11"/>
      <c r="K356" s="275"/>
    </row>
    <row r="357" spans="2:11" ht="15">
      <c r="B357" s="39"/>
      <c r="C357" s="31"/>
      <c r="E357" s="11"/>
      <c r="K357" s="275"/>
    </row>
    <row r="358" spans="2:11" ht="15">
      <c r="B358" s="39"/>
      <c r="C358" s="31"/>
      <c r="E358" s="11"/>
      <c r="K358" s="275"/>
    </row>
    <row r="359" spans="2:11" ht="15">
      <c r="B359" s="39"/>
      <c r="C359" s="31"/>
      <c r="E359" s="11"/>
      <c r="K359" s="275"/>
    </row>
    <row r="360" spans="2:11" ht="15">
      <c r="B360" s="39"/>
      <c r="C360" s="31"/>
      <c r="E360" s="11"/>
      <c r="K360" s="275"/>
    </row>
    <row r="361" spans="2:11" ht="15">
      <c r="B361" s="39"/>
      <c r="C361" s="31"/>
      <c r="E361" s="11"/>
      <c r="K361" s="275"/>
    </row>
    <row r="362" spans="2:11" ht="15">
      <c r="B362" s="39"/>
      <c r="C362" s="31"/>
      <c r="E362" s="11"/>
      <c r="K362" s="275"/>
    </row>
    <row r="363" spans="2:11" ht="15">
      <c r="B363" s="39"/>
      <c r="C363" s="31"/>
      <c r="E363" s="11"/>
      <c r="K363" s="275"/>
    </row>
    <row r="364" spans="2:11" ht="15">
      <c r="B364" s="39"/>
      <c r="C364" s="31"/>
      <c r="E364" s="11"/>
      <c r="K364" s="275"/>
    </row>
    <row r="365" spans="2:11" ht="15">
      <c r="B365" s="39"/>
      <c r="C365" s="31"/>
      <c r="E365" s="11"/>
      <c r="K365" s="275"/>
    </row>
    <row r="366" spans="2:11" ht="15">
      <c r="B366" s="39"/>
      <c r="C366" s="31"/>
      <c r="E366" s="11"/>
      <c r="K366" s="275"/>
    </row>
    <row r="367" spans="2:11" ht="15">
      <c r="B367" s="39"/>
      <c r="C367" s="31"/>
      <c r="E367" s="11"/>
      <c r="K367" s="275"/>
    </row>
    <row r="368" spans="2:11" ht="15">
      <c r="B368" s="39"/>
      <c r="C368" s="31"/>
      <c r="E368" s="11"/>
      <c r="K368" s="275"/>
    </row>
    <row r="369" spans="2:11" ht="15">
      <c r="B369" s="39"/>
      <c r="C369" s="31"/>
      <c r="E369" s="11"/>
      <c r="K369" s="275"/>
    </row>
    <row r="370" spans="2:11" ht="15">
      <c r="B370" s="39"/>
      <c r="C370" s="31"/>
      <c r="E370" s="11"/>
      <c r="K370" s="275"/>
    </row>
    <row r="371" spans="2:11" ht="15">
      <c r="B371" s="39"/>
      <c r="C371" s="31"/>
      <c r="E371" s="11"/>
      <c r="K371" s="275"/>
    </row>
    <row r="372" spans="2:11" ht="15">
      <c r="B372" s="39"/>
      <c r="C372" s="31"/>
      <c r="E372" s="11"/>
      <c r="K372" s="275"/>
    </row>
    <row r="373" spans="2:11" ht="15">
      <c r="B373" s="39"/>
      <c r="C373" s="31"/>
      <c r="E373" s="11"/>
      <c r="K373" s="275"/>
    </row>
    <row r="374" spans="2:11" ht="15">
      <c r="B374" s="39"/>
      <c r="C374" s="31"/>
      <c r="E374" s="11"/>
      <c r="K374" s="275"/>
    </row>
    <row r="375" spans="2:11" ht="15">
      <c r="B375" s="39"/>
      <c r="C375" s="31"/>
      <c r="E375" s="11"/>
      <c r="K375" s="275"/>
    </row>
    <row r="376" spans="2:11" ht="15">
      <c r="B376" s="39"/>
      <c r="C376" s="31"/>
      <c r="E376" s="11"/>
    </row>
    <row r="377" spans="2:11" ht="15">
      <c r="B377" s="39"/>
      <c r="C377" s="31"/>
      <c r="E377" s="11"/>
    </row>
    <row r="378" spans="2:11" ht="15">
      <c r="B378" s="39"/>
      <c r="C378" s="31"/>
      <c r="E378" s="11"/>
    </row>
    <row r="379" spans="2:11" ht="15">
      <c r="B379" s="39"/>
      <c r="C379" s="31"/>
      <c r="E379" s="11"/>
    </row>
    <row r="380" spans="2:11" ht="15">
      <c r="B380" s="39"/>
      <c r="C380" s="31"/>
      <c r="E380" s="11"/>
    </row>
    <row r="381" spans="2:11" ht="15">
      <c r="B381" s="39"/>
      <c r="C381" s="31"/>
      <c r="E381" s="11"/>
    </row>
    <row r="382" spans="2:11" ht="15">
      <c r="B382" s="39"/>
      <c r="C382" s="31"/>
      <c r="E382" s="11"/>
    </row>
    <row r="383" spans="2:11" ht="15">
      <c r="B383" s="39"/>
      <c r="C383" s="31"/>
      <c r="E383" s="11"/>
    </row>
    <row r="384" spans="2:11" ht="15">
      <c r="B384" s="39"/>
      <c r="C384" s="31"/>
      <c r="E384" s="11"/>
    </row>
    <row r="385" spans="2:5" ht="15">
      <c r="B385" s="39"/>
      <c r="C385" s="31"/>
      <c r="E385" s="11"/>
    </row>
    <row r="386" spans="2:5" ht="15">
      <c r="B386" s="39"/>
      <c r="C386" s="31"/>
      <c r="E386" s="11"/>
    </row>
    <row r="387" spans="2:5" ht="15">
      <c r="B387" s="39"/>
      <c r="C387" s="31"/>
      <c r="E387" s="11"/>
    </row>
    <row r="388" spans="2:5" ht="15">
      <c r="B388" s="39"/>
      <c r="C388" s="31"/>
      <c r="E388" s="11"/>
    </row>
    <row r="389" spans="2:5" ht="15">
      <c r="B389" s="39"/>
      <c r="C389" s="31"/>
      <c r="E389" s="11"/>
    </row>
    <row r="390" spans="2:5" ht="15">
      <c r="B390" s="39"/>
      <c r="C390" s="31"/>
      <c r="E390" s="11"/>
    </row>
    <row r="391" spans="2:5" ht="15">
      <c r="B391" s="39"/>
      <c r="C391" s="31"/>
      <c r="E391" s="11"/>
    </row>
    <row r="392" spans="2:5" ht="15">
      <c r="B392" s="39"/>
      <c r="C392" s="31"/>
      <c r="E392" s="11"/>
    </row>
    <row r="393" spans="2:5" ht="15">
      <c r="B393" s="39"/>
      <c r="C393" s="31"/>
      <c r="E393" s="11"/>
    </row>
    <row r="394" spans="2:5" ht="15">
      <c r="B394" s="39"/>
      <c r="C394" s="31"/>
      <c r="E394" s="11"/>
    </row>
    <row r="395" spans="2:5" ht="15">
      <c r="B395" s="39"/>
      <c r="C395" s="31"/>
      <c r="E395" s="11"/>
    </row>
    <row r="396" spans="2:5" ht="15">
      <c r="B396" s="39"/>
      <c r="C396" s="31"/>
      <c r="E396" s="11"/>
    </row>
    <row r="397" spans="2:5" ht="15">
      <c r="B397" s="39"/>
      <c r="C397" s="31"/>
      <c r="E397" s="11"/>
    </row>
    <row r="398" spans="2:5" ht="15">
      <c r="B398" s="39"/>
      <c r="C398" s="31"/>
      <c r="E398" s="11"/>
    </row>
    <row r="399" spans="2:5" ht="15">
      <c r="B399" s="39"/>
      <c r="C399" s="31"/>
      <c r="E399" s="11"/>
    </row>
    <row r="400" spans="2:5" ht="15">
      <c r="B400" s="39"/>
      <c r="C400" s="31"/>
      <c r="E400" s="11"/>
    </row>
    <row r="401" spans="2:5" ht="15">
      <c r="B401" s="39"/>
      <c r="C401" s="31"/>
      <c r="E401" s="11"/>
    </row>
    <row r="402" spans="2:5" ht="15">
      <c r="B402" s="39"/>
      <c r="C402" s="31"/>
      <c r="E402" s="11"/>
    </row>
    <row r="403" spans="2:5" ht="15">
      <c r="B403" s="39"/>
      <c r="C403" s="31"/>
      <c r="E403" s="11"/>
    </row>
    <row r="404" spans="2:5" ht="15">
      <c r="B404" s="39"/>
      <c r="C404" s="31"/>
      <c r="E404" s="11"/>
    </row>
    <row r="405" spans="2:5" ht="15">
      <c r="B405" s="39"/>
      <c r="C405" s="31"/>
      <c r="E405" s="11"/>
    </row>
    <row r="406" spans="2:5" ht="15">
      <c r="B406" s="39"/>
      <c r="C406" s="31"/>
      <c r="E406" s="11"/>
    </row>
    <row r="407" spans="2:5" ht="15">
      <c r="B407" s="39"/>
      <c r="C407" s="31"/>
      <c r="E407" s="11"/>
    </row>
    <row r="408" spans="2:5" ht="15">
      <c r="B408" s="39"/>
      <c r="C408" s="31"/>
      <c r="E408" s="11"/>
    </row>
    <row r="409" spans="2:5" ht="15">
      <c r="B409" s="39"/>
      <c r="C409" s="31"/>
      <c r="E409" s="11"/>
    </row>
    <row r="410" spans="2:5" ht="15">
      <c r="B410" s="39"/>
      <c r="C410" s="31"/>
      <c r="E410" s="11"/>
    </row>
    <row r="411" spans="2:5" ht="15">
      <c r="B411" s="39"/>
      <c r="C411" s="31"/>
      <c r="E411" s="11"/>
    </row>
    <row r="412" spans="2:5" ht="15">
      <c r="B412" s="39"/>
      <c r="C412" s="31"/>
      <c r="E412" s="11"/>
    </row>
    <row r="413" spans="2:5" ht="15">
      <c r="B413" s="39"/>
      <c r="C413" s="31"/>
      <c r="E413" s="11"/>
    </row>
    <row r="414" spans="2:5" ht="15">
      <c r="B414" s="39"/>
      <c r="C414" s="31"/>
      <c r="E414" s="11"/>
    </row>
    <row r="415" spans="2:5" ht="15">
      <c r="B415" s="39"/>
      <c r="C415" s="31"/>
      <c r="E415" s="11"/>
    </row>
    <row r="416" spans="2:5" ht="15">
      <c r="B416" s="39"/>
      <c r="C416" s="31"/>
      <c r="E416" s="11"/>
    </row>
    <row r="417" spans="2:5" ht="15">
      <c r="B417" s="39"/>
      <c r="C417" s="31"/>
      <c r="E417" s="11"/>
    </row>
    <row r="418" spans="2:5" ht="15">
      <c r="B418" s="39"/>
      <c r="C418" s="31"/>
      <c r="E418" s="11"/>
    </row>
    <row r="419" spans="2:5" ht="15">
      <c r="B419" s="39"/>
      <c r="C419" s="31"/>
      <c r="E419" s="11"/>
    </row>
    <row r="420" spans="2:5" ht="15">
      <c r="B420" s="39"/>
      <c r="C420" s="31"/>
      <c r="E420" s="11"/>
    </row>
    <row r="421" spans="2:5" ht="15">
      <c r="B421" s="39"/>
      <c r="C421" s="31"/>
      <c r="E421" s="11"/>
    </row>
    <row r="422" spans="2:5" ht="15">
      <c r="B422" s="39"/>
      <c r="C422" s="31"/>
      <c r="E422" s="11"/>
    </row>
    <row r="423" spans="2:5" ht="15">
      <c r="B423" s="39"/>
      <c r="C423" s="31"/>
      <c r="E423" s="11"/>
    </row>
    <row r="424" spans="2:5" ht="15">
      <c r="B424" s="39"/>
      <c r="C424" s="31"/>
      <c r="E424" s="11"/>
    </row>
    <row r="425" spans="2:5" ht="15">
      <c r="B425" s="39"/>
      <c r="C425" s="31"/>
      <c r="E425" s="11"/>
    </row>
    <row r="426" spans="2:5" ht="15">
      <c r="B426" s="39"/>
      <c r="C426" s="31"/>
      <c r="E426" s="11"/>
    </row>
    <row r="427" spans="2:5">
      <c r="B427" s="39"/>
    </row>
    <row r="428" spans="2:5">
      <c r="B428" s="39"/>
    </row>
    <row r="429" spans="2:5">
      <c r="B429" s="39"/>
    </row>
    <row r="430" spans="2:5">
      <c r="B430" s="39"/>
    </row>
    <row r="431" spans="2:5">
      <c r="B431" s="39"/>
    </row>
    <row r="432" spans="2:5">
      <c r="B432" s="39"/>
    </row>
    <row r="433" spans="2:2">
      <c r="B433" s="39"/>
    </row>
    <row r="434" spans="2:2">
      <c r="B434" s="39"/>
    </row>
    <row r="435" spans="2:2">
      <c r="B435" s="39"/>
    </row>
    <row r="436" spans="2:2">
      <c r="B436" s="39"/>
    </row>
    <row r="437" spans="2:2">
      <c r="B437" s="39"/>
    </row>
    <row r="438" spans="2:2">
      <c r="B438" s="39"/>
    </row>
    <row r="439" spans="2:2">
      <c r="B439" s="39"/>
    </row>
    <row r="440" spans="2:2">
      <c r="B440" s="39"/>
    </row>
    <row r="441" spans="2:2">
      <c r="B441" s="39"/>
    </row>
    <row r="442" spans="2:2">
      <c r="B442" s="39"/>
    </row>
    <row r="443" spans="2:2">
      <c r="B443" s="39"/>
    </row>
    <row r="444" spans="2:2">
      <c r="B444" s="39"/>
    </row>
    <row r="445" spans="2:2">
      <c r="B445" s="39"/>
    </row>
    <row r="446" spans="2:2">
      <c r="B446" s="39"/>
    </row>
    <row r="447" spans="2:2">
      <c r="B447" s="39"/>
    </row>
    <row r="448" spans="2:2">
      <c r="B448" s="39"/>
    </row>
    <row r="449" spans="2:2">
      <c r="B449" s="39"/>
    </row>
    <row r="450" spans="2:2">
      <c r="B450" s="39"/>
    </row>
    <row r="451" spans="2:2">
      <c r="B451" s="39"/>
    </row>
    <row r="452" spans="2:2">
      <c r="B452" s="39"/>
    </row>
    <row r="453" spans="2:2">
      <c r="B453" s="39"/>
    </row>
    <row r="454" spans="2:2">
      <c r="B454" s="39"/>
    </row>
    <row r="455" spans="2:2">
      <c r="B455" s="39"/>
    </row>
    <row r="456" spans="2:2">
      <c r="B456" s="39"/>
    </row>
    <row r="457" spans="2:2">
      <c r="B457" s="39"/>
    </row>
    <row r="458" spans="2:2">
      <c r="B458" s="39"/>
    </row>
    <row r="459" spans="2:2">
      <c r="B459" s="39"/>
    </row>
    <row r="460" spans="2:2">
      <c r="B460" s="39"/>
    </row>
    <row r="461" spans="2:2">
      <c r="B461" s="39"/>
    </row>
    <row r="462" spans="2:2">
      <c r="B462" s="39"/>
    </row>
    <row r="463" spans="2:2">
      <c r="B463" s="39"/>
    </row>
    <row r="464" spans="2:2">
      <c r="B464" s="39"/>
    </row>
    <row r="465" spans="2:2">
      <c r="B465" s="39"/>
    </row>
    <row r="466" spans="2:2">
      <c r="B466" s="39"/>
    </row>
    <row r="467" spans="2:2">
      <c r="B467" s="39"/>
    </row>
    <row r="468" spans="2:2">
      <c r="B468" s="39"/>
    </row>
    <row r="469" spans="2:2">
      <c r="B469" s="39"/>
    </row>
    <row r="470" spans="2:2">
      <c r="B470" s="39"/>
    </row>
    <row r="471" spans="2:2">
      <c r="B471" s="39"/>
    </row>
    <row r="472" spans="2:2">
      <c r="B472" s="39"/>
    </row>
    <row r="473" spans="2:2">
      <c r="B473" s="39"/>
    </row>
    <row r="474" spans="2:2">
      <c r="B474" s="39"/>
    </row>
    <row r="475" spans="2:2">
      <c r="B475" s="39"/>
    </row>
    <row r="476" spans="2:2">
      <c r="B476" s="39"/>
    </row>
    <row r="477" spans="2:2">
      <c r="B477" s="39"/>
    </row>
    <row r="478" spans="2:2">
      <c r="B478" s="39"/>
    </row>
    <row r="479" spans="2:2">
      <c r="B479" s="39"/>
    </row>
    <row r="480" spans="2:2">
      <c r="B480" s="39"/>
    </row>
    <row r="481" spans="2:2">
      <c r="B481" s="39"/>
    </row>
    <row r="482" spans="2:2">
      <c r="B482" s="39"/>
    </row>
    <row r="483" spans="2:2">
      <c r="B483" s="39"/>
    </row>
    <row r="484" spans="2:2">
      <c r="B484" s="39"/>
    </row>
    <row r="485" spans="2:2">
      <c r="B485" s="39"/>
    </row>
    <row r="486" spans="2:2">
      <c r="B486" s="39"/>
    </row>
    <row r="487" spans="2:2">
      <c r="B487" s="39"/>
    </row>
    <row r="488" spans="2:2">
      <c r="B488" s="39"/>
    </row>
    <row r="489" spans="2:2">
      <c r="B489" s="39"/>
    </row>
    <row r="490" spans="2:2">
      <c r="B490" s="39"/>
    </row>
    <row r="491" spans="2:2">
      <c r="B491" s="39"/>
    </row>
    <row r="492" spans="2:2">
      <c r="B492" s="39"/>
    </row>
    <row r="493" spans="2:2">
      <c r="B493" s="39"/>
    </row>
    <row r="494" spans="2:2">
      <c r="B494" s="39"/>
    </row>
    <row r="495" spans="2:2">
      <c r="B495" s="39"/>
    </row>
    <row r="496" spans="2:2">
      <c r="B496" s="39"/>
    </row>
    <row r="497" spans="2:2">
      <c r="B497" s="39"/>
    </row>
    <row r="498" spans="2:2">
      <c r="B498" s="39"/>
    </row>
    <row r="499" spans="2:2">
      <c r="B499" s="39"/>
    </row>
    <row r="500" spans="2:2">
      <c r="B500" s="39"/>
    </row>
    <row r="501" spans="2:2">
      <c r="B501" s="39"/>
    </row>
    <row r="502" spans="2:2">
      <c r="B502" s="39"/>
    </row>
    <row r="503" spans="2:2">
      <c r="B503" s="39"/>
    </row>
    <row r="504" spans="2:2">
      <c r="B504" s="39"/>
    </row>
    <row r="505" spans="2:2">
      <c r="B505" s="39"/>
    </row>
    <row r="506" spans="2:2">
      <c r="B506" s="39"/>
    </row>
    <row r="507" spans="2:2">
      <c r="B507" s="39"/>
    </row>
    <row r="508" spans="2:2">
      <c r="B508" s="39"/>
    </row>
    <row r="509" spans="2:2">
      <c r="B509" s="39"/>
    </row>
    <row r="510" spans="2:2">
      <c r="B510" s="39"/>
    </row>
    <row r="511" spans="2:2">
      <c r="B511" s="39"/>
    </row>
    <row r="512" spans="2:2">
      <c r="B512" s="39"/>
    </row>
    <row r="513" spans="2:2">
      <c r="B513" s="39"/>
    </row>
    <row r="514" spans="2:2">
      <c r="B514" s="39"/>
    </row>
    <row r="515" spans="2:2">
      <c r="B515" s="39"/>
    </row>
    <row r="516" spans="2:2">
      <c r="B516" s="39"/>
    </row>
    <row r="517" spans="2:2">
      <c r="B517" s="39"/>
    </row>
    <row r="518" spans="2:2">
      <c r="B518" s="39"/>
    </row>
    <row r="519" spans="2:2">
      <c r="B519" s="39"/>
    </row>
    <row r="520" spans="2:2">
      <c r="B520" s="39"/>
    </row>
    <row r="521" spans="2:2">
      <c r="B521" s="39"/>
    </row>
    <row r="522" spans="2:2">
      <c r="B522" s="39"/>
    </row>
    <row r="523" spans="2:2">
      <c r="B523" s="39"/>
    </row>
    <row r="524" spans="2:2">
      <c r="B524" s="39"/>
    </row>
    <row r="525" spans="2:2">
      <c r="B525" s="39"/>
    </row>
    <row r="526" spans="2:2">
      <c r="B526" s="39"/>
    </row>
    <row r="527" spans="2:2">
      <c r="B527" s="39"/>
    </row>
    <row r="528" spans="2:2">
      <c r="B528" s="39"/>
    </row>
    <row r="529" spans="2:2">
      <c r="B529" s="39"/>
    </row>
    <row r="530" spans="2:2">
      <c r="B530" s="39"/>
    </row>
    <row r="531" spans="2:2">
      <c r="B531" s="39"/>
    </row>
    <row r="532" spans="2:2">
      <c r="B532" s="39"/>
    </row>
    <row r="533" spans="2:2">
      <c r="B533" s="39"/>
    </row>
    <row r="534" spans="2:2">
      <c r="B534" s="39"/>
    </row>
    <row r="535" spans="2:2">
      <c r="B535" s="39"/>
    </row>
    <row r="536" spans="2:2">
      <c r="B536" s="39"/>
    </row>
    <row r="537" spans="2:2">
      <c r="B537" s="39"/>
    </row>
    <row r="538" spans="2:2">
      <c r="B538" s="39"/>
    </row>
    <row r="539" spans="2:2">
      <c r="B539" s="39"/>
    </row>
    <row r="540" spans="2:2">
      <c r="B540" s="39"/>
    </row>
    <row r="541" spans="2:2">
      <c r="B541" s="39"/>
    </row>
    <row r="542" spans="2:2">
      <c r="B542" s="39"/>
    </row>
    <row r="543" spans="2:2">
      <c r="B543" s="39"/>
    </row>
    <row r="544" spans="2:2">
      <c r="B544" s="39"/>
    </row>
    <row r="545" spans="2:2">
      <c r="B545" s="39"/>
    </row>
    <row r="546" spans="2:2">
      <c r="B546" s="39"/>
    </row>
    <row r="547" spans="2:2">
      <c r="B547" s="39"/>
    </row>
    <row r="548" spans="2:2">
      <c r="B548" s="39"/>
    </row>
    <row r="549" spans="2:2">
      <c r="B549" s="39"/>
    </row>
    <row r="550" spans="2:2">
      <c r="B550" s="39"/>
    </row>
    <row r="551" spans="2:2">
      <c r="B551" s="39"/>
    </row>
    <row r="552" spans="2:2">
      <c r="B552" s="39"/>
    </row>
    <row r="553" spans="2:2">
      <c r="B553" s="39"/>
    </row>
    <row r="554" spans="2:2">
      <c r="B554" s="39"/>
    </row>
    <row r="555" spans="2:2">
      <c r="B555" s="39"/>
    </row>
    <row r="556" spans="2:2">
      <c r="B556" s="39"/>
    </row>
    <row r="557" spans="2:2">
      <c r="B557" s="39"/>
    </row>
    <row r="558" spans="2:2">
      <c r="B558" s="39"/>
    </row>
    <row r="559" spans="2:2">
      <c r="B559" s="39"/>
    </row>
    <row r="560" spans="2:2">
      <c r="B560" s="39"/>
    </row>
    <row r="561" spans="2:2">
      <c r="B561" s="39"/>
    </row>
    <row r="562" spans="2:2">
      <c r="B562" s="39"/>
    </row>
    <row r="563" spans="2:2">
      <c r="B563" s="39"/>
    </row>
    <row r="564" spans="2:2">
      <c r="B564" s="39"/>
    </row>
    <row r="565" spans="2:2">
      <c r="B565" s="39"/>
    </row>
    <row r="566" spans="2:2">
      <c r="B566" s="39"/>
    </row>
    <row r="567" spans="2:2">
      <c r="B567" s="39"/>
    </row>
    <row r="568" spans="2:2">
      <c r="B568" s="39"/>
    </row>
    <row r="569" spans="2:2">
      <c r="B569" s="39"/>
    </row>
    <row r="570" spans="2:2">
      <c r="B570" s="39"/>
    </row>
    <row r="571" spans="2:2">
      <c r="B571" s="39"/>
    </row>
    <row r="572" spans="2:2">
      <c r="B572" s="39"/>
    </row>
    <row r="573" spans="2:2">
      <c r="B573" s="39"/>
    </row>
    <row r="574" spans="2:2">
      <c r="B574" s="39"/>
    </row>
    <row r="575" spans="2:2">
      <c r="B575" s="39"/>
    </row>
    <row r="576" spans="2:2">
      <c r="B576" s="39"/>
    </row>
    <row r="577" spans="2:2">
      <c r="B577" s="39"/>
    </row>
    <row r="578" spans="2:2">
      <c r="B578" s="39"/>
    </row>
    <row r="579" spans="2:2">
      <c r="B579" s="39"/>
    </row>
    <row r="580" spans="2:2">
      <c r="B580" s="39"/>
    </row>
    <row r="581" spans="2:2">
      <c r="B581" s="39"/>
    </row>
    <row r="582" spans="2:2">
      <c r="B582" s="39"/>
    </row>
    <row r="583" spans="2:2">
      <c r="B583" s="39"/>
    </row>
    <row r="584" spans="2:2">
      <c r="B584" s="39"/>
    </row>
    <row r="585" spans="2:2">
      <c r="B585" s="39"/>
    </row>
    <row r="586" spans="2:2">
      <c r="B586" s="39"/>
    </row>
    <row r="587" spans="2:2">
      <c r="B587" s="39"/>
    </row>
    <row r="588" spans="2:2">
      <c r="B588" s="39"/>
    </row>
    <row r="589" spans="2:2">
      <c r="B589" s="39"/>
    </row>
    <row r="590" spans="2:2">
      <c r="B590" s="39"/>
    </row>
    <row r="591" spans="2:2">
      <c r="B591" s="39"/>
    </row>
    <row r="592" spans="2:2">
      <c r="B592" s="39"/>
    </row>
    <row r="593" spans="2:2">
      <c r="B593" s="39"/>
    </row>
    <row r="594" spans="2:2">
      <c r="B594" s="39"/>
    </row>
    <row r="595" spans="2:2">
      <c r="B595" s="39"/>
    </row>
    <row r="596" spans="2:2">
      <c r="B596" s="39"/>
    </row>
    <row r="597" spans="2:2">
      <c r="B597" s="39"/>
    </row>
    <row r="598" spans="2:2">
      <c r="B598" s="39"/>
    </row>
    <row r="599" spans="2:2">
      <c r="B599" s="39"/>
    </row>
    <row r="600" spans="2:2">
      <c r="B600" s="39"/>
    </row>
    <row r="601" spans="2:2">
      <c r="B601" s="39"/>
    </row>
    <row r="602" spans="2:2">
      <c r="B602" s="39"/>
    </row>
    <row r="603" spans="2:2">
      <c r="B603" s="39"/>
    </row>
    <row r="604" spans="2:2">
      <c r="B604" s="39"/>
    </row>
    <row r="605" spans="2:2">
      <c r="B605" s="39"/>
    </row>
    <row r="606" spans="2:2">
      <c r="B606" s="39"/>
    </row>
    <row r="607" spans="2:2">
      <c r="B607" s="39"/>
    </row>
    <row r="608" spans="2:2">
      <c r="B608" s="39"/>
    </row>
    <row r="609" spans="2:2">
      <c r="B609" s="39"/>
    </row>
    <row r="610" spans="2:2">
      <c r="B610" s="39"/>
    </row>
    <row r="611" spans="2:2">
      <c r="B611" s="39"/>
    </row>
    <row r="612" spans="2:2">
      <c r="B612" s="39"/>
    </row>
    <row r="613" spans="2:2">
      <c r="B613" s="39"/>
    </row>
    <row r="614" spans="2:2">
      <c r="B614" s="39"/>
    </row>
    <row r="615" spans="2:2">
      <c r="B615" s="39"/>
    </row>
    <row r="616" spans="2:2">
      <c r="B616" s="39"/>
    </row>
    <row r="617" spans="2:2">
      <c r="B617" s="39"/>
    </row>
    <row r="618" spans="2:2">
      <c r="B618" s="39"/>
    </row>
    <row r="619" spans="2:2">
      <c r="B619" s="39"/>
    </row>
    <row r="620" spans="2:2">
      <c r="B620" s="39"/>
    </row>
    <row r="621" spans="2:2">
      <c r="B621" s="39"/>
    </row>
    <row r="622" spans="2:2">
      <c r="B622" s="39"/>
    </row>
    <row r="623" spans="2:2">
      <c r="B623" s="39"/>
    </row>
    <row r="624" spans="2:2">
      <c r="B624" s="39"/>
    </row>
    <row r="625" spans="2:2">
      <c r="B625" s="39"/>
    </row>
    <row r="626" spans="2:2">
      <c r="B626" s="39"/>
    </row>
    <row r="627" spans="2:2">
      <c r="B627" s="39"/>
    </row>
    <row r="628" spans="2:2">
      <c r="B628" s="39"/>
    </row>
    <row r="629" spans="2:2">
      <c r="B629" s="39"/>
    </row>
    <row r="630" spans="2:2">
      <c r="B630" s="39"/>
    </row>
    <row r="631" spans="2:2">
      <c r="B631" s="39"/>
    </row>
    <row r="632" spans="2:2">
      <c r="B632" s="39"/>
    </row>
    <row r="633" spans="2:2">
      <c r="B633" s="39"/>
    </row>
    <row r="634" spans="2:2">
      <c r="B634" s="39"/>
    </row>
    <row r="635" spans="2:2">
      <c r="B635" s="39"/>
    </row>
    <row r="636" spans="2:2">
      <c r="B636" s="39"/>
    </row>
    <row r="637" spans="2:2">
      <c r="B637" s="39"/>
    </row>
    <row r="638" spans="2:2">
      <c r="B638" s="39"/>
    </row>
    <row r="639" spans="2:2">
      <c r="B639" s="39"/>
    </row>
    <row r="640" spans="2:2">
      <c r="B640" s="39"/>
    </row>
    <row r="641" spans="2:2">
      <c r="B641" s="39"/>
    </row>
    <row r="642" spans="2:2">
      <c r="B642" s="39"/>
    </row>
    <row r="643" spans="2:2">
      <c r="B643" s="39"/>
    </row>
    <row r="644" spans="2:2">
      <c r="B644" s="39"/>
    </row>
    <row r="645" spans="2:2">
      <c r="B645" s="39"/>
    </row>
    <row r="646" spans="2:2">
      <c r="B646" s="39"/>
    </row>
    <row r="647" spans="2:2">
      <c r="B647" s="39"/>
    </row>
    <row r="648" spans="2:2">
      <c r="B648" s="39"/>
    </row>
    <row r="649" spans="2:2">
      <c r="B649" s="39"/>
    </row>
    <row r="650" spans="2:2">
      <c r="B650" s="39"/>
    </row>
    <row r="651" spans="2:2">
      <c r="B651" s="39"/>
    </row>
    <row r="652" spans="2:2">
      <c r="B652" s="39"/>
    </row>
    <row r="653" spans="2:2">
      <c r="B653" s="39"/>
    </row>
    <row r="654" spans="2:2">
      <c r="B654" s="39"/>
    </row>
    <row r="655" spans="2:2">
      <c r="B655" s="39"/>
    </row>
    <row r="656" spans="2:2">
      <c r="B656" s="39"/>
    </row>
    <row r="657" spans="2:2">
      <c r="B657" s="39"/>
    </row>
    <row r="658" spans="2:2">
      <c r="B658" s="39"/>
    </row>
    <row r="659" spans="2:2">
      <c r="B659" s="39"/>
    </row>
    <row r="660" spans="2:2">
      <c r="B660" s="39"/>
    </row>
    <row r="661" spans="2:2">
      <c r="B661" s="39"/>
    </row>
    <row r="662" spans="2:2">
      <c r="B662" s="39"/>
    </row>
    <row r="663" spans="2:2">
      <c r="B663" s="39"/>
    </row>
    <row r="664" spans="2:2">
      <c r="B664" s="39"/>
    </row>
    <row r="665" spans="2:2">
      <c r="B665" s="39"/>
    </row>
    <row r="666" spans="2:2">
      <c r="B666" s="39"/>
    </row>
    <row r="667" spans="2:2">
      <c r="B667" s="39"/>
    </row>
    <row r="668" spans="2:2">
      <c r="B668" s="39"/>
    </row>
    <row r="669" spans="2:2">
      <c r="B669" s="39"/>
    </row>
    <row r="670" spans="2:2">
      <c r="B670" s="39"/>
    </row>
    <row r="671" spans="2:2">
      <c r="B671" s="39"/>
    </row>
    <row r="672" spans="2:2">
      <c r="B672" s="39"/>
    </row>
    <row r="673" spans="2:2">
      <c r="B673" s="39"/>
    </row>
    <row r="674" spans="2:2">
      <c r="B674" s="39"/>
    </row>
    <row r="675" spans="2:2">
      <c r="B675" s="39"/>
    </row>
    <row r="676" spans="2:2">
      <c r="B676" s="39"/>
    </row>
    <row r="677" spans="2:2">
      <c r="B677" s="39"/>
    </row>
    <row r="678" spans="2:2">
      <c r="B678" s="39"/>
    </row>
    <row r="679" spans="2:2">
      <c r="B679" s="39"/>
    </row>
    <row r="680" spans="2:2">
      <c r="B680" s="39"/>
    </row>
    <row r="681" spans="2:2">
      <c r="B681" s="39"/>
    </row>
    <row r="682" spans="2:2">
      <c r="B682" s="39"/>
    </row>
    <row r="683" spans="2:2">
      <c r="B683" s="39"/>
    </row>
    <row r="684" spans="2:2">
      <c r="B684" s="39"/>
    </row>
    <row r="685" spans="2:2">
      <c r="B685" s="39"/>
    </row>
    <row r="686" spans="2:2">
      <c r="B686" s="39"/>
    </row>
    <row r="687" spans="2:2">
      <c r="B687" s="39"/>
    </row>
    <row r="688" spans="2:2">
      <c r="B688" s="39"/>
    </row>
    <row r="689" spans="2:2">
      <c r="B689" s="39"/>
    </row>
    <row r="690" spans="2:2">
      <c r="B690" s="39"/>
    </row>
    <row r="691" spans="2:2">
      <c r="B691" s="39"/>
    </row>
    <row r="692" spans="2:2">
      <c r="B692" s="39"/>
    </row>
    <row r="693" spans="2:2">
      <c r="B693" s="39"/>
    </row>
    <row r="694" spans="2:2">
      <c r="B694" s="39"/>
    </row>
    <row r="695" spans="2:2">
      <c r="B695" s="39"/>
    </row>
    <row r="696" spans="2:2">
      <c r="B696" s="39"/>
    </row>
    <row r="697" spans="2:2">
      <c r="B697" s="39"/>
    </row>
    <row r="698" spans="2:2">
      <c r="B698" s="39"/>
    </row>
    <row r="699" spans="2:2">
      <c r="B699" s="39"/>
    </row>
    <row r="700" spans="2:2">
      <c r="B700" s="39"/>
    </row>
    <row r="701" spans="2:2">
      <c r="B701" s="39"/>
    </row>
    <row r="702" spans="2:2">
      <c r="B702" s="39"/>
    </row>
    <row r="703" spans="2:2">
      <c r="B703" s="39"/>
    </row>
    <row r="704" spans="2:2">
      <c r="B704" s="39"/>
    </row>
    <row r="705" spans="2:2">
      <c r="B705" s="39"/>
    </row>
    <row r="706" spans="2:2">
      <c r="B706" s="39"/>
    </row>
    <row r="707" spans="2:2">
      <c r="B707" s="39"/>
    </row>
    <row r="708" spans="2:2">
      <c r="B708" s="39"/>
    </row>
    <row r="709" spans="2:2">
      <c r="B709" s="39"/>
    </row>
    <row r="710" spans="2:2">
      <c r="B710" s="39"/>
    </row>
    <row r="711" spans="2:2">
      <c r="B711" s="39"/>
    </row>
    <row r="712" spans="2:2">
      <c r="B712" s="39"/>
    </row>
    <row r="713" spans="2:2">
      <c r="B713" s="39"/>
    </row>
    <row r="714" spans="2:2">
      <c r="B714" s="39"/>
    </row>
    <row r="715" spans="2:2">
      <c r="B715" s="39"/>
    </row>
    <row r="716" spans="2:2">
      <c r="B716" s="39"/>
    </row>
    <row r="717" spans="2:2">
      <c r="B717" s="39"/>
    </row>
    <row r="718" spans="2:2">
      <c r="B718" s="39"/>
    </row>
    <row r="719" spans="2:2">
      <c r="B719" s="39"/>
    </row>
    <row r="720" spans="2:2">
      <c r="B720" s="39"/>
    </row>
    <row r="721" spans="2:2">
      <c r="B721" s="39"/>
    </row>
    <row r="722" spans="2:2">
      <c r="B722" s="39"/>
    </row>
    <row r="723" spans="2:2">
      <c r="B723" s="39"/>
    </row>
    <row r="724" spans="2:2">
      <c r="B724" s="39"/>
    </row>
    <row r="725" spans="2:2">
      <c r="B725" s="39"/>
    </row>
    <row r="726" spans="2:2">
      <c r="B726" s="39"/>
    </row>
    <row r="727" spans="2:2">
      <c r="B727" s="39"/>
    </row>
    <row r="728" spans="2:2">
      <c r="B728" s="39"/>
    </row>
    <row r="729" spans="2:2">
      <c r="B729" s="39"/>
    </row>
    <row r="730" spans="2:2">
      <c r="B730" s="39"/>
    </row>
    <row r="731" spans="2:2">
      <c r="B731" s="39"/>
    </row>
    <row r="732" spans="2:2">
      <c r="B732" s="39"/>
    </row>
    <row r="733" spans="2:2">
      <c r="B733" s="39"/>
    </row>
    <row r="734" spans="2:2">
      <c r="B734" s="39"/>
    </row>
    <row r="735" spans="2:2">
      <c r="B735" s="39"/>
    </row>
    <row r="736" spans="2:2">
      <c r="B736" s="39"/>
    </row>
    <row r="737" spans="2:2">
      <c r="B737" s="39"/>
    </row>
    <row r="738" spans="2:2">
      <c r="B738" s="39"/>
    </row>
    <row r="739" spans="2:2">
      <c r="B739" s="39"/>
    </row>
    <row r="740" spans="2:2">
      <c r="B740" s="39"/>
    </row>
    <row r="741" spans="2:2">
      <c r="B741" s="39"/>
    </row>
    <row r="742" spans="2:2">
      <c r="B742" s="39"/>
    </row>
    <row r="743" spans="2:2">
      <c r="B743" s="39"/>
    </row>
    <row r="744" spans="2:2">
      <c r="B744" s="39"/>
    </row>
    <row r="745" spans="2:2">
      <c r="B745" s="39"/>
    </row>
    <row r="746" spans="2:2">
      <c r="B746" s="39"/>
    </row>
    <row r="747" spans="2:2">
      <c r="B747" s="39"/>
    </row>
    <row r="748" spans="2:2">
      <c r="B748" s="39"/>
    </row>
    <row r="749" spans="2:2">
      <c r="B749" s="39"/>
    </row>
    <row r="750" spans="2:2">
      <c r="B750" s="39"/>
    </row>
    <row r="751" spans="2:2">
      <c r="B751" s="39"/>
    </row>
    <row r="752" spans="2:2">
      <c r="B752" s="39"/>
    </row>
    <row r="753" spans="2:2">
      <c r="B753" s="39"/>
    </row>
    <row r="754" spans="2:2">
      <c r="B754" s="39"/>
    </row>
    <row r="755" spans="2:2">
      <c r="B755" s="39"/>
    </row>
    <row r="756" spans="2:2">
      <c r="B756" s="39"/>
    </row>
    <row r="757" spans="2:2">
      <c r="B757" s="39"/>
    </row>
    <row r="758" spans="2:2">
      <c r="B758" s="39"/>
    </row>
    <row r="759" spans="2:2">
      <c r="B759" s="39"/>
    </row>
    <row r="760" spans="2:2">
      <c r="B760" s="39"/>
    </row>
    <row r="761" spans="2:2">
      <c r="B761" s="39"/>
    </row>
    <row r="762" spans="2:2">
      <c r="B762" s="39"/>
    </row>
    <row r="763" spans="2:2">
      <c r="B763" s="39"/>
    </row>
    <row r="764" spans="2:2">
      <c r="B764" s="39"/>
    </row>
    <row r="765" spans="2:2">
      <c r="B765" s="39"/>
    </row>
    <row r="766" spans="2:2">
      <c r="B766" s="39"/>
    </row>
    <row r="767" spans="2:2">
      <c r="B767" s="39"/>
    </row>
    <row r="768" spans="2:2">
      <c r="B768" s="39"/>
    </row>
    <row r="769" spans="2:2">
      <c r="B769" s="39"/>
    </row>
    <row r="770" spans="2:2">
      <c r="B770" s="39"/>
    </row>
    <row r="771" spans="2:2">
      <c r="B771" s="39"/>
    </row>
    <row r="772" spans="2:2">
      <c r="B772" s="39"/>
    </row>
    <row r="773" spans="2:2">
      <c r="B773" s="39"/>
    </row>
    <row r="774" spans="2:2">
      <c r="B774" s="39"/>
    </row>
    <row r="775" spans="2:2">
      <c r="B775" s="39"/>
    </row>
    <row r="776" spans="2:2">
      <c r="B776" s="39"/>
    </row>
    <row r="777" spans="2:2">
      <c r="B777" s="39"/>
    </row>
    <row r="778" spans="2:2">
      <c r="B778" s="39"/>
    </row>
    <row r="779" spans="2:2">
      <c r="B779" s="39"/>
    </row>
    <row r="780" spans="2:2">
      <c r="B780" s="39"/>
    </row>
    <row r="781" spans="2:2">
      <c r="B781" s="39"/>
    </row>
    <row r="782" spans="2:2">
      <c r="B782" s="39"/>
    </row>
    <row r="783" spans="2:2">
      <c r="B783" s="39"/>
    </row>
    <row r="784" spans="2:2">
      <c r="B784" s="39"/>
    </row>
    <row r="785" spans="2:2">
      <c r="B785" s="39"/>
    </row>
    <row r="786" spans="2:2">
      <c r="B786" s="39"/>
    </row>
    <row r="787" spans="2:2">
      <c r="B787" s="39"/>
    </row>
    <row r="788" spans="2:2">
      <c r="B788" s="39"/>
    </row>
    <row r="789" spans="2:2">
      <c r="B789" s="39"/>
    </row>
    <row r="790" spans="2:2">
      <c r="B790" s="39"/>
    </row>
    <row r="791" spans="2:2">
      <c r="B791" s="39"/>
    </row>
    <row r="792" spans="2:2">
      <c r="B792" s="39"/>
    </row>
    <row r="793" spans="2:2">
      <c r="B793" s="39"/>
    </row>
    <row r="794" spans="2:2">
      <c r="B794" s="39"/>
    </row>
    <row r="795" spans="2:2">
      <c r="B795" s="39"/>
    </row>
    <row r="796" spans="2:2">
      <c r="B796" s="39"/>
    </row>
    <row r="797" spans="2:2">
      <c r="B797" s="39"/>
    </row>
    <row r="798" spans="2:2">
      <c r="B798" s="39"/>
    </row>
    <row r="799" spans="2:2">
      <c r="B799" s="39"/>
    </row>
    <row r="800" spans="2:2">
      <c r="B800" s="39"/>
    </row>
    <row r="801" spans="2:2">
      <c r="B801" s="39"/>
    </row>
    <row r="802" spans="2:2">
      <c r="B802" s="39"/>
    </row>
    <row r="803" spans="2:2">
      <c r="B803" s="39"/>
    </row>
    <row r="804" spans="2:2">
      <c r="B804" s="39"/>
    </row>
    <row r="805" spans="2:2">
      <c r="B805" s="39"/>
    </row>
    <row r="806" spans="2:2">
      <c r="B806" s="39"/>
    </row>
    <row r="807" spans="2:2">
      <c r="B807" s="39"/>
    </row>
    <row r="808" spans="2:2">
      <c r="B808" s="39"/>
    </row>
    <row r="809" spans="2:2">
      <c r="B809" s="39"/>
    </row>
    <row r="810" spans="2:2">
      <c r="B810" s="39"/>
    </row>
    <row r="811" spans="2:2">
      <c r="B811" s="39"/>
    </row>
    <row r="812" spans="2:2">
      <c r="B812" s="39"/>
    </row>
    <row r="813" spans="2:2">
      <c r="B813" s="39"/>
    </row>
    <row r="814" spans="2:2">
      <c r="B814" s="39"/>
    </row>
    <row r="815" spans="2:2">
      <c r="B815" s="39"/>
    </row>
    <row r="816" spans="2:2">
      <c r="B816" s="39"/>
    </row>
    <row r="817" spans="2:2">
      <c r="B817" s="39"/>
    </row>
    <row r="818" spans="2:2">
      <c r="B818" s="39"/>
    </row>
    <row r="819" spans="2:2">
      <c r="B819" s="39"/>
    </row>
    <row r="820" spans="2:2">
      <c r="B820" s="39"/>
    </row>
    <row r="821" spans="2:2">
      <c r="B821" s="39"/>
    </row>
    <row r="822" spans="2:2">
      <c r="B822" s="39"/>
    </row>
    <row r="823" spans="2:2">
      <c r="B823" s="39"/>
    </row>
    <row r="824" spans="2:2">
      <c r="B824" s="39"/>
    </row>
    <row r="825" spans="2:2">
      <c r="B825" s="39"/>
    </row>
    <row r="826" spans="2:2">
      <c r="B826" s="39"/>
    </row>
    <row r="827" spans="2:2">
      <c r="B827" s="39"/>
    </row>
    <row r="828" spans="2:2">
      <c r="B828" s="39"/>
    </row>
    <row r="829" spans="2:2">
      <c r="B829" s="39"/>
    </row>
    <row r="830" spans="2:2">
      <c r="B830" s="39"/>
    </row>
    <row r="831" spans="2:2">
      <c r="B831" s="39"/>
    </row>
    <row r="832" spans="2:2">
      <c r="B832" s="39"/>
    </row>
    <row r="833" spans="2:2">
      <c r="B833" s="39"/>
    </row>
    <row r="834" spans="2:2">
      <c r="B834" s="39"/>
    </row>
    <row r="835" spans="2:2">
      <c r="B835" s="39"/>
    </row>
    <row r="836" spans="2:2">
      <c r="B836" s="39"/>
    </row>
    <row r="837" spans="2:2">
      <c r="B837" s="39"/>
    </row>
    <row r="838" spans="2:2">
      <c r="B838" s="39"/>
    </row>
    <row r="839" spans="2:2">
      <c r="B839" s="39"/>
    </row>
    <row r="840" spans="2:2">
      <c r="B840" s="39"/>
    </row>
    <row r="841" spans="2:2">
      <c r="B841" s="39"/>
    </row>
    <row r="842" spans="2:2">
      <c r="B842" s="39"/>
    </row>
    <row r="843" spans="2:2">
      <c r="B843" s="39"/>
    </row>
    <row r="844" spans="2:2">
      <c r="B844" s="39"/>
    </row>
    <row r="845" spans="2:2">
      <c r="B845" s="39"/>
    </row>
    <row r="846" spans="2:2">
      <c r="B846" s="39"/>
    </row>
    <row r="847" spans="2:2">
      <c r="B847" s="39"/>
    </row>
    <row r="848" spans="2:2">
      <c r="B848" s="39"/>
    </row>
    <row r="849" spans="2:2">
      <c r="B849" s="39"/>
    </row>
    <row r="850" spans="2:2">
      <c r="B850" s="39"/>
    </row>
    <row r="851" spans="2:2">
      <c r="B851" s="39"/>
    </row>
    <row r="852" spans="2:2">
      <c r="B852" s="39"/>
    </row>
    <row r="853" spans="2:2">
      <c r="B853" s="39"/>
    </row>
    <row r="854" spans="2:2">
      <c r="B854" s="39"/>
    </row>
    <row r="855" spans="2:2">
      <c r="B855" s="39"/>
    </row>
    <row r="856" spans="2:2">
      <c r="B856" s="39"/>
    </row>
    <row r="857" spans="2:2">
      <c r="B857" s="39"/>
    </row>
    <row r="858" spans="2:2">
      <c r="B858" s="39"/>
    </row>
    <row r="859" spans="2:2">
      <c r="B859" s="39"/>
    </row>
    <row r="860" spans="2:2">
      <c r="B860" s="39"/>
    </row>
    <row r="861" spans="2:2">
      <c r="B861" s="39"/>
    </row>
    <row r="862" spans="2:2">
      <c r="B862" s="39"/>
    </row>
    <row r="863" spans="2:2">
      <c r="B863" s="39"/>
    </row>
    <row r="864" spans="2:2">
      <c r="B864" s="39"/>
    </row>
    <row r="865" spans="2:2">
      <c r="B865" s="39"/>
    </row>
    <row r="866" spans="2:2">
      <c r="B866" s="39"/>
    </row>
    <row r="867" spans="2:2">
      <c r="B867" s="39"/>
    </row>
    <row r="868" spans="2:2">
      <c r="B868" s="39"/>
    </row>
    <row r="869" spans="2:2">
      <c r="B869" s="39"/>
    </row>
    <row r="870" spans="2:2">
      <c r="B870" s="39"/>
    </row>
    <row r="871" spans="2:2">
      <c r="B871" s="39"/>
    </row>
    <row r="872" spans="2:2">
      <c r="B872" s="39"/>
    </row>
    <row r="873" spans="2:2">
      <c r="B873" s="39"/>
    </row>
    <row r="874" spans="2:2">
      <c r="B874" s="39"/>
    </row>
    <row r="875" spans="2:2">
      <c r="B875" s="39"/>
    </row>
    <row r="876" spans="2:2">
      <c r="B876" s="39"/>
    </row>
    <row r="877" spans="2:2">
      <c r="B877" s="39"/>
    </row>
    <row r="878" spans="2:2">
      <c r="B878" s="39"/>
    </row>
    <row r="879" spans="2:2">
      <c r="B879" s="39"/>
    </row>
    <row r="880" spans="2:2">
      <c r="B880" s="39"/>
    </row>
    <row r="881" spans="2:2">
      <c r="B881" s="39"/>
    </row>
    <row r="882" spans="2:2">
      <c r="B882" s="39"/>
    </row>
    <row r="883" spans="2:2">
      <c r="B883" s="39"/>
    </row>
    <row r="884" spans="2:2">
      <c r="B884" s="39"/>
    </row>
    <row r="885" spans="2:2">
      <c r="B885" s="39"/>
    </row>
    <row r="886" spans="2:2">
      <c r="B886" s="39"/>
    </row>
    <row r="887" spans="2:2">
      <c r="B887" s="39"/>
    </row>
    <row r="888" spans="2:2">
      <c r="B888" s="39"/>
    </row>
    <row r="889" spans="2:2">
      <c r="B889" s="39"/>
    </row>
    <row r="890" spans="2:2">
      <c r="B890" s="39"/>
    </row>
    <row r="891" spans="2:2">
      <c r="B891" s="39"/>
    </row>
    <row r="892" spans="2:2">
      <c r="B892" s="39"/>
    </row>
    <row r="893" spans="2:2">
      <c r="B893" s="39"/>
    </row>
    <row r="894" spans="2:2">
      <c r="B894" s="39"/>
    </row>
    <row r="895" spans="2:2">
      <c r="B895" s="39"/>
    </row>
    <row r="896" spans="2:2">
      <c r="B896" s="39"/>
    </row>
    <row r="897" spans="2:2">
      <c r="B897" s="39"/>
    </row>
    <row r="898" spans="2:2">
      <c r="B898" s="39"/>
    </row>
    <row r="899" spans="2:2">
      <c r="B899" s="39"/>
    </row>
    <row r="900" spans="2:2">
      <c r="B900" s="39"/>
    </row>
    <row r="901" spans="2:2">
      <c r="B901" s="39"/>
    </row>
    <row r="902" spans="2:2">
      <c r="B902" s="39"/>
    </row>
    <row r="903" spans="2:2">
      <c r="B903" s="39"/>
    </row>
    <row r="904" spans="2:2">
      <c r="B904" s="39"/>
    </row>
    <row r="905" spans="2:2">
      <c r="B905" s="39"/>
    </row>
    <row r="906" spans="2:2">
      <c r="B906" s="39"/>
    </row>
    <row r="907" spans="2:2">
      <c r="B907" s="39"/>
    </row>
    <row r="908" spans="2:2">
      <c r="B908" s="39"/>
    </row>
    <row r="909" spans="2:2">
      <c r="B909" s="39"/>
    </row>
    <row r="910" spans="2:2">
      <c r="B910" s="39"/>
    </row>
    <row r="911" spans="2:2">
      <c r="B911" s="39"/>
    </row>
    <row r="912" spans="2:2">
      <c r="B912" s="39"/>
    </row>
    <row r="913" spans="2:2">
      <c r="B913" s="39"/>
    </row>
    <row r="914" spans="2:2">
      <c r="B914" s="39"/>
    </row>
    <row r="915" spans="2:2">
      <c r="B915" s="39"/>
    </row>
    <row r="916" spans="2:2">
      <c r="B916" s="39"/>
    </row>
    <row r="917" spans="2:2">
      <c r="B917" s="39"/>
    </row>
    <row r="918" spans="2:2">
      <c r="B918" s="39"/>
    </row>
    <row r="919" spans="2:2">
      <c r="B919" s="39"/>
    </row>
    <row r="920" spans="2:2">
      <c r="B920" s="39"/>
    </row>
    <row r="921" spans="2:2">
      <c r="B921" s="39"/>
    </row>
    <row r="922" spans="2:2">
      <c r="B922" s="39"/>
    </row>
    <row r="923" spans="2:2">
      <c r="B923" s="39"/>
    </row>
    <row r="924" spans="2:2">
      <c r="B924" s="39"/>
    </row>
    <row r="925" spans="2:2">
      <c r="B925" s="39"/>
    </row>
    <row r="926" spans="2:2">
      <c r="B926" s="39"/>
    </row>
    <row r="927" spans="2:2">
      <c r="B927" s="39"/>
    </row>
    <row r="928" spans="2:2">
      <c r="B928" s="39"/>
    </row>
    <row r="929" spans="2:2">
      <c r="B929" s="39"/>
    </row>
    <row r="930" spans="2:2">
      <c r="B930" s="39"/>
    </row>
    <row r="931" spans="2:2">
      <c r="B931" s="39"/>
    </row>
    <row r="932" spans="2:2">
      <c r="B932" s="39"/>
    </row>
    <row r="933" spans="2:2">
      <c r="B933" s="39"/>
    </row>
    <row r="934" spans="2:2">
      <c r="B934" s="39"/>
    </row>
    <row r="935" spans="2:2">
      <c r="B935" s="39"/>
    </row>
    <row r="936" spans="2:2">
      <c r="B936" s="39"/>
    </row>
    <row r="937" spans="2:2">
      <c r="B937" s="39"/>
    </row>
    <row r="938" spans="2:2">
      <c r="B938" s="39"/>
    </row>
    <row r="939" spans="2:2">
      <c r="B939" s="39"/>
    </row>
    <row r="940" spans="2:2">
      <c r="B940" s="39"/>
    </row>
    <row r="941" spans="2:2">
      <c r="B941" s="39"/>
    </row>
    <row r="942" spans="2:2">
      <c r="B942" s="39"/>
    </row>
    <row r="943" spans="2:2">
      <c r="B943" s="39"/>
    </row>
    <row r="944" spans="2:2">
      <c r="B944" s="39"/>
    </row>
    <row r="945" spans="2:2">
      <c r="B945" s="39"/>
    </row>
    <row r="946" spans="2:2">
      <c r="B946" s="39"/>
    </row>
    <row r="947" spans="2:2">
      <c r="B947" s="39"/>
    </row>
    <row r="948" spans="2:2">
      <c r="B948" s="39"/>
    </row>
    <row r="949" spans="2:2">
      <c r="B949" s="39"/>
    </row>
    <row r="950" spans="2:2">
      <c r="B950" s="39"/>
    </row>
    <row r="951" spans="2:2">
      <c r="B951" s="39"/>
    </row>
    <row r="952" spans="2:2">
      <c r="B952" s="39"/>
    </row>
    <row r="953" spans="2:2">
      <c r="B953" s="39"/>
    </row>
    <row r="954" spans="2:2">
      <c r="B954" s="39"/>
    </row>
    <row r="955" spans="2:2">
      <c r="B955" s="39"/>
    </row>
    <row r="956" spans="2:2">
      <c r="B956" s="39"/>
    </row>
    <row r="957" spans="2:2">
      <c r="B957" s="39"/>
    </row>
    <row r="958" spans="2:2">
      <c r="B958" s="39"/>
    </row>
    <row r="959" spans="2:2">
      <c r="B959" s="39"/>
    </row>
    <row r="960" spans="2:2">
      <c r="B960" s="39"/>
    </row>
    <row r="961" spans="2:2">
      <c r="B961" s="39"/>
    </row>
    <row r="962" spans="2:2">
      <c r="B962" s="39"/>
    </row>
    <row r="963" spans="2:2">
      <c r="B963" s="39"/>
    </row>
    <row r="964" spans="2:2">
      <c r="B964" s="39"/>
    </row>
    <row r="965" spans="2:2">
      <c r="B965" s="39"/>
    </row>
    <row r="966" spans="2:2">
      <c r="B966" s="39"/>
    </row>
    <row r="967" spans="2:2">
      <c r="B967" s="39"/>
    </row>
    <row r="968" spans="2:2">
      <c r="B968" s="39"/>
    </row>
    <row r="969" spans="2:2">
      <c r="B969" s="39"/>
    </row>
    <row r="970" spans="2:2">
      <c r="B970" s="39"/>
    </row>
    <row r="971" spans="2:2">
      <c r="B971" s="39"/>
    </row>
    <row r="972" spans="2:2">
      <c r="B972" s="39"/>
    </row>
    <row r="973" spans="2:2">
      <c r="B973" s="39"/>
    </row>
    <row r="974" spans="2:2">
      <c r="B974" s="39"/>
    </row>
    <row r="975" spans="2:2">
      <c r="B975" s="39"/>
    </row>
    <row r="976" spans="2:2">
      <c r="B976" s="39"/>
    </row>
    <row r="977" spans="2:2">
      <c r="B977" s="39"/>
    </row>
    <row r="978" spans="2:2">
      <c r="B978" s="39"/>
    </row>
    <row r="979" spans="2:2">
      <c r="B979" s="39"/>
    </row>
    <row r="980" spans="2:2">
      <c r="B980" s="39"/>
    </row>
    <row r="981" spans="2:2">
      <c r="B981" s="39"/>
    </row>
    <row r="982" spans="2:2">
      <c r="B982" s="39"/>
    </row>
    <row r="983" spans="2:2">
      <c r="B983" s="39"/>
    </row>
    <row r="984" spans="2:2">
      <c r="B984" s="39"/>
    </row>
    <row r="985" spans="2:2">
      <c r="B985" s="39"/>
    </row>
    <row r="986" spans="2:2">
      <c r="B986" s="39"/>
    </row>
    <row r="987" spans="2:2">
      <c r="B987" s="39"/>
    </row>
    <row r="988" spans="2:2">
      <c r="B988" s="39"/>
    </row>
    <row r="989" spans="2:2">
      <c r="B989" s="39"/>
    </row>
    <row r="990" spans="2:2">
      <c r="B990" s="39"/>
    </row>
    <row r="991" spans="2:2">
      <c r="B991" s="39"/>
    </row>
    <row r="992" spans="2:2">
      <c r="B992" s="39"/>
    </row>
    <row r="993" spans="2:2">
      <c r="B993" s="39"/>
    </row>
    <row r="994" spans="2:2">
      <c r="B994" s="39"/>
    </row>
    <row r="995" spans="2:2">
      <c r="B995" s="39"/>
    </row>
    <row r="996" spans="2:2">
      <c r="B996" s="39"/>
    </row>
    <row r="997" spans="2:2">
      <c r="B997" s="39"/>
    </row>
    <row r="998" spans="2:2">
      <c r="B998" s="39"/>
    </row>
    <row r="999" spans="2:2">
      <c r="B999" s="39"/>
    </row>
    <row r="1000" spans="2:2">
      <c r="B1000" s="39"/>
    </row>
    <row r="1001" spans="2:2">
      <c r="B1001" s="39"/>
    </row>
    <row r="1002" spans="2:2">
      <c r="B1002" s="39"/>
    </row>
    <row r="1003" spans="2:2">
      <c r="B1003" s="39"/>
    </row>
    <row r="1004" spans="2:2">
      <c r="B1004" s="39"/>
    </row>
    <row r="1005" spans="2:2">
      <c r="B1005" s="39"/>
    </row>
    <row r="1006" spans="2:2">
      <c r="B1006" s="39"/>
    </row>
    <row r="1007" spans="2:2">
      <c r="B1007" s="39"/>
    </row>
    <row r="1008" spans="2:2">
      <c r="B1008" s="39"/>
    </row>
    <row r="1009" spans="2:2">
      <c r="B1009" s="39"/>
    </row>
    <row r="1010" spans="2:2">
      <c r="B1010" s="39"/>
    </row>
    <row r="1011" spans="2:2">
      <c r="B1011" s="39"/>
    </row>
    <row r="1012" spans="2:2">
      <c r="B1012" s="39"/>
    </row>
    <row r="1013" spans="2:2">
      <c r="B1013" s="39"/>
    </row>
    <row r="1014" spans="2:2">
      <c r="B1014" s="39"/>
    </row>
    <row r="1015" spans="2:2">
      <c r="B1015" s="39"/>
    </row>
    <row r="1016" spans="2:2">
      <c r="B1016" s="39"/>
    </row>
    <row r="1017" spans="2:2">
      <c r="B1017" s="39"/>
    </row>
    <row r="1018" spans="2:2">
      <c r="B1018" s="39"/>
    </row>
    <row r="1019" spans="2:2">
      <c r="B1019" s="39"/>
    </row>
    <row r="1020" spans="2:2">
      <c r="B1020" s="39"/>
    </row>
    <row r="1021" spans="2:2">
      <c r="B1021" s="39"/>
    </row>
    <row r="1022" spans="2:2">
      <c r="B1022" s="39"/>
    </row>
    <row r="1023" spans="2:2">
      <c r="B1023" s="39"/>
    </row>
    <row r="1024" spans="2:2">
      <c r="B1024" s="39"/>
    </row>
    <row r="1025" spans="2:2">
      <c r="B1025" s="39"/>
    </row>
    <row r="1026" spans="2:2">
      <c r="B1026" s="39"/>
    </row>
    <row r="1027" spans="2:2">
      <c r="B1027" s="39"/>
    </row>
    <row r="1028" spans="2:2">
      <c r="B1028" s="39"/>
    </row>
    <row r="1029" spans="2:2">
      <c r="B1029" s="39"/>
    </row>
    <row r="1030" spans="2:2">
      <c r="B1030" s="39"/>
    </row>
    <row r="1031" spans="2:2">
      <c r="B1031" s="39"/>
    </row>
    <row r="1032" spans="2:2">
      <c r="B1032" s="39"/>
    </row>
    <row r="1033" spans="2:2">
      <c r="B1033" s="39"/>
    </row>
    <row r="1034" spans="2:2">
      <c r="B1034" s="39"/>
    </row>
    <row r="1035" spans="2:2">
      <c r="B1035" s="39"/>
    </row>
    <row r="1036" spans="2:2">
      <c r="B1036" s="39"/>
    </row>
    <row r="1037" spans="2:2">
      <c r="B1037" s="39"/>
    </row>
    <row r="1038" spans="2:2">
      <c r="B1038" s="39"/>
    </row>
    <row r="1039" spans="2:2">
      <c r="B1039" s="39"/>
    </row>
    <row r="1040" spans="2:2">
      <c r="B1040" s="39"/>
    </row>
    <row r="1041" spans="2:2">
      <c r="B1041" s="39"/>
    </row>
    <row r="1042" spans="2:2">
      <c r="B1042" s="39"/>
    </row>
    <row r="1043" spans="2:2">
      <c r="B1043" s="39"/>
    </row>
    <row r="1044" spans="2:2">
      <c r="B1044" s="39"/>
    </row>
    <row r="1045" spans="2:2">
      <c r="B1045" s="39"/>
    </row>
    <row r="1046" spans="2:2">
      <c r="B1046" s="39"/>
    </row>
    <row r="1047" spans="2:2">
      <c r="B1047" s="39"/>
    </row>
    <row r="1048" spans="2:2">
      <c r="B1048" s="39"/>
    </row>
    <row r="1049" spans="2:2">
      <c r="B1049" s="39"/>
    </row>
    <row r="1050" spans="2:2">
      <c r="B1050" s="39"/>
    </row>
    <row r="1051" spans="2:2">
      <c r="B1051" s="39"/>
    </row>
    <row r="1052" spans="2:2">
      <c r="B1052" s="39"/>
    </row>
    <row r="1053" spans="2:2">
      <c r="B1053" s="39"/>
    </row>
    <row r="1054" spans="2:2">
      <c r="B1054" s="39"/>
    </row>
    <row r="1055" spans="2:2">
      <c r="B1055" s="39"/>
    </row>
    <row r="1056" spans="2:2">
      <c r="B1056" s="39"/>
    </row>
    <row r="1057" spans="2:2">
      <c r="B1057" s="39"/>
    </row>
    <row r="1058" spans="2:2">
      <c r="B1058" s="39"/>
    </row>
    <row r="1059" spans="2:2">
      <c r="B1059" s="39"/>
    </row>
    <row r="1060" spans="2:2">
      <c r="B1060" s="39"/>
    </row>
    <row r="1061" spans="2:2">
      <c r="B1061" s="39"/>
    </row>
    <row r="1062" spans="2:2">
      <c r="B1062" s="39"/>
    </row>
    <row r="1063" spans="2:2">
      <c r="B1063" s="39"/>
    </row>
    <row r="1064" spans="2:2">
      <c r="B1064" s="39"/>
    </row>
    <row r="1065" spans="2:2">
      <c r="B1065" s="39"/>
    </row>
    <row r="1066" spans="2:2">
      <c r="B1066" s="39"/>
    </row>
    <row r="1067" spans="2:2">
      <c r="B1067" s="39"/>
    </row>
    <row r="1068" spans="2:2">
      <c r="B1068" s="39"/>
    </row>
    <row r="1069" spans="2:2">
      <c r="B1069" s="39"/>
    </row>
    <row r="1070" spans="2:2">
      <c r="B1070" s="39"/>
    </row>
    <row r="1071" spans="2:2">
      <c r="B1071" s="39"/>
    </row>
    <row r="1072" spans="2:2">
      <c r="B1072" s="39"/>
    </row>
    <row r="1073" spans="2:2">
      <c r="B1073" s="39"/>
    </row>
    <row r="1074" spans="2:2">
      <c r="B1074" s="39"/>
    </row>
    <row r="1075" spans="2:2">
      <c r="B1075" s="39"/>
    </row>
    <row r="1076" spans="2:2">
      <c r="B1076" s="39"/>
    </row>
    <row r="1077" spans="2:2">
      <c r="B1077" s="39"/>
    </row>
    <row r="1078" spans="2:2">
      <c r="B1078" s="39"/>
    </row>
    <row r="1079" spans="2:2">
      <c r="B1079" s="39"/>
    </row>
    <row r="1080" spans="2:2">
      <c r="B1080" s="39"/>
    </row>
    <row r="1081" spans="2:2">
      <c r="B1081" s="39"/>
    </row>
    <row r="1082" spans="2:2">
      <c r="B1082" s="39"/>
    </row>
    <row r="1083" spans="2:2">
      <c r="B1083" s="39"/>
    </row>
    <row r="1084" spans="2:2">
      <c r="B1084" s="39"/>
    </row>
    <row r="1085" spans="2:2">
      <c r="B1085" s="39"/>
    </row>
    <row r="1086" spans="2:2">
      <c r="B1086" s="39"/>
    </row>
    <row r="1087" spans="2:2">
      <c r="B1087" s="39"/>
    </row>
    <row r="1088" spans="2:2">
      <c r="B1088" s="39"/>
    </row>
    <row r="1089" spans="2:2">
      <c r="B1089" s="39"/>
    </row>
    <row r="1090" spans="2:2">
      <c r="B1090" s="39"/>
    </row>
    <row r="1091" spans="2:2">
      <c r="B1091" s="39"/>
    </row>
    <row r="1092" spans="2:2">
      <c r="B1092" s="39"/>
    </row>
    <row r="1093" spans="2:2">
      <c r="B1093" s="39"/>
    </row>
    <row r="1094" spans="2:2">
      <c r="B1094" s="39"/>
    </row>
    <row r="1095" spans="2:2">
      <c r="B1095" s="39"/>
    </row>
    <row r="1096" spans="2:2">
      <c r="B1096" s="39"/>
    </row>
    <row r="1097" spans="2:2">
      <c r="B1097" s="39"/>
    </row>
    <row r="1098" spans="2:2">
      <c r="B1098" s="39"/>
    </row>
    <row r="1099" spans="2:2">
      <c r="B1099" s="39"/>
    </row>
    <row r="1100" spans="2:2">
      <c r="B1100" s="39"/>
    </row>
    <row r="1101" spans="2:2">
      <c r="B1101" s="39"/>
    </row>
    <row r="1102" spans="2:2">
      <c r="B1102" s="39"/>
    </row>
    <row r="1103" spans="2:2">
      <c r="B1103" s="39"/>
    </row>
    <row r="1104" spans="2:2">
      <c r="B1104" s="39"/>
    </row>
    <row r="1105" spans="2:2">
      <c r="B1105" s="39"/>
    </row>
    <row r="1106" spans="2:2">
      <c r="B1106" s="39"/>
    </row>
    <row r="1107" spans="2:2">
      <c r="B1107" s="39"/>
    </row>
    <row r="1108" spans="2:2">
      <c r="B1108" s="39"/>
    </row>
    <row r="1109" spans="2:2">
      <c r="B1109" s="39"/>
    </row>
    <row r="1110" spans="2:2">
      <c r="B1110" s="39"/>
    </row>
    <row r="1111" spans="2:2">
      <c r="B1111" s="39"/>
    </row>
    <row r="1112" spans="2:2">
      <c r="B1112" s="39"/>
    </row>
    <row r="1113" spans="2:2">
      <c r="B1113" s="39"/>
    </row>
    <row r="1114" spans="2:2">
      <c r="B1114" s="39"/>
    </row>
    <row r="1115" spans="2:2">
      <c r="B1115" s="39"/>
    </row>
    <row r="1116" spans="2:2">
      <c r="B1116" s="39"/>
    </row>
    <row r="1117" spans="2:2">
      <c r="B1117" s="39"/>
    </row>
    <row r="1118" spans="2:2">
      <c r="B1118" s="39"/>
    </row>
    <row r="1119" spans="2:2">
      <c r="B1119" s="39"/>
    </row>
    <row r="1120" spans="2:2">
      <c r="B1120" s="39"/>
    </row>
    <row r="1121" spans="2:2">
      <c r="B1121" s="39"/>
    </row>
    <row r="1122" spans="2:2">
      <c r="B1122" s="39"/>
    </row>
    <row r="1123" spans="2:2">
      <c r="B1123" s="39"/>
    </row>
    <row r="1124" spans="2:2">
      <c r="B1124" s="39"/>
    </row>
    <row r="1125" spans="2:2">
      <c r="B1125" s="39"/>
    </row>
    <row r="1126" spans="2:2">
      <c r="B1126" s="39"/>
    </row>
    <row r="1127" spans="2:2">
      <c r="B1127" s="39"/>
    </row>
    <row r="1128" spans="2:2">
      <c r="B1128" s="39"/>
    </row>
    <row r="1129" spans="2:2">
      <c r="B1129" s="39"/>
    </row>
    <row r="1130" spans="2:2">
      <c r="B1130" s="39"/>
    </row>
    <row r="1131" spans="2:2">
      <c r="B1131" s="39"/>
    </row>
    <row r="1132" spans="2:2">
      <c r="B1132" s="39"/>
    </row>
    <row r="1133" spans="2:2">
      <c r="B1133" s="39"/>
    </row>
    <row r="1134" spans="2:2">
      <c r="B1134" s="39"/>
    </row>
    <row r="1135" spans="2:2">
      <c r="B1135" s="39"/>
    </row>
    <row r="1136" spans="2:2">
      <c r="B1136" s="39"/>
    </row>
    <row r="1137" spans="2:2">
      <c r="B1137" s="39"/>
    </row>
    <row r="1138" spans="2:2">
      <c r="B1138" s="39"/>
    </row>
    <row r="1139" spans="2:2">
      <c r="B1139" s="39"/>
    </row>
    <row r="1140" spans="2:2">
      <c r="B1140" s="39"/>
    </row>
    <row r="1141" spans="2:2">
      <c r="B1141" s="39"/>
    </row>
    <row r="1142" spans="2:2">
      <c r="B1142" s="39"/>
    </row>
    <row r="1143" spans="2:2">
      <c r="B1143" s="39"/>
    </row>
    <row r="1144" spans="2:2">
      <c r="B1144" s="39"/>
    </row>
    <row r="1145" spans="2:2">
      <c r="B1145" s="39"/>
    </row>
    <row r="1146" spans="2:2">
      <c r="B1146" s="39"/>
    </row>
    <row r="1147" spans="2:2">
      <c r="B1147" s="39"/>
    </row>
    <row r="1148" spans="2:2">
      <c r="B1148" s="39"/>
    </row>
    <row r="1149" spans="2:2">
      <c r="B1149" s="39"/>
    </row>
    <row r="1150" spans="2:2">
      <c r="B1150" s="39"/>
    </row>
    <row r="1151" spans="2:2">
      <c r="B1151" s="39"/>
    </row>
    <row r="1152" spans="2:2">
      <c r="B1152" s="39"/>
    </row>
    <row r="1153" spans="2:2">
      <c r="B1153" s="39"/>
    </row>
    <row r="1154" spans="2:2">
      <c r="B1154" s="39"/>
    </row>
    <row r="1155" spans="2:2">
      <c r="B1155" s="39"/>
    </row>
    <row r="1156" spans="2:2">
      <c r="B1156" s="39"/>
    </row>
    <row r="1157" spans="2:2">
      <c r="B1157" s="39"/>
    </row>
    <row r="1158" spans="2:2">
      <c r="B1158" s="39"/>
    </row>
    <row r="1159" spans="2:2">
      <c r="B1159" s="39"/>
    </row>
    <row r="1160" spans="2:2">
      <c r="B1160" s="39"/>
    </row>
    <row r="1161" spans="2:2">
      <c r="B1161" s="39"/>
    </row>
    <row r="1162" spans="2:2">
      <c r="B1162" s="39"/>
    </row>
    <row r="1163" spans="2:2">
      <c r="B1163" s="39"/>
    </row>
    <row r="1164" spans="2:2">
      <c r="B1164" s="39"/>
    </row>
    <row r="1165" spans="2:2">
      <c r="B1165" s="39"/>
    </row>
    <row r="1166" spans="2:2">
      <c r="B1166" s="39"/>
    </row>
    <row r="1167" spans="2:2">
      <c r="B1167" s="39"/>
    </row>
    <row r="1168" spans="2:2">
      <c r="B1168" s="39"/>
    </row>
    <row r="1169" spans="2:2">
      <c r="B1169" s="39"/>
    </row>
    <row r="1170" spans="2:2">
      <c r="B1170" s="39"/>
    </row>
    <row r="1171" spans="2:2">
      <c r="B1171" s="39"/>
    </row>
    <row r="1172" spans="2:2">
      <c r="B1172" s="39"/>
    </row>
    <row r="1173" spans="2:2">
      <c r="B1173" s="39"/>
    </row>
    <row r="1174" spans="2:2">
      <c r="B1174" s="39"/>
    </row>
    <row r="1175" spans="2:2">
      <c r="B1175" s="39"/>
    </row>
    <row r="1176" spans="2:2">
      <c r="B1176" s="39"/>
    </row>
    <row r="1177" spans="2:2">
      <c r="B1177" s="39"/>
    </row>
    <row r="1178" spans="2:2">
      <c r="B1178" s="39"/>
    </row>
    <row r="1179" spans="2:2">
      <c r="B1179" s="39"/>
    </row>
    <row r="1180" spans="2:2">
      <c r="B1180" s="39"/>
    </row>
    <row r="1181" spans="2:2">
      <c r="B1181" s="39"/>
    </row>
    <row r="1182" spans="2:2">
      <c r="B1182" s="39"/>
    </row>
    <row r="1183" spans="2:2">
      <c r="B1183" s="39"/>
    </row>
    <row r="1184" spans="2:2">
      <c r="B1184" s="39"/>
    </row>
    <row r="1185" spans="2:2">
      <c r="B1185" s="39"/>
    </row>
    <row r="1186" spans="2:2">
      <c r="B1186" s="39"/>
    </row>
    <row r="1187" spans="2:2">
      <c r="B1187" s="39"/>
    </row>
    <row r="1188" spans="2:2">
      <c r="B1188" s="39"/>
    </row>
    <row r="1189" spans="2:2">
      <c r="B1189" s="39"/>
    </row>
    <row r="1190" spans="2:2">
      <c r="B1190" s="39"/>
    </row>
    <row r="1191" spans="2:2">
      <c r="B1191" s="39"/>
    </row>
    <row r="1192" spans="2:2">
      <c r="B1192" s="39"/>
    </row>
    <row r="1193" spans="2:2">
      <c r="B1193" s="39"/>
    </row>
    <row r="1194" spans="2:2">
      <c r="B1194" s="39"/>
    </row>
    <row r="1195" spans="2:2">
      <c r="B1195" s="39"/>
    </row>
    <row r="1196" spans="2:2">
      <c r="B1196" s="39"/>
    </row>
    <row r="1197" spans="2:2">
      <c r="B1197" s="39"/>
    </row>
    <row r="1198" spans="2:2">
      <c r="B1198" s="39"/>
    </row>
    <row r="1199" spans="2:2">
      <c r="B1199" s="39"/>
    </row>
    <row r="1200" spans="2:2">
      <c r="B1200" s="39"/>
    </row>
    <row r="1201" spans="2:2">
      <c r="B1201" s="39"/>
    </row>
    <row r="1202" spans="2:2">
      <c r="B1202" s="39"/>
    </row>
    <row r="1203" spans="2:2">
      <c r="B1203" s="39"/>
    </row>
    <row r="1204" spans="2:2">
      <c r="B1204" s="39"/>
    </row>
    <row r="1205" spans="2:2">
      <c r="B1205" s="39"/>
    </row>
    <row r="1206" spans="2:2">
      <c r="B1206" s="39"/>
    </row>
    <row r="1207" spans="2:2">
      <c r="B1207" s="39"/>
    </row>
    <row r="1208" spans="2:2">
      <c r="B1208" s="39"/>
    </row>
    <row r="1209" spans="2:2">
      <c r="B1209" s="39"/>
    </row>
    <row r="1210" spans="2:2">
      <c r="B1210" s="39"/>
    </row>
    <row r="1211" spans="2:2">
      <c r="B1211" s="39"/>
    </row>
    <row r="1212" spans="2:2">
      <c r="B1212" s="39"/>
    </row>
    <row r="1213" spans="2:2">
      <c r="B1213" s="39"/>
    </row>
    <row r="1214" spans="2:2">
      <c r="B1214" s="39"/>
    </row>
    <row r="1215" spans="2:2">
      <c r="B1215" s="39"/>
    </row>
    <row r="1216" spans="2:2">
      <c r="B1216" s="39"/>
    </row>
    <row r="1217" spans="2:2">
      <c r="B1217" s="39"/>
    </row>
    <row r="1218" spans="2:2">
      <c r="B1218" s="39"/>
    </row>
    <row r="1219" spans="2:2">
      <c r="B1219" s="39"/>
    </row>
    <row r="1220" spans="2:2">
      <c r="B1220" s="39"/>
    </row>
    <row r="1221" spans="2:2">
      <c r="B1221" s="39"/>
    </row>
    <row r="1222" spans="2:2">
      <c r="B1222" s="39"/>
    </row>
    <row r="1223" spans="2:2">
      <c r="B1223" s="39"/>
    </row>
    <row r="1224" spans="2:2">
      <c r="B1224" s="39"/>
    </row>
    <row r="1225" spans="2:2">
      <c r="B1225" s="39"/>
    </row>
    <row r="1226" spans="2:2">
      <c r="B1226" s="39"/>
    </row>
    <row r="1227" spans="2:2">
      <c r="B1227" s="39"/>
    </row>
    <row r="1228" spans="2:2">
      <c r="B1228" s="39"/>
    </row>
    <row r="1229" spans="2:2">
      <c r="B1229" s="39"/>
    </row>
    <row r="1230" spans="2:2">
      <c r="B1230" s="39"/>
    </row>
    <row r="1231" spans="2:2">
      <c r="B1231" s="39"/>
    </row>
    <row r="1232" spans="2:2">
      <c r="B1232" s="39"/>
    </row>
    <row r="1233" spans="2:2">
      <c r="B1233" s="39"/>
    </row>
    <row r="1234" spans="2:2">
      <c r="B1234" s="39"/>
    </row>
    <row r="1235" spans="2:2">
      <c r="B1235" s="39"/>
    </row>
    <row r="1236" spans="2:2">
      <c r="B1236" s="39"/>
    </row>
  </sheetData>
  <autoFilter ref="A1:L342" xr:uid="{DC007212-1944-44DC-9239-EFFFD2D6D786}">
    <filterColumn colId="9" showButton="0"/>
    <filterColumn colId="10" showButton="0"/>
    <sortState xmlns:xlrd2="http://schemas.microsoft.com/office/spreadsheetml/2017/richdata2" ref="A2:L342">
      <sortCondition descending="1" ref="D2:D342"/>
    </sortState>
  </autoFilter>
  <sortState xmlns:xlrd2="http://schemas.microsoft.com/office/spreadsheetml/2017/richdata2" ref="A1:L340">
    <sortCondition descending="1" ref="D2:D340"/>
  </sortState>
  <mergeCells count="1">
    <mergeCell ref="J1:L1"/>
  </mergeCells>
  <conditionalFormatting sqref="D29:D30 D100:D117 D190:D202 D31:E108 D203:E226 E227 D227:D230 D112:E189 D427:G811 D3:E28 D231:E426">
    <cfRule type="expression" dxfId="1754" priority="739">
      <formula>$D3="06 AT DEVIS CLIENT"</formula>
    </cfRule>
  </conditionalFormatting>
  <conditionalFormatting sqref="C1:C1048576">
    <cfRule type="cellIs" dxfId="1753" priority="762" operator="lessThan">
      <formula>$A$1</formula>
    </cfRule>
  </conditionalFormatting>
  <conditionalFormatting sqref="D29:D30 D100:D117 D190:D202 D31:E108 D203:E226 E227 D227:D230 D112:E189 D427:G811 D3:E28 D231:E426">
    <cfRule type="expression" dxfId="1752" priority="640">
      <formula>$D3="13 ETAT 5"</formula>
    </cfRule>
  </conditionalFormatting>
  <conditionalFormatting sqref="D29:D30 D100:D117 D190:D202 D31:E108 D203:E226 E227 D227:D230 D112:E189 D427:G811 D3:E28 D231:E426">
    <cfRule type="expression" dxfId="1751" priority="638">
      <formula>$D3="08 AT COMAC/CAPFT"</formula>
    </cfRule>
  </conditionalFormatting>
  <conditionalFormatting sqref="D29:D30 D100:D117 D190:D202 D31:E108 D203:E226 E227 D227:D230 D112:E189 D427:G811 D3:E28 D231:E426">
    <cfRule type="expression" dxfId="1750" priority="639">
      <formula>$D3="11 AT DTA"</formula>
    </cfRule>
  </conditionalFormatting>
  <conditionalFormatting sqref="D29:D30 D100:D117 D190:D202 D31:E108 D203:E226 E227 D227:D230 D112:E189 D427:G811 D3:E28 D231:E426">
    <cfRule type="expression" dxfId="1749" priority="637">
      <formula>$D3="07 AT TRVX CLIENT"</formula>
    </cfRule>
  </conditionalFormatting>
  <conditionalFormatting sqref="D29:D30 D100:D117 D190:D202 D31:E108 D203:E226 E227 D227:D230 D112:E189 D427:G811 D3:E28 D231:E426">
    <cfRule type="expression" dxfId="1748" priority="725">
      <formula>$D3="12 AT MAJ SI"</formula>
    </cfRule>
  </conditionalFormatting>
  <conditionalFormatting sqref="D29:D30 D100:D117 D190:D202 D31:E108 D203:E226 E227 D227:D230 D112:E189 D427:G811 D3:E28 D231:E426">
    <cfRule type="expression" dxfId="1747" priority="726">
      <formula>$D3="03 DOSSIER A REPRENDRE"</formula>
    </cfRule>
  </conditionalFormatting>
  <conditionalFormatting sqref="D29:D30 D100:D117 D190:D202 D31:E108 D203:E226 E227 D227:D230 D112:E189 D427:G811 D3:E28 D231:E426">
    <cfRule type="expression" dxfId="1746" priority="727">
      <formula>$D3="10 AT PV"</formula>
    </cfRule>
  </conditionalFormatting>
  <conditionalFormatting sqref="D29:D30 D100:D117 D190:D202 D31:E108 D203:E226 E227 D227:D230 D112:E189 D427:G811 D3:E28 D231:E426">
    <cfRule type="expression" dxfId="1745" priority="728">
      <formula>$D3="04 DOSSIER A MONTER"</formula>
    </cfRule>
  </conditionalFormatting>
  <conditionalFormatting sqref="D29:D30 D100:D117 D190:D202 D31:E108 D203:E226 E227 D227:D230 D112:E189 D427:G811 D3:E28 D231:E426">
    <cfRule type="expression" dxfId="1744" priority="730">
      <formula>$D3="02 RETOUR VT"</formula>
    </cfRule>
  </conditionalFormatting>
  <conditionalFormatting sqref="D29:D30 D100:D117 D190:D202 D31:E108 D203:E226 E227 D227:D230 D112:E189 D427:G811 D3:E28 D231:E426">
    <cfRule type="expression" dxfId="1743" priority="736">
      <formula>$D3="05 AT INFO CAF REF"</formula>
    </cfRule>
  </conditionalFormatting>
  <conditionalFormatting sqref="D29:D30 D100:D117 D190:D202 D31:E108 D203:E226 E227 D227:D230 D112:E189 D427:G811 D3:E28 D231:E426">
    <cfRule type="expression" dxfId="1742" priority="737">
      <formula>$D3="09 AT DEVIS ORANGE/RIP"</formula>
    </cfRule>
  </conditionalFormatting>
  <conditionalFormatting sqref="D29:D30 D100:D117 D190:D202 D31:E108 D203:E226 E227 D227:D230 D112:E189 D427:G811 D3:E28 D231:E426">
    <cfRule type="expression" dxfId="1741" priority="738">
      <formula>$D3="14 POI EN TRAVAUX"</formula>
    </cfRule>
  </conditionalFormatting>
  <conditionalFormatting sqref="D100:D117 D190:D202 D203:E226 E227 D227:D230 D112:E189 D427:G818 D3:E108 D231:E426">
    <cfRule type="expression" dxfId="1740" priority="636">
      <formula>$D3="01.2 A REMONTER"</formula>
    </cfRule>
  </conditionalFormatting>
  <conditionalFormatting sqref="D29:D30 D100:D117 D190:D202 D31:E108 D203:E226 E227 D227:D230 D112:E189 D427:G811 D3:E28 D231:E426">
    <cfRule type="expression" dxfId="1739" priority="641">
      <formula>$D3="15 POI FACTU"</formula>
    </cfRule>
  </conditionalFormatting>
  <conditionalFormatting sqref="E29:E30">
    <cfRule type="expression" dxfId="1738" priority="438">
      <formula>$D29="06 AT DEVIS CLIENT"</formula>
    </cfRule>
  </conditionalFormatting>
  <conditionalFormatting sqref="E29:E30">
    <cfRule type="expression" dxfId="1737" priority="428">
      <formula>$D29="13 ETAT 5"</formula>
    </cfRule>
  </conditionalFormatting>
  <conditionalFormatting sqref="E29:E30">
    <cfRule type="expression" dxfId="1736" priority="426">
      <formula>$D29="08 AT COMAC/CAPFT"</formula>
    </cfRule>
  </conditionalFormatting>
  <conditionalFormatting sqref="E29:E30">
    <cfRule type="expression" dxfId="1735" priority="427">
      <formula>$D29="11 AT DTA"</formula>
    </cfRule>
  </conditionalFormatting>
  <conditionalFormatting sqref="E29:E30">
    <cfRule type="expression" dxfId="1734" priority="425">
      <formula>$D29="07 AT TRVX CLIENT"</formula>
    </cfRule>
  </conditionalFormatting>
  <conditionalFormatting sqref="E29:E30">
    <cfRule type="expression" dxfId="1733" priority="430">
      <formula>$D29="12 AT MAJ SI"</formula>
    </cfRule>
  </conditionalFormatting>
  <conditionalFormatting sqref="E29:E30">
    <cfRule type="expression" dxfId="1732" priority="431">
      <formula>$D29="03 DOSSIER A REPRENDRE"</formula>
    </cfRule>
  </conditionalFormatting>
  <conditionalFormatting sqref="E29:E30">
    <cfRule type="expression" dxfId="1731" priority="432">
      <formula>$D29="10 AT PV"</formula>
    </cfRule>
  </conditionalFormatting>
  <conditionalFormatting sqref="E29:E30">
    <cfRule type="expression" dxfId="1730" priority="433">
      <formula>$D29="04 DOSSIER A MONTER"</formula>
    </cfRule>
  </conditionalFormatting>
  <conditionalFormatting sqref="E29:E30">
    <cfRule type="expression" dxfId="1729" priority="434">
      <formula>$D29="02 RETOUR VT"</formula>
    </cfRule>
  </conditionalFormatting>
  <conditionalFormatting sqref="E29:E30">
    <cfRule type="expression" dxfId="1728" priority="435">
      <formula>$D29="05 AT INFO CAF REF"</formula>
    </cfRule>
  </conditionalFormatting>
  <conditionalFormatting sqref="E29:E30">
    <cfRule type="expression" dxfId="1727" priority="436">
      <formula>$D29="09 AT DEVIS ORANGE/RIP"</formula>
    </cfRule>
  </conditionalFormatting>
  <conditionalFormatting sqref="E29:E30">
    <cfRule type="expression" dxfId="1726" priority="437">
      <formula>$D29="14 POI EN TRAVAUX"</formula>
    </cfRule>
  </conditionalFormatting>
  <conditionalFormatting sqref="E29:E30">
    <cfRule type="expression" dxfId="1725" priority="424">
      <formula>$D29="01 VT A FAIRE"</formula>
    </cfRule>
  </conditionalFormatting>
  <conditionalFormatting sqref="E29:E30">
    <cfRule type="expression" dxfId="1724" priority="429">
      <formula>$D29="15 POI FACTU"</formula>
    </cfRule>
  </conditionalFormatting>
  <conditionalFormatting sqref="D100:D117 D190:D202 D203:E226 E227 D227:D230 D112:E189 D427:G817 D3:E108 D231:E426">
    <cfRule type="expression" dxfId="1723" priority="418">
      <formula>$D3="16 DOSSIER PAYE"</formula>
    </cfRule>
    <cfRule type="expression" dxfId="1722" priority="422">
      <formula>$D3="14.1 AT RETOUR DOE"</formula>
    </cfRule>
  </conditionalFormatting>
  <conditionalFormatting sqref="E109:E111">
    <cfRule type="expression" dxfId="1721" priority="412">
      <formula>$D109="06 AT DEVIS CLIENT"</formula>
    </cfRule>
  </conditionalFormatting>
  <conditionalFormatting sqref="E109:E111">
    <cfRule type="expression" dxfId="1720" priority="402">
      <formula>$D109="13 ETAT 5"</formula>
    </cfRule>
  </conditionalFormatting>
  <conditionalFormatting sqref="E109:E111">
    <cfRule type="expression" dxfId="1719" priority="400">
      <formula>$D109="08 AT COMAC/CAPFT"</formula>
    </cfRule>
  </conditionalFormatting>
  <conditionalFormatting sqref="E109:E111">
    <cfRule type="expression" dxfId="1718" priority="401">
      <formula>$D109="11 AT DTA"</formula>
    </cfRule>
  </conditionalFormatting>
  <conditionalFormatting sqref="E109:E111">
    <cfRule type="expression" dxfId="1717" priority="399">
      <formula>$D109="07 AT TRVX CLIENT"</formula>
    </cfRule>
  </conditionalFormatting>
  <conditionalFormatting sqref="E109:E111">
    <cfRule type="expression" dxfId="1716" priority="404">
      <formula>$D109="12 AT MAJ SI"</formula>
    </cfRule>
  </conditionalFormatting>
  <conditionalFormatting sqref="E109:E111">
    <cfRule type="expression" dxfId="1715" priority="405">
      <formula>$D109="03 DOSSIER A REPRENDRE"</formula>
    </cfRule>
  </conditionalFormatting>
  <conditionalFormatting sqref="E109:E111">
    <cfRule type="expression" dxfId="1714" priority="406">
      <formula>$D109="10 AT PV"</formula>
    </cfRule>
  </conditionalFormatting>
  <conditionalFormatting sqref="E109:E111">
    <cfRule type="expression" dxfId="1713" priority="407">
      <formula>$D109="04 DOSSIER A MONTER"</formula>
    </cfRule>
  </conditionalFormatting>
  <conditionalFormatting sqref="E109:E111">
    <cfRule type="expression" dxfId="1712" priority="408">
      <formula>$D109="02 RETOUR VT"</formula>
    </cfRule>
  </conditionalFormatting>
  <conditionalFormatting sqref="E109:E111">
    <cfRule type="expression" dxfId="1711" priority="409">
      <formula>$D109="05 AT INFO CAF REF"</formula>
    </cfRule>
  </conditionalFormatting>
  <conditionalFormatting sqref="E109:E111">
    <cfRule type="expression" dxfId="1710" priority="410">
      <formula>$D109="09 AT DEVIS ORANGE/RIP"</formula>
    </cfRule>
  </conditionalFormatting>
  <conditionalFormatting sqref="E109:E111">
    <cfRule type="expression" dxfId="1709" priority="411">
      <formula>$D109="14 POI EN TRAVAUX"</formula>
    </cfRule>
  </conditionalFormatting>
  <conditionalFormatting sqref="E109:E111">
    <cfRule type="expression" dxfId="1708" priority="398">
      <formula>$D109="01.2 A REMONTER"</formula>
    </cfRule>
  </conditionalFormatting>
  <conditionalFormatting sqref="E109:E111">
    <cfRule type="expression" dxfId="1707" priority="403">
      <formula>$D109="15 POI FACTU"</formula>
    </cfRule>
  </conditionalFormatting>
  <conditionalFormatting sqref="E109:E111">
    <cfRule type="expression" dxfId="1706" priority="396">
      <formula>$D109="16 DOSSIER PAYE"</formula>
    </cfRule>
    <cfRule type="expression" dxfId="1705" priority="397">
      <formula>$D109="14.1 AT RETOUR DOE"</formula>
    </cfRule>
  </conditionalFormatting>
  <conditionalFormatting sqref="E1237:F1048576 E1:E1236">
    <cfRule type="duplicateValues" dxfId="1704" priority="395" stopIfTrue="1"/>
  </conditionalFormatting>
  <conditionalFormatting sqref="C1:C1048576">
    <cfRule type="timePeriod" dxfId="1703" priority="419" timePeriod="tomorrow">
      <formula>FLOOR(C1,1)=TODAY()+1</formula>
    </cfRule>
  </conditionalFormatting>
  <conditionalFormatting sqref="C1:C1048576">
    <cfRule type="containsBlanks" dxfId="1702" priority="759">
      <formula>LEN(TRIM(C1))=0</formula>
    </cfRule>
  </conditionalFormatting>
  <conditionalFormatting sqref="C1:C1048576">
    <cfRule type="cellIs" dxfId="1701" priority="760" operator="greaterThan">
      <formula>$A$1</formula>
    </cfRule>
  </conditionalFormatting>
  <conditionalFormatting sqref="C1:C1048576">
    <cfRule type="cellIs" dxfId="1700" priority="761" operator="equal">
      <formula>$A$1</formula>
    </cfRule>
  </conditionalFormatting>
  <conditionalFormatting sqref="D190:D202 D203:E226 E227 D227:D230 D3:E189 D231:E849">
    <cfRule type="expression" dxfId="1699" priority="377">
      <formula>$D3="05.1 ETU TRANSMISE"</formula>
    </cfRule>
  </conditionalFormatting>
  <conditionalFormatting sqref="D190:D202 D203:E226 E227 D227:D230 D3:E189 D231:E849">
    <cfRule type="expression" dxfId="1698" priority="376">
      <formula>$D3="10.1 ATT DT"</formula>
    </cfRule>
  </conditionalFormatting>
  <conditionalFormatting sqref="E190:E202">
    <cfRule type="expression" dxfId="1697" priority="296">
      <formula>$D190="06 AT DEVIS CLIENT"</formula>
    </cfRule>
  </conditionalFormatting>
  <conditionalFormatting sqref="E190:E202">
    <cfRule type="expression" dxfId="1696" priority="286">
      <formula>$D190="13 ETAT 5"</formula>
    </cfRule>
  </conditionalFormatting>
  <conditionalFormatting sqref="E190:E202">
    <cfRule type="expression" dxfId="1695" priority="284">
      <formula>$D190="08 AT COMAC/CAPFT"</formula>
    </cfRule>
  </conditionalFormatting>
  <conditionalFormatting sqref="E190:E202">
    <cfRule type="expression" dxfId="1694" priority="285">
      <formula>$D190="11 AT DTA"</formula>
    </cfRule>
  </conditionalFormatting>
  <conditionalFormatting sqref="E190:E202">
    <cfRule type="expression" dxfId="1693" priority="283">
      <formula>$D190="07 AT TRVX CLIENT"</formula>
    </cfRule>
  </conditionalFormatting>
  <conditionalFormatting sqref="E190:E202">
    <cfRule type="expression" dxfId="1692" priority="288">
      <formula>$D190="12 AT MAJ SI"</formula>
    </cfRule>
  </conditionalFormatting>
  <conditionalFormatting sqref="E190:E202">
    <cfRule type="expression" dxfId="1691" priority="289">
      <formula>$D190="03 DOSSIER A REPRENDRE"</formula>
    </cfRule>
  </conditionalFormatting>
  <conditionalFormatting sqref="E190:E202">
    <cfRule type="expression" dxfId="1690" priority="290">
      <formula>$D190="10 AT PV"</formula>
    </cfRule>
  </conditionalFormatting>
  <conditionalFormatting sqref="E190:E202">
    <cfRule type="expression" dxfId="1689" priority="291">
      <formula>$D190="04 DOSSIER A MONTER"</formula>
    </cfRule>
  </conditionalFormatting>
  <conditionalFormatting sqref="E190:E202">
    <cfRule type="expression" dxfId="1688" priority="292">
      <formula>$D190="02 RETOUR VT"</formula>
    </cfRule>
  </conditionalFormatting>
  <conditionalFormatting sqref="E190:E202">
    <cfRule type="expression" dxfId="1687" priority="293">
      <formula>$D190="05 AT INFO CAF REF"</formula>
    </cfRule>
  </conditionalFormatting>
  <conditionalFormatting sqref="E190:E202">
    <cfRule type="expression" dxfId="1686" priority="294">
      <formula>$D190="09 AT DEVIS ORANGE/RIP"</formula>
    </cfRule>
  </conditionalFormatting>
  <conditionalFormatting sqref="E190:E202">
    <cfRule type="expression" dxfId="1685" priority="295">
      <formula>$D190="14 POI EN TRAVAUX"</formula>
    </cfRule>
  </conditionalFormatting>
  <conditionalFormatting sqref="E190:E202">
    <cfRule type="expression" dxfId="1684" priority="282">
      <formula>$D190="01.2 A REMONTER"</formula>
    </cfRule>
  </conditionalFormatting>
  <conditionalFormatting sqref="E190:E202">
    <cfRule type="expression" dxfId="1683" priority="287">
      <formula>$D190="15 POI FACTU"</formula>
    </cfRule>
  </conditionalFormatting>
  <conditionalFormatting sqref="E190:E202">
    <cfRule type="expression" dxfId="1682" priority="280">
      <formula>$D190="16 DOSSIER PAYE"</formula>
    </cfRule>
    <cfRule type="expression" dxfId="1681" priority="281">
      <formula>$D190="14.1 AT RETOUR DOE"</formula>
    </cfRule>
  </conditionalFormatting>
  <conditionalFormatting sqref="E190:E202">
    <cfRule type="expression" dxfId="1680" priority="279">
      <formula>$D190="05.1 ETU TRANSMISE"</formula>
    </cfRule>
  </conditionalFormatting>
  <conditionalFormatting sqref="E190:E202">
    <cfRule type="expression" dxfId="1679" priority="278">
      <formula>$D190="10.1 ATT DT"</formula>
    </cfRule>
  </conditionalFormatting>
  <conditionalFormatting sqref="A1:A2 A111:A134 A140:A1048576 M1:M1048576">
    <cfRule type="containsText" dxfId="1678" priority="277" stopIfTrue="1" operator="containsText" text="REPRISE ETUDE">
      <formula>NOT(ISERROR(SEARCH("REPRISE ETUDE",A1)))</formula>
    </cfRule>
  </conditionalFormatting>
  <conditionalFormatting sqref="E228:E230">
    <cfRule type="expression" dxfId="1677" priority="237">
      <formula>$D228="06 AT DEVIS CLIENT"</formula>
    </cfRule>
  </conditionalFormatting>
  <conditionalFormatting sqref="E228:E230">
    <cfRule type="expression" dxfId="1676" priority="227">
      <formula>$D228="13 ETAT 5"</formula>
    </cfRule>
  </conditionalFormatting>
  <conditionalFormatting sqref="E228:E230">
    <cfRule type="expression" dxfId="1675" priority="225">
      <formula>$D228="08 AT COMAC/CAPFT"</formula>
    </cfRule>
  </conditionalFormatting>
  <conditionalFormatting sqref="E228:E230">
    <cfRule type="expression" dxfId="1674" priority="226">
      <formula>$D228="11 AT DTA"</formula>
    </cfRule>
  </conditionalFormatting>
  <conditionalFormatting sqref="E228:E230">
    <cfRule type="expression" dxfId="1673" priority="224">
      <formula>$D228="07 AT TRVX CLIENT"</formula>
    </cfRule>
  </conditionalFormatting>
  <conditionalFormatting sqref="E228:E230">
    <cfRule type="expression" dxfId="1672" priority="229">
      <formula>$D228="12 AT MAJ SI"</formula>
    </cfRule>
  </conditionalFormatting>
  <conditionalFormatting sqref="E228:E230">
    <cfRule type="expression" dxfId="1671" priority="230">
      <formula>$D228="03 DOSSIER A REPRENDRE"</formula>
    </cfRule>
  </conditionalFormatting>
  <conditionalFormatting sqref="E228:E230">
    <cfRule type="expression" dxfId="1670" priority="231">
      <formula>$D228="10 AT PV"</formula>
    </cfRule>
  </conditionalFormatting>
  <conditionalFormatting sqref="E228:E230">
    <cfRule type="expression" dxfId="1669" priority="232">
      <formula>$D228="04 DOSSIER A MONTER"</formula>
    </cfRule>
  </conditionalFormatting>
  <conditionalFormatting sqref="E228:E230">
    <cfRule type="expression" dxfId="1668" priority="233">
      <formula>$D228="02 RETOUR VT"</formula>
    </cfRule>
  </conditionalFormatting>
  <conditionalFormatting sqref="E228:E230">
    <cfRule type="expression" dxfId="1667" priority="234">
      <formula>$D228="05 AT INFO CAF REF"</formula>
    </cfRule>
  </conditionalFormatting>
  <conditionalFormatting sqref="E228:E230">
    <cfRule type="expression" dxfId="1666" priority="235">
      <formula>$D228="09 AT DEVIS ORANGE/RIP"</formula>
    </cfRule>
  </conditionalFormatting>
  <conditionalFormatting sqref="E228:E230">
    <cfRule type="expression" dxfId="1665" priority="236">
      <formula>$D228="14 POI EN TRAVAUX"</formula>
    </cfRule>
  </conditionalFormatting>
  <conditionalFormatting sqref="E228:E230">
    <cfRule type="expression" dxfId="1664" priority="223">
      <formula>$D228="01.2 A REMONTER"</formula>
    </cfRule>
  </conditionalFormatting>
  <conditionalFormatting sqref="E228:E230">
    <cfRule type="expression" dxfId="1663" priority="228">
      <formula>$D228="15 POI FACTU"</formula>
    </cfRule>
  </conditionalFormatting>
  <conditionalFormatting sqref="E228:E230">
    <cfRule type="expression" dxfId="1662" priority="221">
      <formula>$D228="16 DOSSIER PAYE"</formula>
    </cfRule>
    <cfRule type="expression" dxfId="1661" priority="222">
      <formula>$D228="14.1 AT RETOUR DOE"</formula>
    </cfRule>
  </conditionalFormatting>
  <conditionalFormatting sqref="E228:E230">
    <cfRule type="expression" dxfId="1660" priority="76">
      <formula>$D228="01.3 ATT SIGN CRVT"</formula>
    </cfRule>
    <cfRule type="expression" dxfId="1659" priority="220">
      <formula>$D228="05.1 ETU TRANSMISE"</formula>
    </cfRule>
  </conditionalFormatting>
  <conditionalFormatting sqref="E228:E230">
    <cfRule type="expression" dxfId="1658" priority="219">
      <formula>$D228="10.1 ATT DT"</formula>
    </cfRule>
  </conditionalFormatting>
  <dataValidations count="1">
    <dataValidation allowBlank="1" showInputMessage="1" showErrorMessage="1" sqref="G87 G109 G113 G48:G72 G1:G42 C1:C1048576" xr:uid="{794B7DEA-076E-41F3-8EE0-8898E5E408C4}"/>
  </dataValidations>
  <hyperlinks>
    <hyperlink ref="E75" r:id="rId1" xr:uid="{29FA7345-2106-4D82-94D9-7A1C64D92BBE}"/>
    <hyperlink ref="E69" r:id="rId2" xr:uid="{58460B8F-764B-4059-8A4B-D085636D2F96}"/>
    <hyperlink ref="E76" r:id="rId3" xr:uid="{75B7A90B-4C81-471F-AF41-466B9DF3BF83}"/>
    <hyperlink ref="E90" r:id="rId4" xr:uid="{36AE595F-0106-4F3E-B06A-A5BBEDE405E7}"/>
    <hyperlink ref="E121" r:id="rId5" xr:uid="{4CE28092-69D3-48EF-BB4A-D5C592B54778}"/>
    <hyperlink ref="E210" r:id="rId6" xr:uid="{9E7B8DAA-1E48-4730-AB75-22964CEF5668}"/>
    <hyperlink ref="E68" r:id="rId7" xr:uid="{02E3F8D4-B958-499F-B7C2-9F8B4AE1FE41}"/>
    <hyperlink ref="E6" r:id="rId8" xr:uid="{DA93F300-C7C4-44BD-B49F-2668D60504FA}"/>
    <hyperlink ref="E9" r:id="rId9" xr:uid="{010EB5D3-3A2C-47C2-94FC-941D98A0F8DF}"/>
    <hyperlink ref="E83" r:id="rId10" xr:uid="{4EA83E49-A087-4322-80BA-AD0AE076D19C}"/>
    <hyperlink ref="E162" r:id="rId11" xr:uid="{E9DDEF8A-9D2C-4A83-997F-D7E5913CC9EC}"/>
    <hyperlink ref="E147" r:id="rId12" xr:uid="{F7CB1366-CFC1-4E58-97ED-700D07FD6B1F}"/>
    <hyperlink ref="E88" r:id="rId13" xr:uid="{A915B332-7666-43D8-9153-8A6F451A3B78}"/>
    <hyperlink ref="E70" r:id="rId14" xr:uid="{E8D903B2-E0A8-444A-8B7F-E542C3AC3D1D}"/>
    <hyperlink ref="E138" r:id="rId15" xr:uid="{F3F5801C-1FA4-4671-820F-A66883AF12C0}"/>
    <hyperlink ref="E137" r:id="rId16" xr:uid="{FB5B109F-5D73-4DB4-970A-AA17D26E6FAF}"/>
    <hyperlink ref="E7" r:id="rId17" xr:uid="{3241E796-04AE-4A2E-A13B-C239F522A59C}"/>
    <hyperlink ref="E65" r:id="rId18" xr:uid="{F8C92AE4-95C3-4953-A37A-4A58C98603FA}"/>
    <hyperlink ref="E3" r:id="rId19" xr:uid="{7C2A31B0-F17F-4931-A16A-58C7BF4C7BE0}"/>
    <hyperlink ref="E208" r:id="rId20" xr:uid="{7718EFA2-6A6A-40BB-9C08-F00B3CB461BF}"/>
    <hyperlink ref="E145" r:id="rId21" xr:uid="{E0556307-0F94-4C88-950B-9B8832269CF1}"/>
    <hyperlink ref="E71" r:id="rId22" xr:uid="{239C9BFE-A3B4-4F18-8AD6-0D5998385F28}"/>
    <hyperlink ref="E67" r:id="rId23" xr:uid="{BE69AAA0-C066-4C0D-8EF3-F2A499626917}"/>
    <hyperlink ref="E161" r:id="rId24" xr:uid="{51678DCF-CFF1-4E44-A1E0-4BE12036AB20}"/>
    <hyperlink ref="E5" r:id="rId25" xr:uid="{C31DA79B-E184-43E1-9981-4069B0A8F43B}"/>
    <hyperlink ref="E127" r:id="rId26" xr:uid="{52A04015-52EF-4B53-8050-CD120B454511}"/>
    <hyperlink ref="E74" r:id="rId27" xr:uid="{70DC94FD-3FD3-4746-A79F-D6DE21068333}"/>
    <hyperlink ref="E8" r:id="rId28" xr:uid="{431E3C73-AFA2-4916-9DF3-0A3890F732C5}"/>
    <hyperlink ref="E174" r:id="rId29" xr:uid="{C9DFF0B2-F84F-43DB-A876-E4E0DD1BBCCC}"/>
    <hyperlink ref="E226" r:id="rId30" xr:uid="{80E8FFE2-8C38-4488-91C2-472EAD2341D5}"/>
    <hyperlink ref="E12" r:id="rId31" xr:uid="{01530682-C6C9-46D9-B51D-BA7B75D3A87A}"/>
    <hyperlink ref="E116" r:id="rId32" xr:uid="{654CF904-04F6-4727-BDD6-71E5FF3C5F71}"/>
    <hyperlink ref="E163" r:id="rId33" xr:uid="{2D45617F-4E26-4391-9E06-D924F33741E7}"/>
    <hyperlink ref="E164" r:id="rId34" xr:uid="{522DD378-24C9-4F25-A8C1-0ACBC17AD429}"/>
    <hyperlink ref="E315" r:id="rId35" xr:uid="{2FC34628-F5DF-47B3-BD69-48872083E2CA}"/>
    <hyperlink ref="E128" r:id="rId36" xr:uid="{0EC4BCEE-B222-4B78-8944-93267DB22DD1}"/>
    <hyperlink ref="E187" r:id="rId37" xr:uid="{2720560D-E0D5-4995-AD23-42DB37A09627}"/>
    <hyperlink ref="E130" r:id="rId38" xr:uid="{FB719DB8-6A7D-4C24-B147-ACCB963BB7B1}"/>
    <hyperlink ref="E77" r:id="rId39" xr:uid="{9CCBEB8D-520F-4985-B714-5009E0DD182C}"/>
    <hyperlink ref="E66" r:id="rId40" xr:uid="{5014D7E8-7385-4B97-8179-63EF1BD05414}"/>
    <hyperlink ref="E153" r:id="rId41" xr:uid="{E140BFFC-253C-4AAE-BE4B-410A91ED372A}"/>
    <hyperlink ref="E80" r:id="rId42" xr:uid="{01041F3E-564C-4D9A-8B52-810530F64C0F}"/>
    <hyperlink ref="E79" r:id="rId43" xr:uid="{EF98B23F-ABF7-4083-871B-0AEAB0E5D87D}"/>
    <hyperlink ref="E82" r:id="rId44" xr:uid="{A0DD2F16-3E3F-4F17-A73D-C221E5CB98C5}"/>
    <hyperlink ref="E222" r:id="rId45" xr:uid="{29DED1D9-4A85-44DD-8B59-0D91A79D5C55}"/>
    <hyperlink ref="E103" r:id="rId46" xr:uid="{487CE6EA-73B5-46A2-8194-C798CC056DA1}"/>
    <hyperlink ref="E245" r:id="rId47" xr:uid="{961F82C9-C747-4620-AA6C-71810F187E64}"/>
    <hyperlink ref="E93" r:id="rId48" xr:uid="{501497E8-DEAA-432D-B634-EC05C0689468}"/>
    <hyperlink ref="E173" r:id="rId49" xr:uid="{33BE70F6-E0C9-4218-AB5E-715B09398A83}"/>
    <hyperlink ref="E154" r:id="rId50" xr:uid="{E3CD1901-DF0B-4117-BF5C-5EA290CB77CF}"/>
    <hyperlink ref="E85" r:id="rId51" xr:uid="{F79054D7-EB62-495E-977C-D8ACBEA2CF63}"/>
    <hyperlink ref="E203" r:id="rId52" xr:uid="{B2F2AA3B-D5A4-45DE-9B33-4A61C0E6B899}"/>
    <hyperlink ref="E86" r:id="rId53" xr:uid="{63B59B55-9C95-4AE1-B78A-2D7353AE2EED}"/>
    <hyperlink ref="E99" r:id="rId54" xr:uid="{3DB66CF4-B3D1-4984-AEB7-B702B3BF46AC}"/>
    <hyperlink ref="E229" r:id="rId55" xr:uid="{AA3CB9D7-99E2-45AF-BC36-F214E8DD5A71}"/>
    <hyperlink ref="E211" r:id="rId56" xr:uid="{4FF167A7-4898-4790-BEE6-27B190C5C0D2}"/>
    <hyperlink ref="E217" r:id="rId57" xr:uid="{8D034F7C-B376-4B0B-B14F-8862B15F4F77}"/>
    <hyperlink ref="E111" r:id="rId58" xr:uid="{28FDFAAC-49CA-4E2F-9186-5A1D2A9A57C4}"/>
    <hyperlink ref="E165" r:id="rId59" xr:uid="{18A57CD7-8B66-47D6-8601-506B34E821A3}"/>
    <hyperlink ref="E134" r:id="rId60" xr:uid="{347529EE-1D96-485B-972B-DFAA9624F8B8}"/>
    <hyperlink ref="E230" r:id="rId61" xr:uid="{15F83512-6768-4FD3-B242-699CD1199E9A}"/>
    <hyperlink ref="E92" r:id="rId62" xr:uid="{0E7206D5-F5F1-4EDD-B061-EB6B8DD02BEF}"/>
    <hyperlink ref="E87" r:id="rId63" xr:uid="{6994E113-9935-4E66-AE66-B4701A68D1D7}"/>
    <hyperlink ref="E168" r:id="rId64" xr:uid="{4031C390-B680-4013-AB6E-2855A05F0F0C}"/>
    <hyperlink ref="E129" r:id="rId65" xr:uid="{D6872059-2BC8-4D1E-8A83-62CECC1E37FD}"/>
    <hyperlink ref="E206" r:id="rId66" xr:uid="{EBECFE91-0261-4AB5-BFA5-A608A51E8C4C}"/>
    <hyperlink ref="E244" r:id="rId67" xr:uid="{715BEC63-C225-49FF-A9EF-9E240F467BB2}"/>
    <hyperlink ref="E167" r:id="rId68" xr:uid="{BC21FDDF-62DB-47D1-8923-60C5E5C49FF1}"/>
    <hyperlink ref="E176" r:id="rId69" xr:uid="{02ECA71C-A115-4358-BC3C-47B175D1C515}"/>
    <hyperlink ref="E178" r:id="rId70" xr:uid="{BF11501F-8C7D-41BA-AC30-D4E7CC83D4A1}"/>
    <hyperlink ref="E290" r:id="rId71" xr:uid="{82CBA848-699B-4CBD-B9B0-2EFC26029EFE}"/>
    <hyperlink ref="E276" r:id="rId72" xr:uid="{C97AF4E8-DF3D-468D-B023-497562364D8A}"/>
    <hyperlink ref="E192" r:id="rId73" xr:uid="{460CA040-FBB7-4CC5-9628-6F2E10AD4937}"/>
    <hyperlink ref="E225" r:id="rId74" xr:uid="{CE86426D-3224-4EFE-925E-BFD509997E9B}"/>
    <hyperlink ref="E169" r:id="rId75" xr:uid="{B7D5C1D9-119A-4E8E-8D6F-417062E25E5F}"/>
    <hyperlink ref="E84" r:id="rId76" xr:uid="{ECC515DC-D6AD-4E4D-A057-0F6C8534C76A}"/>
    <hyperlink ref="E98" r:id="rId77" xr:uid="{D6808A05-7D32-48B4-98A5-C09E331CA826}"/>
    <hyperlink ref="E105" r:id="rId78" xr:uid="{1BC55AA2-D5C4-4248-BCBC-3BEEB434B0D7}"/>
    <hyperlink ref="E267" r:id="rId79" xr:uid="{FC80CF2F-9A80-4D2B-A933-AE8903F84D42}"/>
    <hyperlink ref="E104" r:id="rId80" xr:uid="{FE91413C-8D9A-4681-BB62-8FBA0639592E}"/>
    <hyperlink ref="E81" r:id="rId81" xr:uid="{DB812906-3645-4274-BE9B-C5E906CA16B5}"/>
    <hyperlink ref="E291" r:id="rId82" xr:uid="{1E79A5AC-203D-41D0-BDF6-D9F22E39174E}"/>
    <hyperlink ref="E181" r:id="rId83" xr:uid="{2C4C1117-9F91-4BA7-927E-DEA56101275E}"/>
    <hyperlink ref="E119" r:id="rId84" xr:uid="{2E1C62E3-9F75-4FFA-8BB2-FDC4FFA7FE5D}"/>
    <hyperlink ref="E332" r:id="rId85" xr:uid="{7572C5D0-2F49-45EC-90A1-82665CCAC5B3}"/>
    <hyperlink ref="E114" r:id="rId86" xr:uid="{B9B27003-DFCC-4681-8118-06D832219418}"/>
    <hyperlink ref="E101" r:id="rId87" xr:uid="{D662EE6B-9B92-49D0-8688-6E6140BAC7D5}"/>
    <hyperlink ref="E95" r:id="rId88" xr:uid="{337856D8-28B0-4AC4-A34D-C8E5AEE047C1}"/>
    <hyperlink ref="E94" r:id="rId89" xr:uid="{54F4C74E-BE30-40B5-AA27-897EFD53D39F}"/>
    <hyperlink ref="E122" r:id="rId90" xr:uid="{A8897FA0-5CFD-471E-808F-1451853BEFAA}"/>
    <hyperlink ref="E188" r:id="rId91" xr:uid="{D596DCAD-5B02-4EB8-9350-5A3D9F57C795}"/>
    <hyperlink ref="E117" r:id="rId92" xr:uid="{B334E0A7-E835-421C-9A1D-45B2A1EBFBE2}"/>
    <hyperlink ref="E175" r:id="rId93" xr:uid="{87B3BB01-D84D-49DB-B804-451803E1D99A}"/>
    <hyperlink ref="E220" r:id="rId94" xr:uid="{04DF4BAB-13C9-4402-AF3E-1A25E49459C1}"/>
    <hyperlink ref="E242" r:id="rId95" xr:uid="{002E20DB-E15D-43A9-B8B7-4704DAAFC2AB}"/>
    <hyperlink ref="E102" r:id="rId96" xr:uid="{6C68FDF5-7447-4996-9023-2036EC5B3466}"/>
    <hyperlink ref="E146" r:id="rId97" xr:uid="{CF9D643C-68CA-44D7-8FC7-E3700E5FFBB4}"/>
    <hyperlink ref="E172" r:id="rId98" xr:uid="{D8CAB07C-3F01-4B91-B4F7-D6D100EFECDA}"/>
    <hyperlink ref="E179" r:id="rId99" xr:uid="{653620A0-1031-4CE8-BADE-6291703972A8}"/>
    <hyperlink ref="E170" r:id="rId100" xr:uid="{CDA81E70-4740-4C89-B83F-EF8C1EBB761B}"/>
    <hyperlink ref="E185" r:id="rId101" xr:uid="{9E6C37C5-E347-4532-951F-614300154B38}"/>
    <hyperlink ref="E96" r:id="rId102" xr:uid="{7C282EC3-6B55-488E-B010-41A7B1DABF39}"/>
    <hyperlink ref="E238" r:id="rId103" xr:uid="{C1F53CD7-2C9F-4FBA-B7C9-14788E6233B9}"/>
    <hyperlink ref="E249" r:id="rId104" xr:uid="{AE355A83-AFF7-45FD-AD0B-A5CAA13B17EE}"/>
    <hyperlink ref="E282" r:id="rId105" xr:uid="{DBE05C94-B5CA-492B-B496-360DA43CE867}"/>
    <hyperlink ref="E171" r:id="rId106" xr:uid="{81FB4E31-4D32-4303-8E0A-B212212091D3}"/>
    <hyperlink ref="E143" r:id="rId107" xr:uid="{BD568D3A-AACD-442F-A9A0-F6DE8FF968B5}"/>
    <hyperlink ref="E186" r:id="rId108" xr:uid="{9922E606-9D34-47A1-9EBC-F74EB0732562}"/>
    <hyperlink ref="E256" r:id="rId109" xr:uid="{EFDD1993-6088-4A2C-ADA9-FFBCDE6D038A}"/>
    <hyperlink ref="E109" r:id="rId110" xr:uid="{9926AA75-CE19-46F0-9680-1CD2EBF86018}"/>
    <hyperlink ref="E231" r:id="rId111" xr:uid="{E417E079-6E3C-4842-94B1-0FAD3B91FA82}"/>
    <hyperlink ref="E108" r:id="rId112" xr:uid="{7933B9DA-73A2-45FC-BA44-80365868219C}"/>
    <hyperlink ref="E246" r:id="rId113" xr:uid="{71163CDC-9F40-48F5-A06C-E78AF29115E9}"/>
    <hyperlink ref="E280" r:id="rId114" xr:uid="{F6E4D818-9828-4D12-813F-9E205CB0006A}"/>
    <hyperlink ref="E183" r:id="rId115" xr:uid="{0C402735-FD30-466B-B680-5C647D54B817}"/>
    <hyperlink ref="E177" r:id="rId116" xr:uid="{E7AA7558-DF8E-4FBE-9DEE-1CEEDB11AEA3}"/>
    <hyperlink ref="E248" r:id="rId117" xr:uid="{B871C19B-0974-499A-AAA6-5709217AD0A9}"/>
    <hyperlink ref="E120" r:id="rId118" xr:uid="{DE41D29A-66D7-4265-9D3F-0991CB1BF44C}"/>
    <hyperlink ref="E259" r:id="rId119" xr:uid="{DB0A9E29-3A15-441C-A8A8-6B453BBAB1C2}"/>
    <hyperlink ref="E100" r:id="rId120" xr:uid="{E31AD582-4309-4F29-818C-98C32740DF8C}"/>
    <hyperlink ref="E112" r:id="rId121" xr:uid="{ED2FA861-369C-4356-B2E8-B1D3C1E24127}"/>
    <hyperlink ref="E125" r:id="rId122" xr:uid="{BBA7DB76-1965-4230-A22F-43B7EDB89CF5}"/>
    <hyperlink ref="E232" r:id="rId123" xr:uid="{920F1A2B-1645-4276-8CF3-352EAB3C9DAA}"/>
    <hyperlink ref="E115" r:id="rId124" xr:uid="{F7874B59-8A01-4CC7-85E3-5149D0AFD6B8}"/>
    <hyperlink ref="E193" r:id="rId125" xr:uid="{D2F2AE7F-CE9F-4D09-909B-FC0694DFC0D7}"/>
    <hyperlink ref="E155" r:id="rId126" xr:uid="{43FE5EC7-ED87-4BAB-9D6D-6537C65B5428}"/>
    <hyperlink ref="E288" r:id="rId127" xr:uid="{B812E739-1A31-4951-B5D2-5EA6D1447C23}"/>
    <hyperlink ref="E285" r:id="rId128" xr:uid="{5313C349-91AF-44ED-9AED-C5698B2B1D66}"/>
    <hyperlink ref="E223" r:id="rId129" xr:uid="{852B452A-3751-41C1-A99C-39EE7BEAF957}"/>
    <hyperlink ref="E148" r:id="rId130" xr:uid="{6DB160C8-9231-42DC-80EF-7D4B32DB2584}"/>
    <hyperlink ref="E289" r:id="rId131" xr:uid="{475346BF-3298-4C29-A23B-F8C474619C0E}"/>
    <hyperlink ref="E139" r:id="rId132" xr:uid="{C15A6D96-0866-498B-A444-DCE6FC820E86}"/>
    <hyperlink ref="E151" r:id="rId133" xr:uid="{B635A11D-EB63-49D3-8017-A465CDB1C4D2}"/>
    <hyperlink ref="E207" r:id="rId134" xr:uid="{5F04C5BF-DE12-43DA-A916-4BC0BDA1BB21}"/>
    <hyperlink ref="E204" r:id="rId135" xr:uid="{67084C46-AA0A-4167-8ECF-F6176007D26E}"/>
    <hyperlink ref="E149" r:id="rId136" xr:uid="{20915F90-97FB-4F5F-89F4-95886E791814}"/>
    <hyperlink ref="E180" r:id="rId137" xr:uid="{79F7EA0F-C9C0-4266-8D85-A1C861FAD07A}"/>
    <hyperlink ref="E110" r:id="rId138" xr:uid="{C20022FD-AC1E-43E6-A539-4DD10D6271CE}"/>
    <hyperlink ref="E107" r:id="rId139" xr:uid="{D644D9E8-4BCB-42EC-80A6-E3FD39ADF1DE}"/>
    <hyperlink ref="E277" r:id="rId140" xr:uid="{69376E79-A5E4-47BC-8293-7193142C2E49}"/>
    <hyperlink ref="E189" r:id="rId141" xr:uid="{CA0DE9D2-2D8D-4E76-B426-B42FBEEC5809}"/>
    <hyperlink ref="E284" r:id="rId142" xr:uid="{3AB939C1-A0FE-47FA-A2AF-41C5E5444F70}"/>
    <hyperlink ref="E123" r:id="rId143" xr:uid="{7FDF62B7-5C7A-4F1F-A3C3-54F349BCC569}"/>
    <hyperlink ref="E182" r:id="rId144" xr:uid="{ADC15714-7ECE-4AB3-A008-1229148FCB02}"/>
    <hyperlink ref="E233" r:id="rId145" xr:uid="{C3F6051B-68E3-4F21-88F4-B3FECA7942A8}"/>
    <hyperlink ref="E144" r:id="rId146" xr:uid="{0E9B2B7A-CF7C-46A4-AB94-AC387AB55D78}"/>
    <hyperlink ref="E160" r:id="rId147" xr:uid="{28E391AC-3CAD-4A64-8AA8-18DD8C7F34E8}"/>
    <hyperlink ref="E131" r:id="rId148" xr:uid="{9ABE50CA-4F19-4D94-B14C-0559300D69E3}"/>
    <hyperlink ref="L153" r:id="rId149" xr:uid="{9AC75F2E-2C90-4A4A-82AA-457968766419}"/>
    <hyperlink ref="E278" r:id="rId150" xr:uid="{CCFB8C70-AA7A-4EC5-8E3A-76B5A37B99B7}"/>
    <hyperlink ref="E184" r:id="rId151" xr:uid="{46C4D7D0-2A76-47FB-953A-85837D5674FC}"/>
    <hyperlink ref="E124" r:id="rId152" xr:uid="{0ECC34ED-326B-42E4-8E65-03939C8A1816}"/>
    <hyperlink ref="E150" r:id="rId153" xr:uid="{EAC0F123-BC4F-48EF-A5E9-4D23FC57A618}"/>
    <hyperlink ref="E205" r:id="rId154" xr:uid="{F5924F67-3478-4E5D-A2B0-E8EB1B0BEF3D}"/>
    <hyperlink ref="E133" r:id="rId155" xr:uid="{5CEC3B82-740B-418F-B538-A59D4B8C8F0C}"/>
    <hyperlink ref="E157" r:id="rId156" xr:uid="{95A9019D-60A4-4314-BFD5-DA450AC3E4FD}"/>
    <hyperlink ref="E140" r:id="rId157" xr:uid="{3A05A026-5F0E-448A-96ED-E3DEA2CD2702}"/>
    <hyperlink ref="E296" r:id="rId158" xr:uid="{FEB55F67-2056-47BC-8562-DC3703D35AC7}"/>
    <hyperlink ref="E243" r:id="rId159" xr:uid="{776D9275-8524-457C-9D5F-87863A0AC77B}"/>
    <hyperlink ref="E198" r:id="rId160" display="LOR501580 " xr:uid="{1B7FC13B-A5F4-41AA-A575-666A7C458CF9}"/>
    <hyperlink ref="E234" r:id="rId161" display="CRO500295 " xr:uid="{E9B43104-4090-4BB9-892C-3CD6BFEF41C6}"/>
    <hyperlink ref="E190" r:id="rId162" xr:uid="{15E0998D-A62F-47AB-8D83-FFCCCE126FD9}"/>
    <hyperlink ref="E247" r:id="rId163" xr:uid="{B8CC83F9-BE8D-4FD2-A8FA-930B2FB36F1F}"/>
    <hyperlink ref="E113" r:id="rId164" xr:uid="{6F3E4603-1599-44E5-9AEC-34F3B53BB8DA}"/>
    <hyperlink ref="E221" r:id="rId165" xr:uid="{3D6FABD2-9318-43C2-9F1C-BB87AEDCA36D}"/>
    <hyperlink ref="E118" r:id="rId166" xr:uid="{8C055E14-DC39-4634-BEAE-495673D21F18}"/>
    <hyperlink ref="E166" r:id="rId167" xr:uid="{ABA6AC34-DCE7-4F04-AB71-973D06400867}"/>
    <hyperlink ref="E292" r:id="rId168" xr:uid="{E9A6436E-1561-41F4-92E2-E5FDECA71052}"/>
    <hyperlink ref="E191" r:id="rId169" xr:uid="{0CA713E5-93A3-4322-BFC8-9D9EF0EEA951}"/>
    <hyperlink ref="E132" r:id="rId170" xr:uid="{354150FE-1647-4813-8681-1BDDD2ED5B41}"/>
    <hyperlink ref="E156" r:id="rId171" xr:uid="{A1F49EA0-8B67-433B-83B6-9C9ABF4096DB}"/>
    <hyperlink ref="E213" r:id="rId172" xr:uid="{B76337F0-FBED-4E9E-BA5E-931E5E3E9A05}"/>
    <hyperlink ref="E142" r:id="rId173" xr:uid="{0169EA63-8F1D-4852-A085-D9286284B765}"/>
    <hyperlink ref="E158" r:id="rId174" xr:uid="{28F5DA61-3810-4E55-B5A7-5B9712047855}"/>
    <hyperlink ref="E257" r:id="rId175" xr:uid="{6614A705-F1EC-4A18-B06B-DC87B0FA7DC5}"/>
    <hyperlink ref="E251" r:id="rId176" xr:uid="{EA85D46D-4F88-45C4-A0A3-5101F8D31786}"/>
    <hyperlink ref="E219" r:id="rId177" xr:uid="{544B283A-576A-4F08-8FD4-F6C56EF10B94}"/>
    <hyperlink ref="E194" r:id="rId178" xr:uid="{B78A0D79-8280-40EF-A36F-98EBCD9A0CBE}"/>
    <hyperlink ref="E227" r:id="rId179" xr:uid="{20764E65-E57D-4B29-B2DE-2279C0E1F48B}"/>
    <hyperlink ref="E199" r:id="rId180" xr:uid="{650D6426-8146-4462-94FA-272911C1EB3C}"/>
    <hyperlink ref="E293" r:id="rId181" xr:uid="{BB58B598-36B0-4EA1-8971-146261B50FE7}"/>
    <hyperlink ref="E159" r:id="rId182" xr:uid="{3C691D65-3BCA-4271-8206-0E39BEE81520}"/>
    <hyperlink ref="E224" r:id="rId183" xr:uid="{4E96A7A4-5677-4A17-A36B-5EE8219A590C}"/>
    <hyperlink ref="E294" r:id="rId184" xr:uid="{603EDDFA-C447-4FF0-BBEF-9274AFEF3B27}"/>
    <hyperlink ref="E212" r:id="rId185" xr:uid="{732B27DB-BD4C-41BE-9EBD-BDB449FAACFA}"/>
    <hyperlink ref="E250" r:id="rId186" xr:uid="{FFEDF2F6-6C56-481A-8519-8D048B080117}"/>
    <hyperlink ref="E236" r:id="rId187" xr:uid="{38F54D49-3761-4720-98EF-E745CA78D22E}"/>
    <hyperlink ref="E258" r:id="rId188" xr:uid="{DAB02ACF-FB98-421C-BF58-9C24873D6D85}"/>
    <hyperlink ref="E295" r:id="rId189" xr:uid="{2B2063DE-2ACE-47D6-B933-6065788C348A}"/>
    <hyperlink ref="E287" r:id="rId190" xr:uid="{E94BD916-6BCD-46BF-A8B0-E36365AB9BB1}"/>
    <hyperlink ref="E209" r:id="rId191" xr:uid="{34E2AB60-F344-4635-9926-374D7508C7DE}"/>
    <hyperlink ref="E214" r:id="rId192" xr:uid="{6CBD11DD-9766-43EF-9C59-341BEA27181E}"/>
    <hyperlink ref="E135" r:id="rId193" xr:uid="{E8BBA8E6-346F-4A74-8938-AD54028795A2}"/>
    <hyperlink ref="E297" r:id="rId194" xr:uid="{96A7494B-8BE9-4863-B3E5-FED0B782A655}"/>
    <hyperlink ref="E298" r:id="rId195" xr:uid="{B4BCEB8C-5F11-4396-A07B-DED255B1A7C2}"/>
    <hyperlink ref="E286" r:id="rId196" xr:uid="{FBCFBDA2-A320-4454-B0A5-B93A07DF3CD7}"/>
    <hyperlink ref="E341" r:id="rId197" xr:uid="{843F31EA-9EF1-48B9-A040-5CF3251D7113}"/>
    <hyperlink ref="E342" r:id="rId198" xr:uid="{8511E2B7-CE17-4014-BD72-D0E802AC047F}"/>
    <hyperlink ref="E216" r:id="rId199" xr:uid="{CEF2AD6A-F5A6-4A95-89C0-CA1E50FE0CE2}"/>
    <hyperlink ref="E200" r:id="rId200" xr:uid="{45B86CE1-682E-4F82-A4F4-B330EB68443E}"/>
    <hyperlink ref="E301" r:id="rId201" xr:uid="{0B2CF997-868D-43FF-A72A-533C65929174}"/>
    <hyperlink ref="E303" r:id="rId202" xr:uid="{F1AB1749-D71F-4E6F-8320-549257F91851}"/>
    <hyperlink ref="E264" r:id="rId203" xr:uid="{38D6FFBD-4A44-43DB-A32D-9C2962216940}"/>
    <hyperlink ref="E266" r:id="rId204" xr:uid="{7F35EBD2-4CE8-4B30-A3E0-1EF0EBCF3018}"/>
    <hyperlink ref="E339" r:id="rId205" xr:uid="{DC7BEBE9-C175-45F7-9A1B-F604025739B3}"/>
    <hyperlink ref="E4" r:id="rId206" xr:uid="{DFAAEAB0-A3C7-43FA-8356-22EF05A57D6E}"/>
    <hyperlink ref="E307" r:id="rId207" xr:uid="{13D55724-6D45-4673-8883-D9AA81642649}"/>
    <hyperlink ref="E265" r:id="rId208" xr:uid="{B89C4720-CB22-45E9-BD4E-22D7A3C7B100}"/>
    <hyperlink ref="E260" r:id="rId209" xr:uid="{C9D74B16-F0E8-45C2-90CF-62B64A743165}"/>
    <hyperlink ref="E299" r:id="rId210" xr:uid="{B1831F42-2F1D-450F-B4CB-1137B00CA344}"/>
    <hyperlink ref="E330" r:id="rId211" xr:uid="{783C865D-9042-4025-968E-7FE25B493A3A}"/>
    <hyperlink ref="E268" r:id="rId212" xr:uid="{25DF8AF9-0735-456A-AB4A-64A5FAB364AD}"/>
    <hyperlink ref="E136" r:id="rId213" xr:uid="{AFF0B50D-4927-4CFF-88E5-872B42043A27}"/>
    <hyperlink ref="E329" r:id="rId214" xr:uid="{B21F870E-4F6A-4D81-A4CA-92221D96BACD}"/>
    <hyperlink ref="E261" r:id="rId215" xr:uid="{25C3BFCC-E622-451A-B998-4F1BD3B8CFA3}"/>
    <hyperlink ref="E281" r:id="rId216" xr:uid="{60EE6561-AF63-41A7-B44D-B473B2AFDAB1}"/>
    <hyperlink ref="E262" r:id="rId217" xr:uid="{A4A854D0-A8CD-4662-BF4F-A9D2E8836205}"/>
    <hyperlink ref="E343" r:id="rId218" xr:uid="{69F1C0D9-C4D5-4E08-BFAC-BE4A48A13D18}"/>
    <hyperlink ref="E313" r:id="rId219" xr:uid="{78197C3D-1A27-435C-8C7D-E3F9EF2A9FDA}"/>
    <hyperlink ref="E344" r:id="rId220" xr:uid="{A441932C-6B1F-4593-83BB-B7CAFB309AD8}"/>
    <hyperlink ref="E345" r:id="rId221" xr:uid="{53FEEDAD-E265-4D8C-8F54-009E3B32F418}"/>
    <hyperlink ref="E306" r:id="rId222" xr:uid="{741D6A0B-58C6-4DC6-A32E-817DE7A579AA}"/>
    <hyperlink ref="E322" r:id="rId223" xr:uid="{8E00B452-426E-4AEA-82F8-A2C3E352DABF}"/>
    <hyperlink ref="E270" r:id="rId224" xr:uid="{9261B56A-D0F1-4BF9-9E5E-032972943E04}"/>
    <hyperlink ref="E308" r:id="rId225" xr:uid="{4F64E330-DA53-4948-9C0A-916966E0EA3B}"/>
    <hyperlink ref="E302" r:id="rId226" xr:uid="{FAFEC47C-4E0E-40E7-9612-CBD56B7FBBFF}"/>
    <hyperlink ref="E328" r:id="rId227" xr:uid="{E3EEE26B-7A94-4946-8393-398566D515CB}"/>
    <hyperlink ref="E275" r:id="rId228" xr:uid="{7772829A-35E8-4C0E-973A-92E5F04E6A0A}"/>
    <hyperlink ref="E324" r:id="rId229" xr:uid="{AA077DB1-5A3D-4CA5-A7C0-854DCD3126B3}"/>
    <hyperlink ref="E195" r:id="rId230" xr:uid="{0DC9B109-B9CE-4AB3-8E91-CE2B26321DDE}"/>
    <hyperlink ref="E273" r:id="rId231" xr:uid="{A228ED15-8DB0-4473-B338-69372D9D8CBE}"/>
    <hyperlink ref="E272" r:id="rId232" xr:uid="{33102B1C-3B3D-4A96-BD40-BAD1B9BFD14A}"/>
    <hyperlink ref="E304" r:id="rId233" xr:uid="{428E4FC5-7CED-4F65-968C-A70AC9975805}"/>
    <hyperlink ref="E314" r:id="rId234" xr:uid="{B0BA9D19-6C33-4EDD-84E9-F0C57C7A0FEE}"/>
    <hyperlink ref="E269" r:id="rId235" xr:uid="{AAABF26C-5D0F-4DDE-9C27-8F0EDE823286}"/>
    <hyperlink ref="E346" r:id="rId236" xr:uid="{1101A7ED-460B-414E-95CB-876695EE6974}"/>
    <hyperlink ref="E335" r:id="rId237" xr:uid="{EA0EBAD4-93D7-4687-B8AE-3B97ACBAD864}"/>
    <hyperlink ref="E327" r:id="rId238" xr:uid="{3377712E-98A2-4641-BC38-A7B9D5AF4FEA}"/>
    <hyperlink ref="E309" r:id="rId239" xr:uid="{89AA36C1-87BD-4A80-A639-19E8FE46DC0D}"/>
    <hyperlink ref="E338" r:id="rId240" xr:uid="{653791DF-C0F2-41F4-91DE-F569A75B4A94}"/>
    <hyperlink ref="E336" r:id="rId241" xr:uid="{D65DA437-2143-4752-B286-3C38A234FAB9}"/>
    <hyperlink ref="E300" r:id="rId242" xr:uid="{D4383DE5-4A9C-4714-BCD9-E54391A88CD7}"/>
    <hyperlink ref="E318" r:id="rId243" xr:uid="{92C3CDA7-ED5C-4E7C-9E3D-CF74D71DA464}"/>
    <hyperlink ref="E319" r:id="rId244" xr:uid="{53E7D1A2-1BBA-40D7-9CBD-3BB5E6693AEE}"/>
    <hyperlink ref="E337" r:id="rId245" xr:uid="{B1885324-7F89-432B-883D-DD193F47C7F0}"/>
    <hyperlink ref="E326" r:id="rId246" xr:uid="{E37BB2E5-8011-4A56-A19B-A0D1FFD00FAB}"/>
    <hyperlink ref="E317" r:id="rId247" xr:uid="{CB149CCB-92A2-43F9-ABC7-952D3652B3DC}"/>
    <hyperlink ref="E316" r:id="rId248" xr:uid="{D74D77EC-147F-4329-96C8-D5835A443E71}"/>
    <hyperlink ref="E334" r:id="rId249" xr:uid="{85083BA5-D546-4E21-845E-3ACA5D9CA58D}"/>
    <hyperlink ref="E333" r:id="rId250" xr:uid="{20E038E3-FE9C-43E0-A5C5-4A5F529C5EFD}"/>
    <hyperlink ref="E274" r:id="rId251" xr:uid="{E32C39CC-5A85-47EF-B4A3-1193D7D9F3E0}"/>
    <hyperlink ref="E263" r:id="rId252" xr:uid="{7FF701CE-34B1-4DBD-AF34-2E3E181BC9B9}"/>
    <hyperlink ref="E340" r:id="rId253" xr:uid="{6C8595CC-EA4A-4EC3-A3B8-F04B5016E4C4}"/>
    <hyperlink ref="E305" r:id="rId254" xr:uid="{36D0EA8F-C7E3-4082-9507-4D001C0ADDBA}"/>
    <hyperlink ref="E311" r:id="rId255" xr:uid="{0A0A745B-7D95-478B-83EC-81FA8F78AE27}"/>
    <hyperlink ref="E310" r:id="rId256" xr:uid="{52B433EB-E694-4F06-9562-0C63505645BA}"/>
    <hyperlink ref="E321" r:id="rId257" xr:uid="{7DBB93C4-5468-4D17-B9AD-FC090272D5BF}"/>
    <hyperlink ref="E215" r:id="rId258" xr:uid="{8FD59D68-E1C0-4CD9-A333-A2E917C49E89}"/>
    <hyperlink ref="L273" r:id="rId259" xr:uid="{BC0E9B9C-8B89-4FDA-914F-7C74FB3C55C4}"/>
    <hyperlink ref="L272" r:id="rId260" xr:uid="{EDB8ADB8-781E-4773-8F59-2A4E31280E5C}"/>
    <hyperlink ref="E347" r:id="rId261" xr:uid="{1388E5AF-D7F2-4AC4-AEEB-B38D595C020A}"/>
    <hyperlink ref="L281" r:id="rId262" xr:uid="{12AE8124-084D-40BC-98C3-59F45736DDCC}"/>
    <hyperlink ref="E279" r:id="rId263" xr:uid="{7144B2BB-65CA-426B-A2B8-19A713FA8D58}"/>
    <hyperlink ref="E331" r:id="rId264" xr:uid="{5CBFAED9-82AB-42F7-8D5C-70049E5E6AB0}"/>
    <hyperlink ref="E348" r:id="rId265" xr:uid="{7EFA56A3-B8D1-492F-9DE8-97B013177C1F}"/>
    <hyperlink ref="E323" r:id="rId266" xr:uid="{221B95D7-D658-4067-9DBB-4BE4B332AE9A}"/>
    <hyperlink ref="E312" r:id="rId267" xr:uid="{2CE11643-0D57-4C09-B72E-BF340662FE59}"/>
    <hyperlink ref="E237" r:id="rId268" xr:uid="{D2F2B115-88C4-4089-B3A4-6545E823DF6F}"/>
    <hyperlink ref="E271" r:id="rId269" xr:uid="{66B825FC-986A-4170-B727-FDBE47B0C95B}"/>
    <hyperlink ref="E254" r:id="rId270" xr:uid="{6226791F-2FFC-4DF6-9A9C-81D1D7487D34}"/>
    <hyperlink ref="E349" r:id="rId271" xr:uid="{F1852874-1AE0-4994-BC97-5A99A19F5A3C}"/>
    <hyperlink ref="E283" r:id="rId272" xr:uid="{C794E37B-FCFF-4FB2-B7A3-3BFB4ADBF6A6}"/>
    <hyperlink ref="E325" r:id="rId273" xr:uid="{9A327966-5C7C-45AD-9B2C-9CB5E58EA510}"/>
  </hyperlinks>
  <pageMargins left="0.7" right="0.7" top="0.75" bottom="0.75" header="0.3" footer="0.3"/>
  <legacyDrawing r:id="rId274"/>
  <extLst>
    <ext xmlns:x14="http://schemas.microsoft.com/office/spreadsheetml/2009/9/main" uri="{CCE6A557-97BC-4b89-ADB6-D9C93CAAB3DF}">
      <x14:dataValidations xmlns:xm="http://schemas.microsoft.com/office/excel/2006/main" count="2">
        <x14:dataValidation type="list" allowBlank="1" showInputMessage="1" showErrorMessage="1" xr:uid="{32AEC6B4-031E-4E76-8D98-5CB6190FB012}">
          <x14:formula1>
            <xm:f>Feuil2!$A$1:$A$18</xm:f>
          </x14:formula1>
          <xm:sqref>D1:D2</xm:sqref>
        </x14:dataValidation>
        <x14:dataValidation type="list" allowBlank="1" showInputMessage="1" showErrorMessage="1" xr:uid="{9C13D80B-AC4B-43C4-962A-05B9AA2B7DD8}">
          <x14:formula1>
            <xm:f>Feuil2!$A:$A</xm:f>
          </x14:formula1>
          <xm:sqref>D3:D1048576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5E6A2"/>
  </sheetPr>
  <dimension ref="A1:K141"/>
  <sheetViews>
    <sheetView workbookViewId="0">
      <pane ySplit="2" topLeftCell="A88" activePane="bottomLeft" state="frozen"/>
      <selection pane="bottomLeft" activeCell="E106" sqref="E106"/>
    </sheetView>
  </sheetViews>
  <sheetFormatPr defaultColWidth="9.140625" defaultRowHeight="17.25" customHeight="1" outlineLevelCol="1"/>
  <cols>
    <col min="1" max="1" width="13.28515625" style="52" customWidth="1" outlineLevel="1"/>
    <col min="2" max="2" width="11.42578125" style="62" bestFit="1" customWidth="1" outlineLevel="1"/>
    <col min="3" max="3" width="11.140625" style="13" bestFit="1" customWidth="1"/>
    <col min="4" max="4" width="26.5703125" style="4" bestFit="1" customWidth="1"/>
    <col min="5" max="5" width="23" style="36" customWidth="1"/>
    <col min="6" max="6" width="5.7109375" style="4" bestFit="1" customWidth="1"/>
    <col min="7" max="7" width="56.28515625" style="4" customWidth="1"/>
    <col min="8" max="8" width="32.85546875" style="4" bestFit="1" customWidth="1"/>
    <col min="9" max="9" width="43" style="4" bestFit="1" customWidth="1"/>
    <col min="10" max="10" width="27.140625" style="141" customWidth="1"/>
    <col min="11" max="11" width="93.140625" style="141" customWidth="1"/>
    <col min="12" max="16384" width="9.140625" style="8"/>
  </cols>
  <sheetData>
    <row r="1" spans="1:11" ht="17.25" customHeight="1">
      <c r="A1" s="58">
        <f ca="1">TODAY()</f>
        <v>46076</v>
      </c>
      <c r="D1" s="9"/>
      <c r="E1" s="150">
        <f>COUNTA(E3:E745)</f>
        <v>106</v>
      </c>
      <c r="J1" s="406" t="s">
        <v>28</v>
      </c>
      <c r="K1" s="407"/>
    </row>
    <row r="2" spans="1:11" ht="17.25" customHeight="1">
      <c r="A2" s="63" t="s">
        <v>29</v>
      </c>
      <c r="B2" s="64" t="s">
        <v>30</v>
      </c>
      <c r="C2" s="14" t="s">
        <v>30</v>
      </c>
      <c r="D2" s="9" t="s">
        <v>31</v>
      </c>
      <c r="E2" s="249" t="s">
        <v>32</v>
      </c>
      <c r="F2" s="10" t="s">
        <v>33</v>
      </c>
      <c r="G2" s="10" t="s">
        <v>35</v>
      </c>
      <c r="H2" s="10" t="s">
        <v>36</v>
      </c>
      <c r="I2" s="10" t="s">
        <v>37</v>
      </c>
      <c r="J2" s="142" t="s">
        <v>38</v>
      </c>
      <c r="K2" s="143" t="s">
        <v>39</v>
      </c>
    </row>
    <row r="3" spans="1:11" ht="17.25" customHeight="1">
      <c r="A3" s="319" t="s">
        <v>2523</v>
      </c>
      <c r="B3" s="310">
        <v>46111</v>
      </c>
      <c r="C3" s="13" t="e">
        <f xml:space="preserve"> VLOOKUP(E3, $A$2:$E$822, 2, FALSE)</f>
        <v>#N/A</v>
      </c>
      <c r="D3" s="5" t="s">
        <v>1433</v>
      </c>
      <c r="E3" s="150" t="s">
        <v>2524</v>
      </c>
      <c r="F3" s="5" t="s">
        <v>2525</v>
      </c>
      <c r="G3" s="5" t="s">
        <v>2526</v>
      </c>
      <c r="H3" s="5" t="s">
        <v>2527</v>
      </c>
      <c r="I3" s="5" t="s">
        <v>2528</v>
      </c>
      <c r="J3" s="139"/>
      <c r="K3" s="140"/>
    </row>
    <row r="4" spans="1:11" ht="17.25" customHeight="1">
      <c r="A4" s="319" t="s">
        <v>2529</v>
      </c>
      <c r="B4" s="310">
        <v>46085</v>
      </c>
      <c r="C4" s="13" t="e">
        <f t="shared" ref="C4:C67" si="0" xml:space="preserve"> VLOOKUP(E4, $A$2:$E$822, 2, FALSE)</f>
        <v>#N/A</v>
      </c>
      <c r="D4" s="5" t="s">
        <v>1433</v>
      </c>
      <c r="E4" s="150" t="s">
        <v>2530</v>
      </c>
      <c r="F4" s="4" t="s">
        <v>230</v>
      </c>
      <c r="H4" s="7" t="s">
        <v>2531</v>
      </c>
      <c r="I4" s="4" t="s">
        <v>2532</v>
      </c>
      <c r="J4" s="139"/>
      <c r="K4" s="140" t="s">
        <v>2533</v>
      </c>
    </row>
    <row r="5" spans="1:11" ht="17.25" customHeight="1">
      <c r="A5" s="319" t="s">
        <v>2534</v>
      </c>
      <c r="B5" s="310">
        <v>46084</v>
      </c>
      <c r="C5" s="13" t="e">
        <f t="shared" si="0"/>
        <v>#N/A</v>
      </c>
      <c r="D5" s="5" t="s">
        <v>1433</v>
      </c>
      <c r="E5" s="150" t="s">
        <v>2535</v>
      </c>
      <c r="F5" s="4" t="s">
        <v>230</v>
      </c>
      <c r="H5" s="7" t="s">
        <v>2536</v>
      </c>
      <c r="I5" s="4" t="s">
        <v>2537</v>
      </c>
      <c r="J5" s="139"/>
      <c r="K5" s="140"/>
    </row>
    <row r="6" spans="1:11" ht="17.25" customHeight="1">
      <c r="A6" s="319" t="s">
        <v>2538</v>
      </c>
      <c r="B6" s="310">
        <v>46083</v>
      </c>
      <c r="C6" s="13" t="e">
        <f t="shared" si="0"/>
        <v>#N/A</v>
      </c>
      <c r="D6" s="4" t="s">
        <v>1433</v>
      </c>
      <c r="E6" s="150" t="s">
        <v>2539</v>
      </c>
      <c r="F6" s="4" t="s">
        <v>230</v>
      </c>
      <c r="H6" s="4" t="s">
        <v>2540</v>
      </c>
      <c r="I6" s="4" t="s">
        <v>2541</v>
      </c>
      <c r="J6" s="139"/>
      <c r="K6" s="140"/>
    </row>
    <row r="7" spans="1:11" ht="17.25" customHeight="1">
      <c r="A7" s="319" t="s">
        <v>2542</v>
      </c>
      <c r="B7" s="310">
        <v>46104</v>
      </c>
      <c r="C7" s="13" t="e">
        <f t="shared" si="0"/>
        <v>#N/A</v>
      </c>
      <c r="D7" s="5" t="s">
        <v>1433</v>
      </c>
      <c r="E7" s="150" t="s">
        <v>2543</v>
      </c>
      <c r="F7" s="4" t="s">
        <v>2544</v>
      </c>
      <c r="H7" s="7" t="s">
        <v>2545</v>
      </c>
      <c r="I7" s="4" t="s">
        <v>2546</v>
      </c>
      <c r="J7" s="139"/>
      <c r="K7" s="140" t="s">
        <v>2547</v>
      </c>
    </row>
    <row r="8" spans="1:11" ht="17.25" customHeight="1">
      <c r="A8" s="319" t="s">
        <v>2548</v>
      </c>
      <c r="B8" s="310">
        <v>46090</v>
      </c>
      <c r="C8" s="13" t="e">
        <f t="shared" si="0"/>
        <v>#N/A</v>
      </c>
      <c r="D8" s="5" t="s">
        <v>42</v>
      </c>
      <c r="E8" s="150" t="s">
        <v>2549</v>
      </c>
      <c r="F8" s="4" t="s">
        <v>230</v>
      </c>
      <c r="H8" s="7" t="s">
        <v>2550</v>
      </c>
      <c r="I8" s="4" t="s">
        <v>2551</v>
      </c>
      <c r="J8" s="139">
        <v>45729</v>
      </c>
      <c r="K8" s="140"/>
    </row>
    <row r="9" spans="1:11" ht="17.25" customHeight="1">
      <c r="A9" s="319" t="s">
        <v>2552</v>
      </c>
      <c r="B9" s="310">
        <v>46084</v>
      </c>
      <c r="C9" s="13" t="e">
        <f t="shared" si="0"/>
        <v>#N/A</v>
      </c>
      <c r="D9" s="5" t="s">
        <v>42</v>
      </c>
      <c r="E9" s="150" t="s">
        <v>2553</v>
      </c>
      <c r="F9" s="4" t="s">
        <v>2554</v>
      </c>
      <c r="H9" s="5" t="s">
        <v>2555</v>
      </c>
      <c r="I9" s="5" t="s">
        <v>2556</v>
      </c>
      <c r="J9" s="139" t="s">
        <v>1245</v>
      </c>
      <c r="K9" s="140" t="s">
        <v>2557</v>
      </c>
    </row>
    <row r="10" spans="1:11" ht="17.25" customHeight="1">
      <c r="A10" s="319" t="s">
        <v>2558</v>
      </c>
      <c r="B10" s="310">
        <v>46119</v>
      </c>
      <c r="C10" s="13" t="e">
        <f t="shared" si="0"/>
        <v>#N/A</v>
      </c>
      <c r="D10" s="5" t="s">
        <v>42</v>
      </c>
      <c r="E10" s="150" t="s">
        <v>2559</v>
      </c>
      <c r="F10" s="4" t="s">
        <v>803</v>
      </c>
      <c r="G10" s="4" t="s">
        <v>2560</v>
      </c>
      <c r="H10" s="7" t="s">
        <v>2561</v>
      </c>
      <c r="I10" s="4" t="s">
        <v>2562</v>
      </c>
      <c r="J10" s="139">
        <v>45931</v>
      </c>
      <c r="K10" s="140" t="s">
        <v>2563</v>
      </c>
    </row>
    <row r="11" spans="1:11" ht="17.25" customHeight="1">
      <c r="A11" s="319" t="s">
        <v>2564</v>
      </c>
      <c r="B11" s="310">
        <v>46090</v>
      </c>
      <c r="C11" s="13" t="e">
        <f t="shared" si="0"/>
        <v>#N/A</v>
      </c>
      <c r="D11" s="32" t="s">
        <v>42</v>
      </c>
      <c r="E11" s="150" t="s">
        <v>2565</v>
      </c>
      <c r="F11" s="5" t="s">
        <v>230</v>
      </c>
      <c r="G11" s="5"/>
      <c r="H11" s="5" t="s">
        <v>2566</v>
      </c>
      <c r="I11" s="5" t="s">
        <v>2567</v>
      </c>
      <c r="J11" s="139"/>
      <c r="K11" s="140"/>
    </row>
    <row r="12" spans="1:11" s="33" customFormat="1" ht="17.25" customHeight="1">
      <c r="A12" s="319" t="s">
        <v>2568</v>
      </c>
      <c r="B12" s="310">
        <v>46162</v>
      </c>
      <c r="C12" s="13" t="e">
        <f t="shared" si="0"/>
        <v>#N/A</v>
      </c>
      <c r="D12" s="5" t="s">
        <v>42</v>
      </c>
      <c r="E12" s="150" t="s">
        <v>2569</v>
      </c>
      <c r="F12" s="4" t="s">
        <v>230</v>
      </c>
      <c r="G12" s="4"/>
      <c r="H12" s="7" t="s">
        <v>2570</v>
      </c>
      <c r="I12" s="4" t="s">
        <v>2571</v>
      </c>
      <c r="J12" s="139">
        <v>45835</v>
      </c>
      <c r="K12" s="140" t="s">
        <v>2572</v>
      </c>
    </row>
    <row r="13" spans="1:11" s="33" customFormat="1" ht="17.25" customHeight="1">
      <c r="A13" s="319" t="s">
        <v>2573</v>
      </c>
      <c r="B13" s="310">
        <v>46078</v>
      </c>
      <c r="C13" s="13" t="e">
        <f t="shared" si="0"/>
        <v>#N/A</v>
      </c>
      <c r="D13" s="5" t="s">
        <v>42</v>
      </c>
      <c r="E13" s="150" t="s">
        <v>2574</v>
      </c>
      <c r="F13" s="4" t="s">
        <v>230</v>
      </c>
      <c r="G13" s="4"/>
      <c r="H13" s="7" t="s">
        <v>2575</v>
      </c>
      <c r="I13" s="4" t="s">
        <v>2576</v>
      </c>
      <c r="J13" s="139"/>
      <c r="K13" s="140" t="s">
        <v>2577</v>
      </c>
    </row>
    <row r="14" spans="1:11" s="33" customFormat="1" ht="17.25" customHeight="1">
      <c r="A14" s="319" t="s">
        <v>2578</v>
      </c>
      <c r="B14" s="310">
        <v>46080</v>
      </c>
      <c r="C14" s="13" t="e">
        <f t="shared" si="0"/>
        <v>#N/A</v>
      </c>
      <c r="D14" s="5" t="s">
        <v>42</v>
      </c>
      <c r="E14" s="150" t="s">
        <v>2579</v>
      </c>
      <c r="F14" s="4" t="s">
        <v>2525</v>
      </c>
      <c r="G14" s="4"/>
      <c r="H14" s="7" t="s">
        <v>2580</v>
      </c>
      <c r="I14" s="4" t="s">
        <v>2581</v>
      </c>
      <c r="J14" s="139"/>
      <c r="K14" s="140"/>
    </row>
    <row r="15" spans="1:11" ht="17.25" customHeight="1">
      <c r="A15" s="319" t="s">
        <v>2582</v>
      </c>
      <c r="B15" s="310">
        <v>46188</v>
      </c>
      <c r="C15" s="13" t="e">
        <f t="shared" si="0"/>
        <v>#N/A</v>
      </c>
      <c r="D15" s="5" t="s">
        <v>42</v>
      </c>
      <c r="E15" s="150" t="s">
        <v>2583</v>
      </c>
      <c r="F15" s="4" t="s">
        <v>2584</v>
      </c>
      <c r="H15" s="7" t="s">
        <v>2585</v>
      </c>
      <c r="I15" s="4" t="s">
        <v>2586</v>
      </c>
      <c r="J15" s="139"/>
      <c r="K15" s="140"/>
    </row>
    <row r="16" spans="1:11" ht="17.25" customHeight="1">
      <c r="A16" s="319" t="s">
        <v>2587</v>
      </c>
      <c r="B16" s="310">
        <v>46079</v>
      </c>
      <c r="C16" s="13" t="e">
        <f t="shared" si="0"/>
        <v>#N/A</v>
      </c>
      <c r="D16" s="5" t="s">
        <v>42</v>
      </c>
      <c r="E16" s="11" t="s">
        <v>2588</v>
      </c>
      <c r="F16" s="5" t="s">
        <v>2589</v>
      </c>
      <c r="G16" s="5"/>
      <c r="H16" s="5" t="s">
        <v>2590</v>
      </c>
      <c r="I16" s="5" t="s">
        <v>2591</v>
      </c>
      <c r="J16" s="139">
        <v>45723</v>
      </c>
      <c r="K16" s="140"/>
    </row>
    <row r="17" spans="1:11" ht="17.25" customHeight="1">
      <c r="A17" s="319" t="s">
        <v>2592</v>
      </c>
      <c r="B17" s="310">
        <v>46090</v>
      </c>
      <c r="C17" s="13" t="e">
        <f t="shared" si="0"/>
        <v>#N/A</v>
      </c>
      <c r="D17" s="5" t="s">
        <v>42</v>
      </c>
      <c r="E17" s="150" t="s">
        <v>2593</v>
      </c>
      <c r="F17" s="4" t="s">
        <v>2584</v>
      </c>
      <c r="H17" s="7" t="s">
        <v>2594</v>
      </c>
      <c r="I17" s="4" t="s">
        <v>2595</v>
      </c>
      <c r="J17" s="139"/>
      <c r="K17" s="140"/>
    </row>
    <row r="18" spans="1:11" ht="17.25" customHeight="1">
      <c r="A18" s="319" t="s">
        <v>2596</v>
      </c>
      <c r="B18" s="310">
        <v>46097</v>
      </c>
      <c r="C18" s="13" t="e">
        <f t="shared" si="0"/>
        <v>#N/A</v>
      </c>
      <c r="D18" s="5" t="s">
        <v>42</v>
      </c>
      <c r="E18" s="150" t="s">
        <v>2597</v>
      </c>
      <c r="F18" s="4" t="s">
        <v>2584</v>
      </c>
      <c r="H18" s="7" t="s">
        <v>2594</v>
      </c>
      <c r="I18" s="4" t="s">
        <v>2598</v>
      </c>
      <c r="J18" s="139">
        <v>45724</v>
      </c>
      <c r="K18" s="140"/>
    </row>
    <row r="19" spans="1:11" ht="17.25" customHeight="1">
      <c r="A19" s="319" t="s">
        <v>2599</v>
      </c>
      <c r="B19" s="310">
        <v>46083</v>
      </c>
      <c r="C19" s="13" t="e">
        <f t="shared" si="0"/>
        <v>#N/A</v>
      </c>
      <c r="D19" s="5" t="s">
        <v>42</v>
      </c>
      <c r="E19" s="150" t="s">
        <v>2600</v>
      </c>
      <c r="F19" s="4" t="s">
        <v>230</v>
      </c>
      <c r="H19" s="7" t="s">
        <v>2601</v>
      </c>
      <c r="I19" s="4" t="s">
        <v>2602</v>
      </c>
      <c r="J19" s="139">
        <v>45932</v>
      </c>
      <c r="K19" s="140"/>
    </row>
    <row r="20" spans="1:11" ht="17.25" customHeight="1">
      <c r="A20" s="319" t="s">
        <v>2603</v>
      </c>
      <c r="B20" s="310">
        <v>46086</v>
      </c>
      <c r="C20" s="13" t="e">
        <f t="shared" si="0"/>
        <v>#N/A</v>
      </c>
      <c r="D20" s="5" t="s">
        <v>42</v>
      </c>
      <c r="E20" s="150" t="s">
        <v>2604</v>
      </c>
      <c r="F20" s="4" t="s">
        <v>2584</v>
      </c>
      <c r="H20" s="7" t="s">
        <v>2605</v>
      </c>
      <c r="I20" s="4" t="s">
        <v>2606</v>
      </c>
      <c r="J20" s="139"/>
      <c r="K20" s="140"/>
    </row>
    <row r="21" spans="1:11" ht="17.25" customHeight="1">
      <c r="A21" s="319" t="s">
        <v>2607</v>
      </c>
      <c r="B21" s="310">
        <v>46128</v>
      </c>
      <c r="C21" s="13" t="e">
        <f t="shared" si="0"/>
        <v>#N/A</v>
      </c>
      <c r="D21" s="4" t="s">
        <v>42</v>
      </c>
      <c r="E21" s="11" t="s">
        <v>2608</v>
      </c>
      <c r="F21" s="4" t="s">
        <v>2609</v>
      </c>
      <c r="H21" s="4" t="s">
        <v>2610</v>
      </c>
      <c r="I21" s="4" t="s">
        <v>2611</v>
      </c>
      <c r="K21" s="141" t="s">
        <v>2612</v>
      </c>
    </row>
    <row r="22" spans="1:11" ht="17.25" customHeight="1">
      <c r="A22" s="319" t="s">
        <v>2613</v>
      </c>
      <c r="B22" s="310">
        <v>46084</v>
      </c>
      <c r="C22" s="13" t="e">
        <f t="shared" si="0"/>
        <v>#N/A</v>
      </c>
      <c r="D22" s="5" t="s">
        <v>42</v>
      </c>
      <c r="E22" s="150" t="s">
        <v>2614</v>
      </c>
      <c r="F22" s="4" t="s">
        <v>2615</v>
      </c>
      <c r="H22" s="159" t="s">
        <v>2616</v>
      </c>
      <c r="I22" s="4" t="s">
        <v>2617</v>
      </c>
      <c r="J22" s="139"/>
      <c r="K22" s="140" t="s">
        <v>2618</v>
      </c>
    </row>
    <row r="23" spans="1:11" ht="17.25" customHeight="1">
      <c r="A23" s="319" t="s">
        <v>2619</v>
      </c>
      <c r="B23" s="310">
        <v>46084</v>
      </c>
      <c r="C23" s="13" t="e">
        <f t="shared" si="0"/>
        <v>#N/A</v>
      </c>
      <c r="D23" s="5" t="s">
        <v>42</v>
      </c>
      <c r="E23" s="11" t="s">
        <v>2620</v>
      </c>
      <c r="F23" s="4" t="s">
        <v>100</v>
      </c>
      <c r="H23" s="7" t="s">
        <v>2621</v>
      </c>
      <c r="I23" s="4" t="s">
        <v>2622</v>
      </c>
      <c r="J23" s="139">
        <v>45950</v>
      </c>
      <c r="K23" s="140" t="s">
        <v>2623</v>
      </c>
    </row>
    <row r="24" spans="1:11" ht="17.25" customHeight="1">
      <c r="A24" s="319" t="s">
        <v>2624</v>
      </c>
      <c r="B24" s="310">
        <v>46084</v>
      </c>
      <c r="C24" s="13" t="e">
        <f t="shared" si="0"/>
        <v>#N/A</v>
      </c>
      <c r="D24" s="5" t="s">
        <v>42</v>
      </c>
      <c r="E24" s="150" t="s">
        <v>2625</v>
      </c>
      <c r="F24" s="4" t="s">
        <v>2626</v>
      </c>
      <c r="H24" s="7" t="s">
        <v>2627</v>
      </c>
      <c r="I24" s="4" t="s">
        <v>2628</v>
      </c>
      <c r="J24" s="139">
        <v>45937</v>
      </c>
      <c r="K24" s="140"/>
    </row>
    <row r="25" spans="1:11" ht="17.25" customHeight="1">
      <c r="A25" s="319" t="s">
        <v>2629</v>
      </c>
      <c r="B25" s="310">
        <v>46148</v>
      </c>
      <c r="C25" s="13" t="e">
        <f t="shared" si="0"/>
        <v>#N/A</v>
      </c>
      <c r="D25" s="4" t="s">
        <v>42</v>
      </c>
      <c r="E25" s="11" t="s">
        <v>2630</v>
      </c>
      <c r="F25" s="4" t="s">
        <v>2631</v>
      </c>
      <c r="H25" s="4" t="s">
        <v>2632</v>
      </c>
      <c r="I25" s="4" t="s">
        <v>2633</v>
      </c>
      <c r="J25" s="139"/>
      <c r="K25" s="140"/>
    </row>
    <row r="26" spans="1:11" ht="17.25" customHeight="1">
      <c r="A26" s="319" t="s">
        <v>2634</v>
      </c>
      <c r="B26" s="310">
        <v>46090</v>
      </c>
      <c r="C26" s="13" t="e">
        <f t="shared" si="0"/>
        <v>#N/A</v>
      </c>
      <c r="D26" s="5" t="s">
        <v>42</v>
      </c>
      <c r="E26" s="11" t="s">
        <v>2635</v>
      </c>
      <c r="F26" s="4" t="s">
        <v>230</v>
      </c>
      <c r="H26" s="7" t="s">
        <v>2636</v>
      </c>
      <c r="I26" s="4" t="s">
        <v>2637</v>
      </c>
      <c r="J26" s="139">
        <v>45950</v>
      </c>
      <c r="K26" s="140" t="s">
        <v>2638</v>
      </c>
    </row>
    <row r="27" spans="1:11" ht="17.25" customHeight="1">
      <c r="A27" s="319" t="s">
        <v>2639</v>
      </c>
      <c r="B27" s="310">
        <v>46099</v>
      </c>
      <c r="C27" s="13" t="e">
        <f t="shared" si="0"/>
        <v>#N/A</v>
      </c>
      <c r="D27" s="5" t="s">
        <v>42</v>
      </c>
      <c r="E27" s="150" t="s">
        <v>2640</v>
      </c>
      <c r="F27" s="4" t="s">
        <v>803</v>
      </c>
      <c r="H27" s="7" t="s">
        <v>2641</v>
      </c>
      <c r="I27" s="4" t="s">
        <v>2642</v>
      </c>
      <c r="J27" s="139">
        <v>45937</v>
      </c>
      <c r="K27" s="140" t="s">
        <v>2643</v>
      </c>
    </row>
    <row r="28" spans="1:11" ht="17.25" customHeight="1">
      <c r="A28" s="319" t="s">
        <v>2644</v>
      </c>
      <c r="B28" s="310">
        <v>46078</v>
      </c>
      <c r="C28" s="13">
        <f t="shared" si="0"/>
        <v>46076</v>
      </c>
      <c r="D28" s="4" t="s">
        <v>687</v>
      </c>
      <c r="E28" s="11" t="s">
        <v>2645</v>
      </c>
      <c r="F28" s="4" t="s">
        <v>2646</v>
      </c>
      <c r="H28" s="4" t="s">
        <v>2647</v>
      </c>
      <c r="I28" s="4" t="s">
        <v>2648</v>
      </c>
      <c r="J28" s="299">
        <v>46050</v>
      </c>
    </row>
    <row r="29" spans="1:11" ht="17.25" customHeight="1">
      <c r="A29" s="319" t="s">
        <v>2649</v>
      </c>
      <c r="B29" s="310">
        <v>46083</v>
      </c>
      <c r="C29" s="13">
        <f t="shared" si="0"/>
        <v>46077</v>
      </c>
      <c r="D29" s="4" t="s">
        <v>711</v>
      </c>
      <c r="E29" s="11" t="s">
        <v>2650</v>
      </c>
      <c r="F29" s="4" t="s">
        <v>2651</v>
      </c>
      <c r="G29" s="4" t="s">
        <v>2652</v>
      </c>
      <c r="H29" s="4" t="s">
        <v>2653</v>
      </c>
      <c r="I29" s="4" t="s">
        <v>2654</v>
      </c>
      <c r="K29" s="141" t="s">
        <v>2655</v>
      </c>
    </row>
    <row r="30" spans="1:11" ht="17.25" customHeight="1">
      <c r="A30" s="319" t="s">
        <v>2656</v>
      </c>
      <c r="B30" s="310">
        <v>46146</v>
      </c>
      <c r="C30" s="13">
        <f t="shared" si="0"/>
        <v>46077</v>
      </c>
      <c r="D30" s="4" t="s">
        <v>711</v>
      </c>
      <c r="E30" s="11" t="s">
        <v>2657</v>
      </c>
      <c r="F30" s="4" t="s">
        <v>2651</v>
      </c>
      <c r="G30" s="4" t="s">
        <v>2652</v>
      </c>
      <c r="H30" s="4" t="s">
        <v>2647</v>
      </c>
      <c r="I30" s="4" t="s">
        <v>2658</v>
      </c>
      <c r="J30" s="299">
        <v>46037</v>
      </c>
    </row>
    <row r="31" spans="1:11" ht="17.25" customHeight="1">
      <c r="A31" s="319" t="s">
        <v>2659</v>
      </c>
      <c r="B31" s="310">
        <v>46078</v>
      </c>
      <c r="C31" s="13">
        <f t="shared" si="0"/>
        <v>46078</v>
      </c>
      <c r="D31" s="4" t="s">
        <v>729</v>
      </c>
      <c r="E31" s="11" t="s">
        <v>2660</v>
      </c>
      <c r="F31" s="4" t="s">
        <v>2631</v>
      </c>
      <c r="H31" s="4" t="s">
        <v>2661</v>
      </c>
      <c r="I31" s="4" t="s">
        <v>2662</v>
      </c>
      <c r="J31" s="139"/>
      <c r="K31" s="140"/>
    </row>
    <row r="32" spans="1:11" ht="17.25" customHeight="1">
      <c r="A32" s="319" t="s">
        <v>2663</v>
      </c>
      <c r="B32" s="310">
        <v>46078</v>
      </c>
      <c r="C32" s="13">
        <f t="shared" si="0"/>
        <v>46078</v>
      </c>
      <c r="D32" s="5" t="s">
        <v>729</v>
      </c>
      <c r="E32" s="150" t="s">
        <v>2573</v>
      </c>
      <c r="F32" s="4" t="s">
        <v>230</v>
      </c>
      <c r="G32" s="364" t="s">
        <v>2664</v>
      </c>
      <c r="H32" s="7" t="s">
        <v>2665</v>
      </c>
      <c r="I32" s="4" t="s">
        <v>2666</v>
      </c>
      <c r="J32" s="139">
        <v>45726</v>
      </c>
      <c r="K32" s="140"/>
    </row>
    <row r="33" spans="1:11" ht="17.25" customHeight="1">
      <c r="A33" s="319" t="s">
        <v>2667</v>
      </c>
      <c r="B33" s="310">
        <v>46078</v>
      </c>
      <c r="C33" s="13">
        <f t="shared" si="0"/>
        <v>46078</v>
      </c>
      <c r="D33" s="4" t="s">
        <v>729</v>
      </c>
      <c r="E33" s="11" t="s">
        <v>2668</v>
      </c>
      <c r="F33" s="4" t="s">
        <v>2646</v>
      </c>
      <c r="G33" s="4" t="s">
        <v>2669</v>
      </c>
      <c r="H33" s="4" t="s">
        <v>2670</v>
      </c>
      <c r="I33" s="4" t="s">
        <v>2671</v>
      </c>
      <c r="J33" s="299">
        <v>46022</v>
      </c>
    </row>
    <row r="34" spans="1:11" ht="17.25" customHeight="1">
      <c r="A34" s="319" t="s">
        <v>2672</v>
      </c>
      <c r="B34" s="310">
        <v>46078</v>
      </c>
      <c r="C34" s="13">
        <f t="shared" si="0"/>
        <v>46080</v>
      </c>
      <c r="D34" s="4" t="s">
        <v>729</v>
      </c>
      <c r="E34" s="11" t="s">
        <v>2673</v>
      </c>
      <c r="F34" s="4" t="s">
        <v>2646</v>
      </c>
      <c r="H34" s="4" t="s">
        <v>2674</v>
      </c>
      <c r="I34" s="4" t="s">
        <v>2675</v>
      </c>
      <c r="J34" s="299">
        <v>46022</v>
      </c>
    </row>
    <row r="35" spans="1:11" ht="17.25" customHeight="1">
      <c r="A35" s="319" t="s">
        <v>2676</v>
      </c>
      <c r="B35" s="310">
        <v>46086</v>
      </c>
      <c r="C35" s="13">
        <f t="shared" si="0"/>
        <v>46078</v>
      </c>
      <c r="D35" s="4" t="s">
        <v>729</v>
      </c>
      <c r="E35" s="11" t="s">
        <v>2677</v>
      </c>
      <c r="F35" s="4">
        <v>59</v>
      </c>
      <c r="H35" s="4" t="s">
        <v>2610</v>
      </c>
      <c r="I35" s="4" t="s">
        <v>2678</v>
      </c>
      <c r="J35" s="141" t="s">
        <v>2679</v>
      </c>
    </row>
    <row r="36" spans="1:11" ht="17.25" customHeight="1">
      <c r="A36" s="319" t="s">
        <v>2680</v>
      </c>
      <c r="B36" s="310">
        <v>46127</v>
      </c>
      <c r="C36" s="13">
        <f t="shared" si="0"/>
        <v>46083</v>
      </c>
      <c r="D36" s="4" t="s">
        <v>729</v>
      </c>
      <c r="E36" s="36" t="s">
        <v>2681</v>
      </c>
      <c r="F36" s="4" t="s">
        <v>2631</v>
      </c>
      <c r="G36" s="4" t="s">
        <v>2682</v>
      </c>
      <c r="H36" s="4" t="s">
        <v>2683</v>
      </c>
      <c r="I36" s="4" t="s">
        <v>1291</v>
      </c>
    </row>
    <row r="37" spans="1:11" ht="17.25" customHeight="1">
      <c r="A37" s="319" t="s">
        <v>2684</v>
      </c>
      <c r="B37" s="310">
        <v>46072</v>
      </c>
      <c r="C37" s="13">
        <f t="shared" si="0"/>
        <v>46076</v>
      </c>
      <c r="D37" s="4" t="s">
        <v>729</v>
      </c>
      <c r="E37" s="36" t="s">
        <v>2685</v>
      </c>
      <c r="F37" s="4" t="s">
        <v>2631</v>
      </c>
      <c r="G37" s="4" t="s">
        <v>2686</v>
      </c>
      <c r="H37" s="29" t="s">
        <v>2687</v>
      </c>
      <c r="I37" s="4" t="s">
        <v>2688</v>
      </c>
    </row>
    <row r="38" spans="1:11" ht="17.25" customHeight="1">
      <c r="A38" s="319" t="s">
        <v>2689</v>
      </c>
      <c r="B38" s="310">
        <v>46083</v>
      </c>
      <c r="C38" s="13">
        <f t="shared" si="0"/>
        <v>46078</v>
      </c>
      <c r="D38" s="4" t="s">
        <v>729</v>
      </c>
      <c r="E38" s="11" t="s">
        <v>2690</v>
      </c>
      <c r="F38" s="4" t="s">
        <v>396</v>
      </c>
      <c r="G38" s="4" t="s">
        <v>2691</v>
      </c>
      <c r="H38" s="29" t="s">
        <v>2647</v>
      </c>
      <c r="I38" s="29" t="s">
        <v>2692</v>
      </c>
      <c r="J38" s="141" t="s">
        <v>2693</v>
      </c>
    </row>
    <row r="39" spans="1:11" ht="17.25" customHeight="1">
      <c r="A39" s="319" t="s">
        <v>2694</v>
      </c>
      <c r="B39" s="310">
        <v>46087</v>
      </c>
      <c r="C39" s="13">
        <f t="shared" si="0"/>
        <v>46083</v>
      </c>
      <c r="D39" s="4" t="s">
        <v>729</v>
      </c>
      <c r="E39" s="11" t="s">
        <v>2695</v>
      </c>
      <c r="F39" s="133" t="s">
        <v>396</v>
      </c>
      <c r="H39" s="29" t="s">
        <v>2610</v>
      </c>
      <c r="I39" s="29" t="s">
        <v>2696</v>
      </c>
      <c r="J39" s="141" t="s">
        <v>2697</v>
      </c>
    </row>
    <row r="40" spans="1:11" ht="17.25" customHeight="1">
      <c r="A40" s="319" t="s">
        <v>2698</v>
      </c>
      <c r="B40" s="310">
        <v>46084</v>
      </c>
      <c r="C40" s="13">
        <f t="shared" si="0"/>
        <v>46073</v>
      </c>
      <c r="D40" s="4" t="s">
        <v>788</v>
      </c>
      <c r="E40" s="11" t="s">
        <v>2699</v>
      </c>
      <c r="F40" s="4" t="s">
        <v>2646</v>
      </c>
      <c r="G40" s="4" t="s">
        <v>2700</v>
      </c>
      <c r="H40" s="4" t="s">
        <v>2683</v>
      </c>
      <c r="I40" s="4" t="s">
        <v>1291</v>
      </c>
    </row>
    <row r="41" spans="1:11" ht="17.25" customHeight="1">
      <c r="A41" s="319" t="s">
        <v>2701</v>
      </c>
      <c r="B41" s="310">
        <v>46041</v>
      </c>
      <c r="C41" s="13">
        <f t="shared" si="0"/>
        <v>46072</v>
      </c>
      <c r="D41" s="4" t="s">
        <v>788</v>
      </c>
      <c r="E41" s="150" t="s">
        <v>2684</v>
      </c>
      <c r="F41" s="4">
        <v>72</v>
      </c>
      <c r="G41" s="4" t="s">
        <v>2702</v>
      </c>
      <c r="H41" s="29" t="s">
        <v>2687</v>
      </c>
      <c r="I41" s="4" t="s">
        <v>2688</v>
      </c>
      <c r="J41" s="139">
        <v>45946</v>
      </c>
      <c r="K41" s="140"/>
    </row>
    <row r="42" spans="1:11" ht="17.25" customHeight="1">
      <c r="A42" s="319" t="s">
        <v>2660</v>
      </c>
      <c r="B42" s="310">
        <v>46078</v>
      </c>
      <c r="C42" s="13">
        <f t="shared" si="0"/>
        <v>46083</v>
      </c>
      <c r="D42" s="4" t="s">
        <v>992</v>
      </c>
      <c r="E42" s="11" t="s">
        <v>2703</v>
      </c>
      <c r="F42" s="4" t="s">
        <v>396</v>
      </c>
      <c r="G42" s="4" t="s">
        <v>2704</v>
      </c>
      <c r="H42" s="4" t="s">
        <v>2661</v>
      </c>
      <c r="I42" s="4" t="s">
        <v>2705</v>
      </c>
      <c r="J42" s="141" t="s">
        <v>2706</v>
      </c>
      <c r="K42" s="141" t="s">
        <v>2707</v>
      </c>
    </row>
    <row r="43" spans="1:11" ht="17.25" customHeight="1">
      <c r="A43" s="8" t="s">
        <v>2708</v>
      </c>
      <c r="B43" s="327">
        <v>46078</v>
      </c>
      <c r="C43" s="13">
        <f t="shared" si="0"/>
        <v>46092</v>
      </c>
      <c r="D43" s="4" t="s">
        <v>992</v>
      </c>
      <c r="E43" s="11" t="s">
        <v>2709</v>
      </c>
      <c r="F43" s="4" t="s">
        <v>396</v>
      </c>
      <c r="G43" s="320">
        <v>46063</v>
      </c>
      <c r="H43" s="4" t="s">
        <v>2653</v>
      </c>
      <c r="I43" s="4" t="s">
        <v>2658</v>
      </c>
      <c r="J43" s="292">
        <v>46387.604166666664</v>
      </c>
      <c r="K43" s="141" t="s">
        <v>2707</v>
      </c>
    </row>
    <row r="44" spans="1:11" ht="17.25" customHeight="1">
      <c r="A44" s="319" t="s">
        <v>2710</v>
      </c>
      <c r="B44" s="310">
        <v>46083</v>
      </c>
      <c r="C44" s="13">
        <f t="shared" si="0"/>
        <v>46083</v>
      </c>
      <c r="D44" s="5" t="s">
        <v>992</v>
      </c>
      <c r="E44" s="150" t="s">
        <v>2599</v>
      </c>
      <c r="F44" s="5" t="s">
        <v>2615</v>
      </c>
      <c r="G44" s="5"/>
      <c r="H44" s="5" t="s">
        <v>2711</v>
      </c>
      <c r="I44" s="5" t="s">
        <v>2712</v>
      </c>
      <c r="J44" s="139" t="s">
        <v>2713</v>
      </c>
      <c r="K44" s="140"/>
    </row>
    <row r="45" spans="1:11" ht="17.25" customHeight="1">
      <c r="A45" s="319" t="s">
        <v>2714</v>
      </c>
      <c r="B45" s="310">
        <v>46076</v>
      </c>
      <c r="C45" s="13">
        <f t="shared" si="0"/>
        <v>46090</v>
      </c>
      <c r="D45" s="5" t="s">
        <v>992</v>
      </c>
      <c r="E45" s="150" t="s">
        <v>2592</v>
      </c>
      <c r="F45" s="5" t="s">
        <v>2615</v>
      </c>
      <c r="G45" s="5" t="s">
        <v>2715</v>
      </c>
      <c r="H45" s="5" t="s">
        <v>2716</v>
      </c>
      <c r="I45" s="5" t="s">
        <v>2717</v>
      </c>
      <c r="J45" s="139" t="s">
        <v>2718</v>
      </c>
      <c r="K45" s="140"/>
    </row>
    <row r="46" spans="1:11" ht="17.25" customHeight="1">
      <c r="A46" s="319" t="s">
        <v>2719</v>
      </c>
      <c r="B46" s="310">
        <v>46160</v>
      </c>
      <c r="C46" s="13">
        <f t="shared" si="0"/>
        <v>46162</v>
      </c>
      <c r="D46" s="5" t="s">
        <v>992</v>
      </c>
      <c r="E46" s="150" t="s">
        <v>2568</v>
      </c>
      <c r="F46" s="4" t="s">
        <v>803</v>
      </c>
      <c r="H46" s="7" t="s">
        <v>2561</v>
      </c>
      <c r="I46" s="4" t="s">
        <v>2562</v>
      </c>
      <c r="J46" s="139">
        <v>45931</v>
      </c>
      <c r="K46" s="140" t="s">
        <v>2563</v>
      </c>
    </row>
    <row r="47" spans="1:11" ht="17.25" customHeight="1">
      <c r="A47" s="319" t="s">
        <v>2699</v>
      </c>
      <c r="B47" s="310">
        <v>46073</v>
      </c>
      <c r="C47" s="13">
        <f t="shared" si="0"/>
        <v>46146</v>
      </c>
      <c r="D47" s="5" t="s">
        <v>992</v>
      </c>
      <c r="E47" s="150" t="s">
        <v>2656</v>
      </c>
      <c r="F47" s="4" t="s">
        <v>820</v>
      </c>
      <c r="G47" s="4" t="s">
        <v>2720</v>
      </c>
      <c r="H47" s="4" t="s">
        <v>2721</v>
      </c>
      <c r="I47" s="4" t="s">
        <v>2722</v>
      </c>
      <c r="J47" s="139"/>
      <c r="K47" s="140" t="s">
        <v>2723</v>
      </c>
    </row>
    <row r="48" spans="1:11" ht="17.25" customHeight="1">
      <c r="A48" s="319" t="s">
        <v>2724</v>
      </c>
      <c r="B48" s="310">
        <v>46084</v>
      </c>
      <c r="C48" s="13">
        <f t="shared" si="0"/>
        <v>46083</v>
      </c>
      <c r="D48" s="5" t="s">
        <v>992</v>
      </c>
      <c r="E48" s="150" t="s">
        <v>2649</v>
      </c>
      <c r="F48" s="4" t="s">
        <v>2609</v>
      </c>
      <c r="H48" s="7" t="s">
        <v>2725</v>
      </c>
      <c r="I48" s="4" t="s">
        <v>2726</v>
      </c>
      <c r="J48" s="139"/>
      <c r="K48" s="140"/>
    </row>
    <row r="49" spans="1:11" ht="17.25" customHeight="1">
      <c r="A49" s="319" t="s">
        <v>2727</v>
      </c>
      <c r="B49" s="310">
        <v>46083</v>
      </c>
      <c r="C49" s="13">
        <f t="shared" si="0"/>
        <v>46099</v>
      </c>
      <c r="D49" s="5" t="s">
        <v>992</v>
      </c>
      <c r="E49" s="150" t="s">
        <v>2639</v>
      </c>
      <c r="F49" s="4" t="s">
        <v>2525</v>
      </c>
      <c r="G49" s="4" t="s">
        <v>2728</v>
      </c>
      <c r="H49" s="7" t="s">
        <v>2729</v>
      </c>
      <c r="I49" s="4" t="s">
        <v>2730</v>
      </c>
      <c r="J49" s="139">
        <v>45937</v>
      </c>
      <c r="K49" s="140"/>
    </row>
    <row r="50" spans="1:11" ht="17.25" customHeight="1">
      <c r="A50" s="319" t="s">
        <v>2731</v>
      </c>
      <c r="B50" s="310">
        <v>46119</v>
      </c>
      <c r="C50" s="13">
        <f t="shared" si="0"/>
        <v>46090</v>
      </c>
      <c r="D50" s="5" t="s">
        <v>992</v>
      </c>
      <c r="E50" s="150" t="s">
        <v>2634</v>
      </c>
      <c r="F50" s="4" t="s">
        <v>2615</v>
      </c>
      <c r="G50" s="4" t="s">
        <v>2732</v>
      </c>
      <c r="H50" s="7" t="s">
        <v>2725</v>
      </c>
      <c r="I50" s="4" t="s">
        <v>2733</v>
      </c>
      <c r="J50" s="139">
        <v>45722</v>
      </c>
      <c r="K50" s="140"/>
    </row>
    <row r="51" spans="1:11" ht="17.25" customHeight="1">
      <c r="A51" s="319" t="s">
        <v>2650</v>
      </c>
      <c r="B51" s="310">
        <v>46077</v>
      </c>
      <c r="C51" s="13">
        <f t="shared" si="0"/>
        <v>46148</v>
      </c>
      <c r="D51" s="32" t="s">
        <v>992</v>
      </c>
      <c r="E51" s="11" t="s">
        <v>2629</v>
      </c>
      <c r="F51" s="4" t="s">
        <v>820</v>
      </c>
      <c r="H51" s="7" t="s">
        <v>2729</v>
      </c>
      <c r="I51" s="4" t="s">
        <v>2734</v>
      </c>
      <c r="J51" s="139"/>
      <c r="K51" s="140"/>
    </row>
    <row r="52" spans="1:11" ht="17.25" customHeight="1">
      <c r="A52" s="319" t="s">
        <v>2735</v>
      </c>
      <c r="B52" s="310">
        <v>46125</v>
      </c>
      <c r="C52" s="13">
        <f t="shared" si="0"/>
        <v>46128</v>
      </c>
      <c r="D52" s="5" t="s">
        <v>992</v>
      </c>
      <c r="E52" s="150" t="s">
        <v>2607</v>
      </c>
      <c r="F52" s="4" t="s">
        <v>2615</v>
      </c>
      <c r="G52" s="4" t="s">
        <v>2736</v>
      </c>
      <c r="H52" s="7" t="s">
        <v>2737</v>
      </c>
      <c r="I52" s="4" t="s">
        <v>2738</v>
      </c>
      <c r="J52" s="139">
        <v>45936</v>
      </c>
      <c r="K52" s="140" t="s">
        <v>2739</v>
      </c>
    </row>
    <row r="53" spans="1:11" ht="17.25" customHeight="1">
      <c r="A53" s="319" t="s">
        <v>2740</v>
      </c>
      <c r="B53" s="310">
        <v>46083</v>
      </c>
      <c r="C53" s="13">
        <f t="shared" si="0"/>
        <v>46086</v>
      </c>
      <c r="D53" s="5" t="s">
        <v>992</v>
      </c>
      <c r="E53" s="150" t="s">
        <v>2603</v>
      </c>
      <c r="F53" s="5" t="s">
        <v>2609</v>
      </c>
      <c r="G53" s="5"/>
      <c r="H53" s="5" t="s">
        <v>2741</v>
      </c>
      <c r="I53" s="5" t="s">
        <v>2742</v>
      </c>
      <c r="J53" s="139"/>
      <c r="K53" s="140"/>
    </row>
    <row r="54" spans="1:11" ht="17.25" customHeight="1">
      <c r="A54" s="319" t="s">
        <v>2673</v>
      </c>
      <c r="B54" s="310">
        <v>46080</v>
      </c>
      <c r="C54" s="13">
        <f t="shared" si="0"/>
        <v>46188</v>
      </c>
      <c r="D54" s="5" t="s">
        <v>992</v>
      </c>
      <c r="E54" s="11" t="s">
        <v>2582</v>
      </c>
      <c r="F54" s="4" t="s">
        <v>2609</v>
      </c>
      <c r="H54" s="7" t="s">
        <v>2743</v>
      </c>
      <c r="I54" s="4" t="s">
        <v>2744</v>
      </c>
      <c r="J54" s="139"/>
      <c r="K54" s="140"/>
    </row>
    <row r="55" spans="1:11" ht="17.25" customHeight="1">
      <c r="A55" s="319" t="s">
        <v>2703</v>
      </c>
      <c r="B55" s="310">
        <v>46083</v>
      </c>
      <c r="C55" s="13">
        <f t="shared" si="0"/>
        <v>46119</v>
      </c>
      <c r="D55" s="5" t="s">
        <v>992</v>
      </c>
      <c r="E55" s="11" t="s">
        <v>2558</v>
      </c>
      <c r="F55" s="4" t="s">
        <v>2584</v>
      </c>
      <c r="H55" s="7" t="s">
        <v>2745</v>
      </c>
      <c r="I55" s="4" t="s">
        <v>2746</v>
      </c>
      <c r="J55" s="139"/>
      <c r="K55" s="140"/>
    </row>
    <row r="56" spans="1:11" ht="17.25" customHeight="1">
      <c r="A56" s="319" t="s">
        <v>2747</v>
      </c>
      <c r="B56" s="310">
        <v>46128</v>
      </c>
      <c r="C56" s="13">
        <f t="shared" si="0"/>
        <v>46111</v>
      </c>
      <c r="D56" s="5" t="s">
        <v>992</v>
      </c>
      <c r="E56" s="11" t="s">
        <v>2523</v>
      </c>
      <c r="F56" s="4" t="s">
        <v>2589</v>
      </c>
      <c r="H56" s="7" t="s">
        <v>2748</v>
      </c>
      <c r="I56" s="4" t="s">
        <v>2749</v>
      </c>
      <c r="J56" s="139"/>
      <c r="K56" s="140"/>
    </row>
    <row r="57" spans="1:11" ht="17.25" customHeight="1">
      <c r="A57" s="319" t="s">
        <v>2750</v>
      </c>
      <c r="B57" s="310">
        <v>46083</v>
      </c>
      <c r="C57" s="13">
        <f t="shared" si="0"/>
        <v>46084</v>
      </c>
      <c r="D57" s="5" t="s">
        <v>992</v>
      </c>
      <c r="E57" s="150" t="s">
        <v>2624</v>
      </c>
      <c r="F57" s="5" t="s">
        <v>820</v>
      </c>
      <c r="G57" s="5"/>
      <c r="H57" s="5" t="s">
        <v>2751</v>
      </c>
      <c r="I57" s="5" t="s">
        <v>2752</v>
      </c>
      <c r="J57" s="139"/>
      <c r="K57" s="140"/>
    </row>
    <row r="58" spans="1:11" ht="17.25" customHeight="1">
      <c r="A58" s="319" t="s">
        <v>2753</v>
      </c>
      <c r="B58" s="310">
        <v>46342</v>
      </c>
      <c r="C58" s="13">
        <f t="shared" si="0"/>
        <v>46084</v>
      </c>
      <c r="D58" s="5" t="s">
        <v>992</v>
      </c>
      <c r="E58" s="150" t="s">
        <v>2619</v>
      </c>
      <c r="F58" s="5" t="s">
        <v>820</v>
      </c>
      <c r="G58" s="5"/>
      <c r="H58" s="5" t="s">
        <v>2751</v>
      </c>
      <c r="I58" s="5" t="s">
        <v>2752</v>
      </c>
      <c r="J58" s="139"/>
      <c r="K58" s="140"/>
    </row>
    <row r="59" spans="1:11" ht="17.25" customHeight="1">
      <c r="A59" s="319" t="s">
        <v>2668</v>
      </c>
      <c r="B59" s="310">
        <v>46078</v>
      </c>
      <c r="C59" s="13">
        <f t="shared" si="0"/>
        <v>46084</v>
      </c>
      <c r="D59" s="5" t="s">
        <v>992</v>
      </c>
      <c r="E59" s="150" t="s">
        <v>2613</v>
      </c>
      <c r="F59" s="5" t="s">
        <v>820</v>
      </c>
      <c r="G59" s="5"/>
      <c r="H59" s="5" t="s">
        <v>2751</v>
      </c>
      <c r="I59" s="5" t="s">
        <v>2752</v>
      </c>
      <c r="J59" s="139"/>
      <c r="K59" s="140"/>
    </row>
    <row r="60" spans="1:11" ht="17.25" customHeight="1">
      <c r="A60" s="319" t="s">
        <v>2657</v>
      </c>
      <c r="B60" s="310">
        <v>46077</v>
      </c>
      <c r="C60" s="13">
        <f t="shared" si="0"/>
        <v>46119</v>
      </c>
      <c r="D60" s="4" t="s">
        <v>992</v>
      </c>
      <c r="E60" s="11" t="s">
        <v>2731</v>
      </c>
      <c r="F60" s="4" t="s">
        <v>230</v>
      </c>
      <c r="G60" s="29" t="s">
        <v>2754</v>
      </c>
      <c r="H60" s="4" t="s">
        <v>2687</v>
      </c>
      <c r="I60" s="4" t="s">
        <v>2755</v>
      </c>
      <c r="K60" s="141" t="s">
        <v>2756</v>
      </c>
    </row>
    <row r="61" spans="1:11" ht="17.25" customHeight="1">
      <c r="A61" s="8" t="s">
        <v>2709</v>
      </c>
      <c r="B61" s="327">
        <v>46092</v>
      </c>
      <c r="C61" s="13">
        <f t="shared" si="0"/>
        <v>46083</v>
      </c>
      <c r="D61" s="4" t="s">
        <v>992</v>
      </c>
      <c r="E61" s="11" t="s">
        <v>2727</v>
      </c>
      <c r="F61" s="4" t="s">
        <v>396</v>
      </c>
      <c r="G61" s="4" t="s">
        <v>2757</v>
      </c>
      <c r="H61" s="4" t="s">
        <v>2610</v>
      </c>
      <c r="I61" s="381" t="s">
        <v>2758</v>
      </c>
      <c r="J61" s="292">
        <v>46000.447916666664</v>
      </c>
      <c r="K61" s="141" t="s">
        <v>2759</v>
      </c>
    </row>
    <row r="62" spans="1:11" ht="17.25" customHeight="1">
      <c r="A62" s="319" t="s">
        <v>2760</v>
      </c>
      <c r="B62" s="310">
        <v>46083</v>
      </c>
      <c r="C62" s="13">
        <f t="shared" si="0"/>
        <v>46084</v>
      </c>
      <c r="D62" s="4" t="s">
        <v>992</v>
      </c>
      <c r="E62" s="328" t="s">
        <v>2724</v>
      </c>
      <c r="F62" s="4" t="s">
        <v>396</v>
      </c>
      <c r="G62" s="4" t="s">
        <v>2761</v>
      </c>
      <c r="H62" s="4" t="s">
        <v>2762</v>
      </c>
      <c r="I62" s="4" t="s">
        <v>2763</v>
      </c>
      <c r="J62" s="292" t="s">
        <v>2764</v>
      </c>
    </row>
    <row r="63" spans="1:11" ht="17.25" customHeight="1">
      <c r="A63" s="319" t="s">
        <v>2695</v>
      </c>
      <c r="B63" s="310">
        <v>46083</v>
      </c>
      <c r="C63" s="13">
        <f t="shared" si="0"/>
        <v>46127</v>
      </c>
      <c r="D63" s="5" t="s">
        <v>992</v>
      </c>
      <c r="E63" s="150" t="s">
        <v>2680</v>
      </c>
      <c r="F63" s="4" t="s">
        <v>2615</v>
      </c>
      <c r="G63" s="4" t="s">
        <v>2765</v>
      </c>
      <c r="H63" s="4" t="s">
        <v>2766</v>
      </c>
      <c r="I63" s="4" t="s">
        <v>2767</v>
      </c>
      <c r="J63" s="139">
        <v>45943</v>
      </c>
      <c r="K63" s="140" t="s">
        <v>2768</v>
      </c>
    </row>
    <row r="64" spans="1:11" ht="17.25" customHeight="1">
      <c r="A64" s="319" t="s">
        <v>2677</v>
      </c>
      <c r="B64" s="310">
        <v>46078</v>
      </c>
      <c r="C64" s="13">
        <f t="shared" si="0"/>
        <v>46084</v>
      </c>
      <c r="D64" s="4" t="s">
        <v>992</v>
      </c>
      <c r="E64" s="11" t="s">
        <v>2769</v>
      </c>
      <c r="F64" s="4" t="s">
        <v>396</v>
      </c>
      <c r="G64" s="357">
        <v>46235</v>
      </c>
      <c r="H64" s="4" t="s">
        <v>2610</v>
      </c>
      <c r="I64" s="4" t="s">
        <v>2770</v>
      </c>
      <c r="J64" s="141" t="s">
        <v>2771</v>
      </c>
    </row>
    <row r="65" spans="1:11" ht="17.25" customHeight="1">
      <c r="A65" s="319" t="s">
        <v>2769</v>
      </c>
      <c r="B65" s="310">
        <v>46084</v>
      </c>
      <c r="C65" s="13">
        <f t="shared" si="0"/>
        <v>46125</v>
      </c>
      <c r="D65" s="4" t="s">
        <v>992</v>
      </c>
      <c r="E65" s="367" t="s">
        <v>2735</v>
      </c>
      <c r="F65" s="4" t="s">
        <v>2772</v>
      </c>
      <c r="G65" s="4" t="s">
        <v>2773</v>
      </c>
      <c r="H65" s="4" t="s">
        <v>2661</v>
      </c>
      <c r="I65" s="4" t="s">
        <v>2774</v>
      </c>
      <c r="J65" s="141" t="s">
        <v>2775</v>
      </c>
      <c r="K65" s="141" t="s">
        <v>2776</v>
      </c>
    </row>
    <row r="66" spans="1:11" ht="17.25" customHeight="1">
      <c r="A66" s="319" t="s">
        <v>2777</v>
      </c>
      <c r="B66" s="310">
        <v>46080</v>
      </c>
      <c r="C66" s="13">
        <f t="shared" si="0"/>
        <v>46183</v>
      </c>
      <c r="D66" s="4" t="s">
        <v>992</v>
      </c>
      <c r="E66" s="11" t="s">
        <v>2778</v>
      </c>
      <c r="F66" s="4" t="s">
        <v>396</v>
      </c>
      <c r="G66" s="4" t="s">
        <v>2779</v>
      </c>
      <c r="H66" s="4" t="s">
        <v>2610</v>
      </c>
      <c r="I66" s="4" t="s">
        <v>2780</v>
      </c>
      <c r="J66" s="299">
        <v>46050</v>
      </c>
    </row>
    <row r="67" spans="1:11" ht="17.25" customHeight="1">
      <c r="A67" s="319" t="s">
        <v>2781</v>
      </c>
      <c r="B67" s="310">
        <v>46076</v>
      </c>
      <c r="C67" s="13">
        <f t="shared" si="0"/>
        <v>46235</v>
      </c>
      <c r="D67" s="29" t="s">
        <v>992</v>
      </c>
      <c r="E67" s="11" t="s">
        <v>2782</v>
      </c>
      <c r="F67" s="4" t="s">
        <v>396</v>
      </c>
      <c r="G67" s="357" t="s">
        <v>2783</v>
      </c>
      <c r="H67" s="4" t="s">
        <v>2674</v>
      </c>
      <c r="I67" s="4" t="s">
        <v>2784</v>
      </c>
      <c r="J67" s="141" t="s">
        <v>2785</v>
      </c>
    </row>
    <row r="68" spans="1:11" ht="17.25" customHeight="1">
      <c r="A68" s="319" t="s">
        <v>2690</v>
      </c>
      <c r="B68" s="310">
        <v>46078</v>
      </c>
      <c r="C68" s="13">
        <f t="shared" ref="C68:C131" si="1" xml:space="preserve"> VLOOKUP(E68, $A$2:$E$822, 2, FALSE)</f>
        <v>46078</v>
      </c>
      <c r="D68" s="5" t="s">
        <v>1206</v>
      </c>
      <c r="E68" s="150" t="s">
        <v>2659</v>
      </c>
      <c r="F68" s="4" t="s">
        <v>2786</v>
      </c>
      <c r="G68" s="4" t="s">
        <v>2787</v>
      </c>
      <c r="H68" s="7" t="s">
        <v>2788</v>
      </c>
      <c r="I68" s="4" t="s">
        <v>2789</v>
      </c>
      <c r="J68" s="139">
        <v>45929</v>
      </c>
      <c r="K68" s="140" t="s">
        <v>2790</v>
      </c>
    </row>
    <row r="69" spans="1:11" ht="17.25" customHeight="1">
      <c r="A69" s="319" t="s">
        <v>2782</v>
      </c>
      <c r="B69" s="310">
        <v>46235</v>
      </c>
      <c r="C69" s="13">
        <f t="shared" si="1"/>
        <v>46041</v>
      </c>
      <c r="D69" s="4" t="s">
        <v>1238</v>
      </c>
      <c r="E69" s="11" t="s">
        <v>2701</v>
      </c>
      <c r="F69" s="4" t="s">
        <v>2646</v>
      </c>
      <c r="H69" s="4" t="s">
        <v>2687</v>
      </c>
      <c r="I69" s="4" t="s">
        <v>2791</v>
      </c>
      <c r="J69" s="139"/>
      <c r="K69" s="140"/>
    </row>
    <row r="70" spans="1:11" ht="17.25" customHeight="1">
      <c r="A70" s="319" t="s">
        <v>2792</v>
      </c>
      <c r="B70" s="310">
        <v>46085</v>
      </c>
      <c r="C70" s="13">
        <f t="shared" si="1"/>
        <v>46080</v>
      </c>
      <c r="D70" s="5" t="s">
        <v>1238</v>
      </c>
      <c r="E70" s="150" t="s">
        <v>2578</v>
      </c>
      <c r="F70" s="4" t="s">
        <v>803</v>
      </c>
      <c r="H70" s="7" t="s">
        <v>2641</v>
      </c>
      <c r="I70" s="4" t="s">
        <v>2793</v>
      </c>
      <c r="J70" s="139">
        <v>45937</v>
      </c>
      <c r="K70" s="140" t="s">
        <v>2794</v>
      </c>
    </row>
    <row r="71" spans="1:11" ht="17.25" customHeight="1">
      <c r="A71" s="319"/>
      <c r="B71" s="310"/>
      <c r="C71" s="13">
        <f t="shared" si="1"/>
        <v>46086</v>
      </c>
      <c r="D71" s="5" t="s">
        <v>1244</v>
      </c>
      <c r="E71" s="150" t="s">
        <v>2676</v>
      </c>
      <c r="F71" s="4" t="s">
        <v>2786</v>
      </c>
      <c r="G71" s="29"/>
      <c r="H71" s="4" t="s">
        <v>2795</v>
      </c>
      <c r="I71" s="4" t="s">
        <v>2796</v>
      </c>
      <c r="J71" s="139">
        <v>45930</v>
      </c>
      <c r="K71" s="140"/>
    </row>
    <row r="72" spans="1:11" ht="17.25" customHeight="1">
      <c r="A72" s="319"/>
      <c r="B72" s="310"/>
      <c r="C72" s="13">
        <f t="shared" si="1"/>
        <v>46078</v>
      </c>
      <c r="D72" s="5" t="s">
        <v>1244</v>
      </c>
      <c r="E72" s="150" t="s">
        <v>2672</v>
      </c>
      <c r="F72" s="4" t="s">
        <v>2786</v>
      </c>
      <c r="H72" s="4" t="s">
        <v>2536</v>
      </c>
      <c r="I72" s="4" t="s">
        <v>2797</v>
      </c>
      <c r="J72" s="139">
        <v>45930</v>
      </c>
      <c r="K72" s="140" t="s">
        <v>2798</v>
      </c>
    </row>
    <row r="73" spans="1:11" ht="17.25" customHeight="1">
      <c r="A73" s="319" t="s">
        <v>2778</v>
      </c>
      <c r="B73" s="310">
        <v>46183</v>
      </c>
      <c r="C73" s="13">
        <f t="shared" si="1"/>
        <v>46342</v>
      </c>
      <c r="D73" s="4" t="s">
        <v>1244</v>
      </c>
      <c r="E73" s="11" t="s">
        <v>2753</v>
      </c>
      <c r="F73" s="4" t="s">
        <v>396</v>
      </c>
      <c r="H73" s="4" t="s">
        <v>2762</v>
      </c>
      <c r="I73" s="4" t="s">
        <v>2799</v>
      </c>
      <c r="J73" s="141" t="s">
        <v>2800</v>
      </c>
      <c r="K73" s="141" t="s">
        <v>2801</v>
      </c>
    </row>
    <row r="74" spans="1:11" ht="17.25" customHeight="1">
      <c r="A74" s="319" t="s">
        <v>2802</v>
      </c>
      <c r="B74" s="310">
        <v>46076</v>
      </c>
      <c r="C74" s="13">
        <f t="shared" si="1"/>
        <v>46078</v>
      </c>
      <c r="D74" s="5" t="s">
        <v>1244</v>
      </c>
      <c r="E74" s="150" t="s">
        <v>2667</v>
      </c>
      <c r="F74" s="4" t="s">
        <v>820</v>
      </c>
      <c r="H74" s="7" t="s">
        <v>2803</v>
      </c>
      <c r="I74" s="4" t="s">
        <v>2804</v>
      </c>
      <c r="J74" s="139">
        <v>45930</v>
      </c>
      <c r="K74" s="140"/>
    </row>
    <row r="75" spans="1:11" ht="17.25" customHeight="1">
      <c r="A75" s="319" t="s">
        <v>2805</v>
      </c>
      <c r="B75" s="310">
        <v>46078</v>
      </c>
      <c r="C75" s="13">
        <f t="shared" si="1"/>
        <v>46078</v>
      </c>
      <c r="D75" s="5" t="s">
        <v>1244</v>
      </c>
      <c r="E75" s="150" t="s">
        <v>2663</v>
      </c>
      <c r="F75" s="4" t="s">
        <v>820</v>
      </c>
      <c r="H75" s="7" t="s">
        <v>2803</v>
      </c>
      <c r="I75" s="4" t="s">
        <v>2806</v>
      </c>
      <c r="J75" s="139">
        <v>45930</v>
      </c>
      <c r="K75" s="140"/>
    </row>
    <row r="76" spans="1:11" ht="17.25" customHeight="1">
      <c r="A76" s="319" t="s">
        <v>2645</v>
      </c>
      <c r="B76" s="310">
        <v>46076</v>
      </c>
      <c r="C76" s="13" t="e">
        <f t="shared" si="1"/>
        <v>#N/A</v>
      </c>
      <c r="D76" s="5" t="s">
        <v>1244</v>
      </c>
      <c r="E76" s="150" t="s">
        <v>2807</v>
      </c>
      <c r="F76" s="4" t="s">
        <v>230</v>
      </c>
      <c r="H76" s="7" t="s">
        <v>2808</v>
      </c>
      <c r="I76" s="4" t="s">
        <v>2809</v>
      </c>
      <c r="J76" s="139">
        <v>45940</v>
      </c>
      <c r="K76" s="275" t="s">
        <v>2810</v>
      </c>
    </row>
    <row r="77" spans="1:11" ht="17.25" customHeight="1">
      <c r="A77" s="319" t="s">
        <v>2685</v>
      </c>
      <c r="B77" s="310">
        <v>46076</v>
      </c>
      <c r="C77" s="13">
        <f t="shared" si="1"/>
        <v>46104</v>
      </c>
      <c r="D77" s="5" t="s">
        <v>1244</v>
      </c>
      <c r="E77" s="150" t="s">
        <v>2542</v>
      </c>
      <c r="F77" s="5" t="s">
        <v>2584</v>
      </c>
      <c r="G77" s="5"/>
      <c r="H77" s="5" t="s">
        <v>2590</v>
      </c>
      <c r="I77" s="5" t="s">
        <v>2811</v>
      </c>
      <c r="J77" s="139"/>
      <c r="K77" s="140"/>
    </row>
    <row r="78" spans="1:11" ht="17.25" customHeight="1">
      <c r="A78" s="319" t="s">
        <v>2681</v>
      </c>
      <c r="B78" s="310">
        <v>46083</v>
      </c>
      <c r="C78" s="13">
        <f t="shared" si="1"/>
        <v>46083</v>
      </c>
      <c r="D78" s="5" t="s">
        <v>1244</v>
      </c>
      <c r="E78" s="150" t="s">
        <v>2538</v>
      </c>
      <c r="F78" s="5" t="s">
        <v>230</v>
      </c>
      <c r="G78" s="5"/>
      <c r="H78" s="5" t="s">
        <v>2812</v>
      </c>
      <c r="I78" s="5" t="s">
        <v>2813</v>
      </c>
      <c r="J78" s="139">
        <v>45722</v>
      </c>
      <c r="K78" s="140"/>
    </row>
    <row r="79" spans="1:11" ht="17.25" customHeight="1">
      <c r="A79" s="319" t="s">
        <v>2814</v>
      </c>
      <c r="B79" s="310">
        <v>46080</v>
      </c>
      <c r="C79" s="13">
        <f t="shared" si="1"/>
        <v>46084</v>
      </c>
      <c r="D79" s="5" t="s">
        <v>1244</v>
      </c>
      <c r="E79" s="150" t="s">
        <v>2534</v>
      </c>
      <c r="F79" s="5" t="s">
        <v>230</v>
      </c>
      <c r="G79" s="5"/>
      <c r="H79" s="5" t="s">
        <v>2815</v>
      </c>
      <c r="I79" s="5" t="s">
        <v>2816</v>
      </c>
      <c r="J79" s="139">
        <v>45722</v>
      </c>
      <c r="K79" s="140"/>
    </row>
    <row r="80" spans="1:11" ht="17.25" customHeight="1">
      <c r="A80" s="319" t="s">
        <v>2817</v>
      </c>
      <c r="B80" s="310">
        <v>46064</v>
      </c>
      <c r="C80" s="13">
        <f t="shared" si="1"/>
        <v>46083</v>
      </c>
      <c r="D80" s="4" t="s">
        <v>1244</v>
      </c>
      <c r="E80" s="11" t="s">
        <v>2750</v>
      </c>
      <c r="F80" s="4" t="s">
        <v>2631</v>
      </c>
      <c r="H80" s="4" t="s">
        <v>2674</v>
      </c>
      <c r="I80" s="4" t="s">
        <v>2818</v>
      </c>
    </row>
    <row r="81" spans="1:11" ht="17.25" customHeight="1">
      <c r="A81" s="319" t="s">
        <v>2819</v>
      </c>
      <c r="B81" s="310">
        <v>46083</v>
      </c>
      <c r="C81" s="13">
        <f t="shared" si="1"/>
        <v>46076</v>
      </c>
      <c r="D81" s="4" t="s">
        <v>1244</v>
      </c>
      <c r="E81" s="11" t="s">
        <v>2781</v>
      </c>
      <c r="F81" s="4" t="s">
        <v>396</v>
      </c>
      <c r="H81" s="4" t="s">
        <v>2674</v>
      </c>
      <c r="I81" s="4" t="s">
        <v>2820</v>
      </c>
      <c r="J81" s="141" t="s">
        <v>2821</v>
      </c>
    </row>
    <row r="82" spans="1:11" ht="17.25" customHeight="1">
      <c r="A82" s="8" t="s">
        <v>2822</v>
      </c>
      <c r="B82" s="327">
        <v>46092</v>
      </c>
      <c r="C82" s="13">
        <f t="shared" si="1"/>
        <v>46076</v>
      </c>
      <c r="D82" s="4" t="s">
        <v>1244</v>
      </c>
      <c r="E82" s="11" t="s">
        <v>2802</v>
      </c>
      <c r="F82" s="4" t="s">
        <v>2646</v>
      </c>
      <c r="G82" s="4" t="s">
        <v>2823</v>
      </c>
      <c r="H82" s="4" t="s">
        <v>2647</v>
      </c>
      <c r="I82" s="4" t="s">
        <v>2824</v>
      </c>
      <c r="J82" s="299">
        <v>46050</v>
      </c>
    </row>
    <row r="83" spans="1:11" ht="17.25" customHeight="1">
      <c r="A83" s="319" t="s">
        <v>2825</v>
      </c>
      <c r="B83" s="310">
        <v>46094</v>
      </c>
      <c r="C83" s="13">
        <f t="shared" si="1"/>
        <v>46078</v>
      </c>
      <c r="D83" s="4" t="s">
        <v>1286</v>
      </c>
      <c r="E83" s="11" t="s">
        <v>2708</v>
      </c>
      <c r="F83" s="4" t="s">
        <v>396</v>
      </c>
      <c r="G83" s="4" t="s">
        <v>2826</v>
      </c>
      <c r="H83" s="4" t="s">
        <v>2687</v>
      </c>
      <c r="I83" s="4" t="s">
        <v>2827</v>
      </c>
      <c r="J83" s="139" t="s">
        <v>2828</v>
      </c>
      <c r="K83" s="140" t="s">
        <v>2829</v>
      </c>
    </row>
    <row r="84" spans="1:11" ht="17.25" customHeight="1">
      <c r="A84" s="319" t="s">
        <v>2830</v>
      </c>
      <c r="B84" s="310">
        <v>46083</v>
      </c>
      <c r="C84" s="13">
        <f t="shared" si="1"/>
        <v>46078</v>
      </c>
      <c r="D84" s="5" t="s">
        <v>1286</v>
      </c>
      <c r="E84" s="150" t="s">
        <v>2644</v>
      </c>
      <c r="F84" s="4" t="s">
        <v>230</v>
      </c>
      <c r="G84" s="4" t="s">
        <v>2831</v>
      </c>
      <c r="H84" s="7" t="s">
        <v>2832</v>
      </c>
      <c r="I84" s="4" t="s">
        <v>2833</v>
      </c>
      <c r="J84" s="139"/>
      <c r="K84" s="140" t="s">
        <v>2834</v>
      </c>
    </row>
    <row r="85" spans="1:11" ht="17.25" customHeight="1">
      <c r="A85" s="319"/>
      <c r="B85" s="310"/>
      <c r="C85" s="13">
        <f t="shared" si="1"/>
        <v>46090</v>
      </c>
      <c r="D85" s="5" t="s">
        <v>1286</v>
      </c>
      <c r="E85" s="150" t="s">
        <v>2564</v>
      </c>
      <c r="F85" s="4" t="s">
        <v>2772</v>
      </c>
      <c r="H85" s="7" t="s">
        <v>2835</v>
      </c>
      <c r="I85" s="4" t="s">
        <v>2836</v>
      </c>
      <c r="J85" s="139">
        <v>45726</v>
      </c>
      <c r="K85" s="140"/>
    </row>
    <row r="86" spans="1:11" ht="17.25" customHeight="1">
      <c r="A86" s="319"/>
      <c r="B86" s="310"/>
      <c r="C86" s="13">
        <f t="shared" si="1"/>
        <v>46085</v>
      </c>
      <c r="D86" s="5" t="s">
        <v>1286</v>
      </c>
      <c r="E86" s="150" t="s">
        <v>2529</v>
      </c>
      <c r="F86" s="4" t="s">
        <v>2584</v>
      </c>
      <c r="H86" s="7" t="s">
        <v>2545</v>
      </c>
      <c r="I86" s="4" t="s">
        <v>2837</v>
      </c>
      <c r="J86" s="139" t="s">
        <v>2838</v>
      </c>
      <c r="K86" s="140"/>
    </row>
    <row r="87" spans="1:11" ht="17.25" customHeight="1">
      <c r="A87" s="319"/>
      <c r="B87" s="310"/>
      <c r="C87" s="13">
        <f t="shared" si="1"/>
        <v>46083</v>
      </c>
      <c r="D87" s="4" t="s">
        <v>1286</v>
      </c>
      <c r="E87" s="11" t="s">
        <v>2710</v>
      </c>
      <c r="F87" s="4" t="s">
        <v>2615</v>
      </c>
      <c r="H87" s="4" t="s">
        <v>2610</v>
      </c>
      <c r="I87" s="4" t="s">
        <v>2839</v>
      </c>
      <c r="J87" s="139"/>
      <c r="K87" s="140" t="s">
        <v>2840</v>
      </c>
    </row>
    <row r="88" spans="1:11" ht="17.25" customHeight="1">
      <c r="A88" s="8"/>
      <c r="B88" s="8"/>
      <c r="C88" s="13">
        <f t="shared" si="1"/>
        <v>46087</v>
      </c>
      <c r="D88" s="4" t="s">
        <v>1306</v>
      </c>
      <c r="E88" s="11" t="s">
        <v>2694</v>
      </c>
      <c r="F88" s="4" t="s">
        <v>2772</v>
      </c>
      <c r="H88" s="4" t="s">
        <v>2674</v>
      </c>
      <c r="I88" s="4" t="s">
        <v>2841</v>
      </c>
      <c r="J88" s="139"/>
      <c r="K88" s="140"/>
    </row>
    <row r="89" spans="1:11" ht="17.25" customHeight="1">
      <c r="A89" s="8"/>
      <c r="B89" s="8"/>
      <c r="C89" s="13">
        <f t="shared" si="1"/>
        <v>46083</v>
      </c>
      <c r="D89" s="4" t="s">
        <v>1306</v>
      </c>
      <c r="E89" s="150" t="s">
        <v>2689</v>
      </c>
      <c r="F89" s="4" t="s">
        <v>2626</v>
      </c>
      <c r="H89" s="4" t="s">
        <v>2687</v>
      </c>
      <c r="I89" s="4" t="s">
        <v>2688</v>
      </c>
      <c r="J89" s="139">
        <v>45946</v>
      </c>
      <c r="K89" s="140" t="s">
        <v>2842</v>
      </c>
    </row>
    <row r="90" spans="1:11" ht="17.25" customHeight="1">
      <c r="A90" s="319"/>
      <c r="B90" s="310"/>
      <c r="C90" s="13">
        <f t="shared" si="1"/>
        <v>46083</v>
      </c>
      <c r="D90" s="4" t="s">
        <v>1319</v>
      </c>
      <c r="E90" s="11" t="s">
        <v>2740</v>
      </c>
      <c r="F90" s="29" t="s">
        <v>482</v>
      </c>
      <c r="G90" s="4" t="s">
        <v>2773</v>
      </c>
      <c r="H90" s="4" t="s">
        <v>2843</v>
      </c>
      <c r="I90" s="4" t="s">
        <v>2844</v>
      </c>
      <c r="K90" s="141" t="s">
        <v>2845</v>
      </c>
    </row>
    <row r="91" spans="1:11" ht="17.25" customHeight="1">
      <c r="A91" s="319"/>
      <c r="B91" s="310"/>
      <c r="C91" s="13">
        <f t="shared" si="1"/>
        <v>46128</v>
      </c>
      <c r="D91" s="4" t="s">
        <v>1319</v>
      </c>
      <c r="E91" s="11" t="s">
        <v>2747</v>
      </c>
      <c r="F91" s="4" t="s">
        <v>2626</v>
      </c>
      <c r="H91" s="4" t="s">
        <v>2674</v>
      </c>
      <c r="I91" s="322" t="s">
        <v>2846</v>
      </c>
      <c r="J91" s="141" t="s">
        <v>2847</v>
      </c>
      <c r="K91" s="141" t="s">
        <v>2848</v>
      </c>
    </row>
    <row r="92" spans="1:11" ht="17.25" customHeight="1">
      <c r="A92" s="319"/>
      <c r="B92" s="310"/>
      <c r="C92" s="13">
        <f t="shared" si="1"/>
        <v>46078</v>
      </c>
      <c r="D92" s="4" t="s">
        <v>1319</v>
      </c>
      <c r="E92" s="11" t="s">
        <v>2805</v>
      </c>
      <c r="F92" s="4" t="s">
        <v>2646</v>
      </c>
      <c r="H92" s="4" t="s">
        <v>2610</v>
      </c>
      <c r="I92" s="4" t="s">
        <v>2849</v>
      </c>
      <c r="J92" s="299">
        <v>46050</v>
      </c>
    </row>
    <row r="93" spans="1:11" ht="17.25" customHeight="1">
      <c r="A93" s="319"/>
      <c r="B93" s="310"/>
      <c r="C93" s="13">
        <f t="shared" si="1"/>
        <v>46079</v>
      </c>
      <c r="D93" s="5" t="s">
        <v>1319</v>
      </c>
      <c r="E93" s="150" t="s">
        <v>2587</v>
      </c>
      <c r="F93" s="4" t="s">
        <v>2609</v>
      </c>
      <c r="G93" s="4" t="s">
        <v>2850</v>
      </c>
      <c r="H93" s="355" t="s">
        <v>2851</v>
      </c>
      <c r="I93" s="4" t="s">
        <v>2852</v>
      </c>
      <c r="J93" s="354">
        <v>46056</v>
      </c>
      <c r="K93" s="140" t="s">
        <v>2853</v>
      </c>
    </row>
    <row r="94" spans="1:11" ht="17.25" customHeight="1">
      <c r="A94" s="319"/>
      <c r="B94" s="310"/>
      <c r="C94" s="13" t="e">
        <f t="shared" si="1"/>
        <v>#N/A</v>
      </c>
      <c r="D94" s="4" t="s">
        <v>1319</v>
      </c>
      <c r="E94" s="11" t="s">
        <v>2854</v>
      </c>
      <c r="F94" s="4" t="s">
        <v>230</v>
      </c>
      <c r="G94" s="4" t="s">
        <v>2855</v>
      </c>
      <c r="H94" s="321" t="s">
        <v>2856</v>
      </c>
      <c r="I94" s="322" t="s">
        <v>2857</v>
      </c>
      <c r="J94" s="359">
        <v>46056</v>
      </c>
    </row>
    <row r="95" spans="1:11" ht="17.25" customHeight="1">
      <c r="A95" s="319"/>
      <c r="B95" s="310"/>
      <c r="C95" s="13">
        <f t="shared" si="1"/>
        <v>46160</v>
      </c>
      <c r="D95" s="4" t="s">
        <v>1372</v>
      </c>
      <c r="E95" s="11" t="s">
        <v>2719</v>
      </c>
      <c r="F95" s="4" t="s">
        <v>230</v>
      </c>
      <c r="G95" s="4" t="s">
        <v>2858</v>
      </c>
      <c r="H95" s="4" t="s">
        <v>2762</v>
      </c>
      <c r="I95" s="380" t="s">
        <v>2859</v>
      </c>
      <c r="J95" s="139">
        <v>46006</v>
      </c>
      <c r="K95" s="140" t="s">
        <v>2860</v>
      </c>
    </row>
    <row r="96" spans="1:11" ht="17.25" customHeight="1">
      <c r="A96" s="319"/>
      <c r="B96" s="310"/>
      <c r="C96" s="13">
        <f t="shared" si="1"/>
        <v>46097</v>
      </c>
      <c r="D96" s="5" t="s">
        <v>1372</v>
      </c>
      <c r="E96" s="150" t="s">
        <v>2596</v>
      </c>
      <c r="F96" s="4" t="s">
        <v>230</v>
      </c>
      <c r="G96" s="4" t="s">
        <v>2861</v>
      </c>
      <c r="H96" s="7" t="s">
        <v>2862</v>
      </c>
      <c r="I96" s="4" t="s">
        <v>2863</v>
      </c>
      <c r="J96" s="139">
        <v>46056</v>
      </c>
      <c r="K96" s="140" t="s">
        <v>2864</v>
      </c>
    </row>
    <row r="97" spans="1:11" ht="17.25" customHeight="1">
      <c r="A97" s="319"/>
      <c r="B97" s="310"/>
      <c r="C97" s="13">
        <f t="shared" si="1"/>
        <v>46076</v>
      </c>
      <c r="D97" s="4" t="s">
        <v>1372</v>
      </c>
      <c r="E97" s="11" t="s">
        <v>2714</v>
      </c>
      <c r="F97" s="4" t="s">
        <v>230</v>
      </c>
      <c r="G97" s="4" t="s">
        <v>2865</v>
      </c>
      <c r="H97" s="4" t="s">
        <v>2661</v>
      </c>
      <c r="I97" s="4" t="s">
        <v>2866</v>
      </c>
      <c r="J97" s="139">
        <v>46000</v>
      </c>
      <c r="K97" s="140" t="s">
        <v>2860</v>
      </c>
    </row>
    <row r="98" spans="1:11" ht="17.25" customHeight="1">
      <c r="A98" s="319"/>
      <c r="B98" s="310"/>
      <c r="C98" s="13">
        <f t="shared" si="1"/>
        <v>46083</v>
      </c>
      <c r="D98" s="4" t="s">
        <v>1387</v>
      </c>
      <c r="E98" s="11" t="s">
        <v>2819</v>
      </c>
      <c r="F98" s="4" t="s">
        <v>2867</v>
      </c>
      <c r="H98" s="4" t="s">
        <v>2647</v>
      </c>
      <c r="I98" s="4" t="s">
        <v>2868</v>
      </c>
    </row>
    <row r="99" spans="1:11" ht="17.25" customHeight="1">
      <c r="A99" s="319"/>
      <c r="B99" s="310"/>
      <c r="C99" s="13">
        <f t="shared" si="1"/>
        <v>46084</v>
      </c>
      <c r="D99" s="5" t="s">
        <v>1387</v>
      </c>
      <c r="E99" s="150" t="s">
        <v>2552</v>
      </c>
      <c r="F99" s="4" t="s">
        <v>100</v>
      </c>
      <c r="G99" s="4" t="s">
        <v>2869</v>
      </c>
      <c r="H99" s="7" t="s">
        <v>2870</v>
      </c>
      <c r="I99" s="4" t="s">
        <v>2871</v>
      </c>
      <c r="J99" s="139">
        <v>45954</v>
      </c>
      <c r="K99" s="140" t="s">
        <v>2872</v>
      </c>
    </row>
    <row r="100" spans="1:11" ht="17.25" customHeight="1">
      <c r="A100" s="319"/>
      <c r="B100" s="310"/>
      <c r="C100" s="13">
        <f t="shared" si="1"/>
        <v>46080</v>
      </c>
      <c r="D100" s="4" t="s">
        <v>1387</v>
      </c>
      <c r="E100" s="11" t="s">
        <v>2777</v>
      </c>
      <c r="F100" s="4" t="s">
        <v>396</v>
      </c>
      <c r="G100" s="4" t="s">
        <v>2873</v>
      </c>
      <c r="H100" s="4" t="s">
        <v>2674</v>
      </c>
      <c r="I100" s="4" t="s">
        <v>2874</v>
      </c>
      <c r="J100" s="141" t="s">
        <v>2875</v>
      </c>
    </row>
    <row r="101" spans="1:11" ht="17.25" customHeight="1">
      <c r="A101" s="319"/>
      <c r="B101" s="310"/>
      <c r="C101" s="13">
        <f t="shared" si="1"/>
        <v>46083</v>
      </c>
      <c r="D101" s="4" t="s">
        <v>1387</v>
      </c>
      <c r="E101" s="11" t="s">
        <v>2760</v>
      </c>
      <c r="F101" s="4" t="s">
        <v>396</v>
      </c>
      <c r="G101" s="4" t="s">
        <v>2876</v>
      </c>
      <c r="H101" s="4" t="s">
        <v>2683</v>
      </c>
      <c r="I101" s="4" t="s">
        <v>2877</v>
      </c>
      <c r="J101" s="299">
        <v>46062</v>
      </c>
    </row>
    <row r="102" spans="1:11" ht="17.25" customHeight="1">
      <c r="A102" s="319"/>
      <c r="B102" s="310"/>
      <c r="C102" s="13">
        <f t="shared" si="1"/>
        <v>46085</v>
      </c>
      <c r="D102" s="4" t="s">
        <v>1387</v>
      </c>
      <c r="E102" s="11" t="s">
        <v>2792</v>
      </c>
      <c r="F102" s="4" t="s">
        <v>396</v>
      </c>
      <c r="G102" s="4" t="s">
        <v>2878</v>
      </c>
      <c r="H102" s="4" t="s">
        <v>2683</v>
      </c>
      <c r="I102" s="4" t="s">
        <v>2879</v>
      </c>
    </row>
    <row r="103" spans="1:11" ht="17.25" customHeight="1">
      <c r="A103" s="319"/>
      <c r="B103" s="310"/>
      <c r="C103" s="13">
        <f t="shared" si="1"/>
        <v>46080</v>
      </c>
      <c r="D103" s="4" t="s">
        <v>1387</v>
      </c>
      <c r="E103" s="11" t="s">
        <v>2814</v>
      </c>
      <c r="F103" s="4" t="s">
        <v>396</v>
      </c>
      <c r="G103" s="4" t="s">
        <v>2880</v>
      </c>
      <c r="H103" s="4" t="s">
        <v>2881</v>
      </c>
      <c r="I103" s="4" t="s">
        <v>2882</v>
      </c>
      <c r="J103" s="299">
        <v>46062</v>
      </c>
      <c r="K103" s="141" t="s">
        <v>2883</v>
      </c>
    </row>
    <row r="104" spans="1:11" ht="17.25" customHeight="1">
      <c r="A104" s="319"/>
      <c r="B104" s="310"/>
      <c r="C104" s="13">
        <f t="shared" si="1"/>
        <v>46090</v>
      </c>
      <c r="D104" s="5" t="s">
        <v>1387</v>
      </c>
      <c r="E104" s="150" t="s">
        <v>2548</v>
      </c>
      <c r="F104" s="4" t="s">
        <v>230</v>
      </c>
      <c r="G104" s="4" t="s">
        <v>2884</v>
      </c>
      <c r="H104" s="7" t="s">
        <v>2885</v>
      </c>
      <c r="I104" s="4" t="s">
        <v>715</v>
      </c>
      <c r="J104" s="139"/>
      <c r="K104" s="140" t="s">
        <v>2886</v>
      </c>
    </row>
    <row r="105" spans="1:11" ht="17.25" customHeight="1">
      <c r="A105" s="319"/>
      <c r="B105" s="310"/>
      <c r="C105" s="13">
        <f t="shared" si="1"/>
        <v>46084</v>
      </c>
      <c r="D105" s="4" t="s">
        <v>1387</v>
      </c>
      <c r="E105" s="11" t="s">
        <v>2698</v>
      </c>
      <c r="F105" s="4">
        <v>72</v>
      </c>
      <c r="G105" s="4" t="s">
        <v>2887</v>
      </c>
      <c r="H105" s="4" t="s">
        <v>2661</v>
      </c>
      <c r="I105" s="4" t="s">
        <v>2888</v>
      </c>
      <c r="J105" s="139" t="s">
        <v>2889</v>
      </c>
      <c r="K105" s="140" t="s">
        <v>2890</v>
      </c>
    </row>
    <row r="106" spans="1:11" ht="17.25" customHeight="1">
      <c r="A106" s="319"/>
      <c r="B106" s="310"/>
      <c r="C106" s="13">
        <f t="shared" si="1"/>
        <v>46083</v>
      </c>
      <c r="D106" s="32" t="s">
        <v>1387</v>
      </c>
      <c r="E106" s="11" t="s">
        <v>2830</v>
      </c>
      <c r="F106" s="4" t="s">
        <v>2867</v>
      </c>
      <c r="H106" s="4" t="s">
        <v>2632</v>
      </c>
      <c r="I106" s="4" t="s">
        <v>2891</v>
      </c>
    </row>
    <row r="107" spans="1:11" ht="17.25" customHeight="1">
      <c r="A107" s="319"/>
      <c r="B107" s="310"/>
      <c r="C107" s="13">
        <f t="shared" si="1"/>
        <v>46094</v>
      </c>
      <c r="D107" s="32" t="s">
        <v>1387</v>
      </c>
      <c r="E107" s="11" t="s">
        <v>2825</v>
      </c>
      <c r="F107" s="4" t="s">
        <v>396</v>
      </c>
      <c r="H107" s="4" t="s">
        <v>2674</v>
      </c>
      <c r="I107" s="4" t="s">
        <v>2892</v>
      </c>
    </row>
    <row r="108" spans="1:11" ht="17.25" customHeight="1">
      <c r="A108" s="319"/>
      <c r="B108" s="310"/>
      <c r="C108" s="13">
        <f t="shared" si="1"/>
        <v>46092</v>
      </c>
      <c r="D108" s="32" t="s">
        <v>1387</v>
      </c>
      <c r="E108" s="11" t="s">
        <v>2822</v>
      </c>
      <c r="F108" s="4" t="s">
        <v>2544</v>
      </c>
      <c r="H108" s="4" t="s">
        <v>2674</v>
      </c>
      <c r="I108" s="4" t="s">
        <v>2893</v>
      </c>
    </row>
    <row r="109" spans="1:11" ht="17.25" customHeight="1">
      <c r="A109" s="319"/>
      <c r="B109" s="310"/>
      <c r="C109" s="13" t="e">
        <f t="shared" si="1"/>
        <v>#N/A</v>
      </c>
    </row>
    <row r="110" spans="1:11" ht="17.25" customHeight="1">
      <c r="A110" s="319"/>
      <c r="B110" s="310"/>
      <c r="C110" s="13" t="e">
        <f t="shared" si="1"/>
        <v>#N/A</v>
      </c>
    </row>
    <row r="111" spans="1:11" ht="17.25" customHeight="1">
      <c r="A111" s="319"/>
      <c r="B111" s="310"/>
      <c r="C111" s="13" t="e">
        <f t="shared" si="1"/>
        <v>#N/A</v>
      </c>
    </row>
    <row r="112" spans="1:11" ht="17.25" customHeight="1">
      <c r="A112" s="319"/>
      <c r="B112" s="310"/>
      <c r="C112" s="13" t="e">
        <f t="shared" si="1"/>
        <v>#N/A</v>
      </c>
    </row>
    <row r="113" spans="1:3" ht="17.25" customHeight="1">
      <c r="A113" s="319"/>
      <c r="B113" s="310"/>
      <c r="C113" s="13" t="e">
        <f t="shared" si="1"/>
        <v>#N/A</v>
      </c>
    </row>
    <row r="114" spans="1:3" ht="17.25" customHeight="1">
      <c r="A114" s="319"/>
      <c r="B114" s="310"/>
      <c r="C114" s="13" t="e">
        <f t="shared" si="1"/>
        <v>#N/A</v>
      </c>
    </row>
    <row r="115" spans="1:3" ht="17.25" customHeight="1">
      <c r="A115" s="8"/>
      <c r="B115" s="327"/>
      <c r="C115" s="13" t="e">
        <f t="shared" si="1"/>
        <v>#N/A</v>
      </c>
    </row>
    <row r="116" spans="1:3" ht="17.25" customHeight="1">
      <c r="A116" s="319"/>
      <c r="B116" s="310"/>
      <c r="C116" s="13" t="e">
        <f t="shared" si="1"/>
        <v>#N/A</v>
      </c>
    </row>
    <row r="117" spans="1:3" ht="17.25" customHeight="1">
      <c r="A117" s="319"/>
      <c r="B117" s="310"/>
      <c r="C117" s="13" t="e">
        <f t="shared" si="1"/>
        <v>#N/A</v>
      </c>
    </row>
    <row r="118" spans="1:3" ht="17.25" customHeight="1">
      <c r="A118" s="319"/>
      <c r="B118" s="310"/>
      <c r="C118" s="13" t="e">
        <f t="shared" si="1"/>
        <v>#N/A</v>
      </c>
    </row>
    <row r="119" spans="1:3" ht="17.25" customHeight="1">
      <c r="A119" s="319"/>
      <c r="B119" s="310"/>
      <c r="C119" s="13" t="e">
        <f t="shared" si="1"/>
        <v>#N/A</v>
      </c>
    </row>
    <row r="120" spans="1:3" ht="17.25" customHeight="1">
      <c r="A120" s="319"/>
      <c r="B120" s="310"/>
      <c r="C120" s="13" t="e">
        <f t="shared" si="1"/>
        <v>#N/A</v>
      </c>
    </row>
    <row r="121" spans="1:3" ht="17.25" customHeight="1">
      <c r="A121" s="319"/>
      <c r="B121" s="310"/>
      <c r="C121" s="13" t="e">
        <f t="shared" si="1"/>
        <v>#N/A</v>
      </c>
    </row>
    <row r="122" spans="1:3" ht="17.25" customHeight="1">
      <c r="A122" s="319"/>
      <c r="B122" s="310"/>
      <c r="C122" s="13" t="e">
        <f t="shared" si="1"/>
        <v>#N/A</v>
      </c>
    </row>
    <row r="123" spans="1:3" ht="17.25" customHeight="1">
      <c r="A123" s="319"/>
      <c r="B123" s="310"/>
      <c r="C123" s="13" t="e">
        <f t="shared" si="1"/>
        <v>#N/A</v>
      </c>
    </row>
    <row r="124" spans="1:3" ht="17.25" customHeight="1">
      <c r="A124" s="319"/>
      <c r="B124" s="310"/>
      <c r="C124" s="13" t="e">
        <f t="shared" si="1"/>
        <v>#N/A</v>
      </c>
    </row>
    <row r="125" spans="1:3" ht="17.25" customHeight="1">
      <c r="C125" s="13" t="e">
        <f t="shared" si="1"/>
        <v>#N/A</v>
      </c>
    </row>
    <row r="126" spans="1:3" ht="17.25" customHeight="1">
      <c r="A126" s="323"/>
      <c r="B126" s="324"/>
      <c r="C126" s="13" t="e">
        <f t="shared" si="1"/>
        <v>#N/A</v>
      </c>
    </row>
    <row r="127" spans="1:3" ht="17.25" customHeight="1">
      <c r="C127" s="13" t="e">
        <f t="shared" si="1"/>
        <v>#N/A</v>
      </c>
    </row>
    <row r="128" spans="1:3" ht="17.25" customHeight="1">
      <c r="A128" s="323"/>
      <c r="B128" s="324"/>
      <c r="C128" s="13" t="e">
        <f t="shared" si="1"/>
        <v>#N/A</v>
      </c>
    </row>
    <row r="129" spans="1:3" ht="17.25" customHeight="1">
      <c r="A129" s="319"/>
      <c r="B129" s="310"/>
      <c r="C129" s="13" t="e">
        <f t="shared" si="1"/>
        <v>#N/A</v>
      </c>
    </row>
    <row r="130" spans="1:3" ht="17.25" customHeight="1">
      <c r="A130" s="323"/>
      <c r="B130" s="324"/>
      <c r="C130" s="13" t="e">
        <f t="shared" si="1"/>
        <v>#N/A</v>
      </c>
    </row>
    <row r="131" spans="1:3" ht="17.25" customHeight="1">
      <c r="C131" s="13" t="e">
        <f t="shared" si="1"/>
        <v>#N/A</v>
      </c>
    </row>
    <row r="132" spans="1:3" ht="17.25" customHeight="1">
      <c r="A132" s="323"/>
      <c r="B132" s="324"/>
      <c r="C132" s="13" t="e">
        <f t="shared" ref="C132:C141" si="2" xml:space="preserve"> VLOOKUP(E132, $A$2:$E$822, 2, FALSE)</f>
        <v>#N/A</v>
      </c>
    </row>
    <row r="133" spans="1:3" ht="17.25" customHeight="1">
      <c r="A133" s="323"/>
      <c r="B133" s="324"/>
      <c r="C133" s="13" t="e">
        <f t="shared" si="2"/>
        <v>#N/A</v>
      </c>
    </row>
    <row r="134" spans="1:3" ht="17.25" customHeight="1">
      <c r="A134" s="323"/>
      <c r="B134" s="324"/>
      <c r="C134" s="13" t="e">
        <f t="shared" si="2"/>
        <v>#N/A</v>
      </c>
    </row>
    <row r="135" spans="1:3" ht="17.25" customHeight="1">
      <c r="C135" s="13" t="e">
        <f t="shared" si="2"/>
        <v>#N/A</v>
      </c>
    </row>
    <row r="136" spans="1:3" ht="17.25" customHeight="1">
      <c r="C136" s="13" t="e">
        <f t="shared" si="2"/>
        <v>#N/A</v>
      </c>
    </row>
    <row r="137" spans="1:3" ht="17.25" customHeight="1">
      <c r="A137" s="319"/>
      <c r="B137" s="310"/>
      <c r="C137" s="13" t="e">
        <f t="shared" si="2"/>
        <v>#N/A</v>
      </c>
    </row>
    <row r="138" spans="1:3" ht="17.25" customHeight="1">
      <c r="A138" s="319"/>
      <c r="B138" s="310"/>
      <c r="C138" s="13" t="e">
        <f t="shared" si="2"/>
        <v>#N/A</v>
      </c>
    </row>
    <row r="139" spans="1:3" ht="17.25" customHeight="1">
      <c r="C139" s="13" t="e">
        <f t="shared" si="2"/>
        <v>#N/A</v>
      </c>
    </row>
    <row r="140" spans="1:3" ht="17.25" customHeight="1">
      <c r="C140" s="13" t="e">
        <f t="shared" si="2"/>
        <v>#N/A</v>
      </c>
    </row>
    <row r="141" spans="1:3" ht="17.25" customHeight="1">
      <c r="C141" s="13" t="e">
        <f t="shared" si="2"/>
        <v>#N/A</v>
      </c>
    </row>
  </sheetData>
  <autoFilter ref="A1:K136" xr:uid="{00000000-0001-0000-0400-000000000000}">
    <filterColumn colId="9" showButton="0"/>
    <sortState xmlns:xlrd2="http://schemas.microsoft.com/office/spreadsheetml/2017/richdata2" ref="A2:K136">
      <sortCondition descending="1" ref="D1:D136"/>
    </sortState>
  </autoFilter>
  <mergeCells count="1">
    <mergeCell ref="J1:K1"/>
  </mergeCells>
  <conditionalFormatting sqref="E1 D3:E884">
    <cfRule type="expression" dxfId="1657" priority="740">
      <formula>$D1="01.2 A REMONTER"</formula>
    </cfRule>
  </conditionalFormatting>
  <conditionalFormatting sqref="E1 D3:E884">
    <cfRule type="expression" dxfId="1656" priority="721">
      <formula>$D1="13 ETAT 5"</formula>
    </cfRule>
  </conditionalFormatting>
  <conditionalFormatting sqref="E1 D3:E884">
    <cfRule type="expression" dxfId="1655" priority="6">
      <formula>$D1="06 AT DEVIS CLIENT"</formula>
    </cfRule>
  </conditionalFormatting>
  <conditionalFormatting sqref="E1 D3:E884">
    <cfRule type="expression" dxfId="1654" priority="12">
      <formula>$D1="11 AT DTA"</formula>
    </cfRule>
  </conditionalFormatting>
  <conditionalFormatting sqref="E1 D3:E884">
    <cfRule type="expression" dxfId="1653" priority="7">
      <formula>$D1="07 AT TRVX CLIENT"</formula>
    </cfRule>
  </conditionalFormatting>
  <conditionalFormatting sqref="E1 D3:E884">
    <cfRule type="expression" dxfId="1652" priority="2">
      <formula>$D1="16 DOSSIER PAYE"</formula>
    </cfRule>
    <cfRule type="expression" dxfId="1651" priority="730">
      <formula>$D1="15 POI FACTU"</formula>
    </cfRule>
  </conditionalFormatting>
  <conditionalFormatting sqref="E1 D3:E884">
    <cfRule type="expression" dxfId="1650" priority="724">
      <formula>$D1="14 POI EN TRAVAUX"</formula>
    </cfRule>
  </conditionalFormatting>
  <conditionalFormatting sqref="E1 D3:E884">
    <cfRule type="expression" dxfId="1649" priority="10">
      <formula>$D1="10 AT PV"</formula>
    </cfRule>
  </conditionalFormatting>
  <conditionalFormatting sqref="E1 D3:E884">
    <cfRule type="expression" dxfId="1648" priority="5">
      <formula>$D1="04 DOSSIER A MONTER"</formula>
    </cfRule>
  </conditionalFormatting>
  <conditionalFormatting sqref="E1 D3:E884">
    <cfRule type="expression" dxfId="1647" priority="736">
      <formula>$D1="03 DOSSIER A REPRENDRE"</formula>
    </cfRule>
  </conditionalFormatting>
  <conditionalFormatting sqref="E1 D3:E884">
    <cfRule type="expression" dxfId="1646" priority="3">
      <formula>$D1="09 AT DEVIS ORANGE/RIP"</formula>
    </cfRule>
    <cfRule type="expression" dxfId="1645" priority="737">
      <formula>$D1="09 AT DEVIS ORANGE/RIP"</formula>
    </cfRule>
  </conditionalFormatting>
  <conditionalFormatting sqref="E1 D3:E884">
    <cfRule type="expression" dxfId="1644" priority="738">
      <formula>$D1="05 AT INFO CAF REF"</formula>
    </cfRule>
  </conditionalFormatting>
  <conditionalFormatting sqref="E1 D3:E884">
    <cfRule type="expression" dxfId="1643" priority="739">
      <formula>$D1="02 RETOUR VT"</formula>
    </cfRule>
  </conditionalFormatting>
  <conditionalFormatting sqref="C3:C906">
    <cfRule type="cellIs" dxfId="1642" priority="123" operator="lessThan">
      <formula>$A$1</formula>
    </cfRule>
  </conditionalFormatting>
  <conditionalFormatting sqref="C3:C906">
    <cfRule type="containsBlanks" dxfId="1641" priority="121">
      <formula>LEN(TRIM(C3))=0</formula>
    </cfRule>
  </conditionalFormatting>
  <conditionalFormatting sqref="C3:C906">
    <cfRule type="cellIs" dxfId="1640" priority="122" operator="equal">
      <formula>$A$1</formula>
    </cfRule>
  </conditionalFormatting>
  <conditionalFormatting sqref="E1 D3:E884">
    <cfRule type="expression" dxfId="1639" priority="725">
      <formula>$D1="14.1 AT RETOUR DOE"</formula>
    </cfRule>
  </conditionalFormatting>
  <conditionalFormatting sqref="E1 D3:E884">
    <cfRule type="expression" dxfId="1638" priority="14">
      <formula>$D1="12 AT MAJ SI"</formula>
    </cfRule>
  </conditionalFormatting>
  <conditionalFormatting sqref="E1 D3:E884">
    <cfRule type="expression" dxfId="1637" priority="9">
      <formula>$D1="08 AT COMAC/CAPFT"</formula>
    </cfRule>
  </conditionalFormatting>
  <conditionalFormatting sqref="E1:E1048576">
    <cfRule type="duplicateValues" dxfId="1636" priority="1" stopIfTrue="1"/>
  </conditionalFormatting>
  <dataValidations count="1">
    <dataValidation allowBlank="1" showInputMessage="1" showErrorMessage="1" sqref="J1:J2 K2 F1:G2 F104:H105 F97:G1048576 H98:H1048576 J3:K48 F3:F96 H3:H96 G3:G12 G14:G96" xr:uid="{00000000-0002-0000-0400-000008000000}"/>
  </dataValidations>
  <hyperlinks>
    <hyperlink ref="E16" r:id="rId1" xr:uid="{00000000-0004-0000-0400-000001000000}"/>
    <hyperlink ref="E50" r:id="rId2" xr:uid="{00000000-0004-0000-0400-000002000000}"/>
    <hyperlink ref="E14" r:id="rId3" xr:uid="{00000000-0004-0000-0400-000003000000}"/>
    <hyperlink ref="E56" r:id="rId4" xr:uid="{00000000-0004-0000-0400-000005000000}"/>
    <hyperlink ref="E86" r:id="rId5" xr:uid="{00000000-0004-0000-0400-000007000000}"/>
    <hyperlink ref="E77" r:id="rId6" xr:uid="{00000000-0004-0000-0400-00000D000000}"/>
    <hyperlink ref="E93" r:id="rId7" xr:uid="{00000000-0004-0000-0400-000015000000}"/>
    <hyperlink ref="E96" r:id="rId8" xr:uid="{00000000-0004-0000-0400-000018000000}"/>
    <hyperlink ref="E53" r:id="rId9" xr:uid="{00000000-0004-0000-0400-00001E000000}"/>
    <hyperlink ref="E78" r:id="rId10" xr:uid="{00000000-0004-0000-0400-000022000000}"/>
    <hyperlink ref="E5" r:id="rId11" xr:uid="{00000000-0004-0000-0400-000028000000}"/>
    <hyperlink ref="E22" r:id="rId12" xr:uid="{00000000-0004-0000-0400-000029000000}"/>
    <hyperlink ref="E51" r:id="rId13" xr:uid="{00000000-0004-0000-0400-000032000000}"/>
    <hyperlink ref="E15" r:id="rId14" xr:uid="{00000000-0004-0000-0400-00003D000000}"/>
    <hyperlink ref="E13" r:id="rId15" xr:uid="{00000000-0004-0000-0400-000055000000}"/>
    <hyperlink ref="E12" r:id="rId16" xr:uid="{2D2EDA67-7A24-44FC-A39E-38228009EA5B}"/>
    <hyperlink ref="E85" r:id="rId17" xr:uid="{00000000-0004-0000-0400-00002C000000}"/>
    <hyperlink ref="E17" r:id="rId18" xr:uid="{AB50A3E3-369F-4EA0-9C7E-CA1A98E88AD1}"/>
    <hyperlink ref="E47" r:id="rId19" xr:uid="{BEB0C55F-D2E8-4A39-841E-10E9D54EA2C4}"/>
    <hyperlink ref="E84" r:id="rId20" xr:uid="{00000000-0004-0000-0400-000054000000}"/>
    <hyperlink ref="E54" r:id="rId21" xr:uid="{00000000-0004-0000-0400-000010000000}"/>
    <hyperlink ref="E49" r:id="rId22" xr:uid="{C1FF0BFF-E3F0-4CA5-8F4C-9666D519DE99}"/>
    <hyperlink ref="E18" r:id="rId23" xr:uid="{A5D3A01D-5676-49DC-89F9-A74E555E265E}"/>
    <hyperlink ref="E68" r:id="rId24" xr:uid="{57EEF62A-7F58-449A-9114-F7C97812C49E}"/>
    <hyperlink ref="E70" r:id="rId25" xr:uid="{998DC5DE-8541-41A8-8656-68DE712F7C6D}"/>
    <hyperlink ref="E10" r:id="rId26" xr:uid="{556D2DBE-4304-4F55-BBC7-FA41225BFB9A}"/>
    <hyperlink ref="E9" r:id="rId27" xr:uid="{23DC32D9-AD5B-4C78-9CF2-D3718D1BCA0D}"/>
    <hyperlink ref="E44" r:id="rId28" xr:uid="{A052D7A4-AA63-4F4A-9377-E43A1BB6A0F0}"/>
    <hyperlink ref="E4" r:id="rId29" xr:uid="{28E35D5B-A527-4CD3-A64A-FD67C926F4E8}"/>
    <hyperlink ref="E45" r:id="rId30" xr:uid="{3DF22F49-17B0-42F2-9755-E3EF4F2F6F25}"/>
    <hyperlink ref="E57" r:id="rId31" xr:uid="{00000000-0004-0000-0200-000002000000}"/>
    <hyperlink ref="E58" r:id="rId32" xr:uid="{00000000-0004-0000-0200-000003000000}"/>
    <hyperlink ref="E104" r:id="rId33" xr:uid="{00000000-0004-0000-0200-000012000000}"/>
    <hyperlink ref="E19" r:id="rId34" xr:uid="{00000000-0004-0000-0200-000006000000}"/>
    <hyperlink ref="E99" r:id="rId35" xr:uid="{00000000-0004-0000-0200-000010000000}"/>
    <hyperlink ref="E11" r:id="rId36" xr:uid="{6CE0238E-D278-437C-B72C-503536017481}"/>
    <hyperlink ref="E32" r:id="rId37" xr:uid="{00000000-0004-0000-0400-00002D000000}"/>
    <hyperlink ref="E75" r:id="rId38" xr:uid="{0A817940-512F-4599-8AF2-6B8792C9DA6C}"/>
    <hyperlink ref="E52" r:id="rId39" xr:uid="{00000000-0004-0000-0400-00001F000000}"/>
    <hyperlink ref="E79" r:id="rId40" xr:uid="{00000000-0004-0000-0400-000021000000}"/>
    <hyperlink ref="E74" r:id="rId41" xr:uid="{2A9C62D1-31EC-4E64-9F78-9A0E03C67984}"/>
    <hyperlink ref="E24" r:id="rId42" xr:uid="{75E0C07D-978A-4A7C-88B8-64ECBFC69D99}"/>
    <hyperlink ref="E7" r:id="rId43" xr:uid="{6E164720-3BA9-4A0C-9EB8-C8182B8D1672}"/>
    <hyperlink ref="E46" r:id="rId44" xr:uid="{39C41509-63EE-4A11-9EF0-2431D4CD7DF7}"/>
    <hyperlink ref="E71" r:id="rId45" xr:uid="{8924131B-32A6-4E51-AB8C-605FD104141C}"/>
    <hyperlink ref="E72" r:id="rId46" xr:uid="{C2D4C60F-53E6-4EA9-8513-121D478B40BF}"/>
    <hyperlink ref="E63" r:id="rId47" xr:uid="{5B108B63-0462-452A-B16B-C34778862270}"/>
    <hyperlink ref="E41" r:id="rId48" xr:uid="{BDF6BFED-C019-4878-9FA7-168FC0F474A2}"/>
    <hyperlink ref="E89" r:id="rId49" xr:uid="{220F578F-6F21-45FD-BCFB-0A9671BCAEFB}"/>
    <hyperlink ref="E26" r:id="rId50" xr:uid="{80B9C9E5-AFE0-4FCE-9047-8DDB3FF04C58}"/>
    <hyperlink ref="E88" r:id="rId51" xr:uid="{419A3E3D-339B-4EF4-9599-27EC02193DCB}"/>
    <hyperlink ref="E23" r:id="rId52" xr:uid="{02EED202-E542-4B1B-A585-57203B869DA6}"/>
    <hyperlink ref="E27" r:id="rId53" xr:uid="{4B080F95-C7AC-49A7-ABA1-0CD8857AF152}"/>
    <hyperlink ref="E25" r:id="rId54" xr:uid="{7A4C24B9-7DC0-41CB-8F0C-85879C7B6EA5}"/>
    <hyperlink ref="E69" r:id="rId55" xr:uid="{B9D4651E-633D-4081-B18D-FCD542F21D33}"/>
    <hyperlink ref="E31" r:id="rId56" xr:uid="{0A859966-E0C5-4C0A-95B0-A15C54B7A80C}"/>
    <hyperlink ref="E83" r:id="rId57" xr:uid="{5B742532-DE08-4525-9128-F33DAF4A02FA}"/>
    <hyperlink ref="E87" r:id="rId58" xr:uid="{FAA71095-B99D-43E6-A99B-7E498BADE33F}"/>
    <hyperlink ref="E97" r:id="rId59" xr:uid="{5D4AB0FE-4926-4E3D-9C6E-2C20DC0D959B}"/>
    <hyperlink ref="E95" r:id="rId60" xr:uid="{363EB602-3F27-49EB-A454-9CD1C6438D40}"/>
    <hyperlink ref="E76" r:id="rId61" xr:uid="{49517C27-B40E-4B0E-A292-B10BCCB71571}"/>
    <hyperlink ref="E55" r:id="rId62" xr:uid="{00000000-0004-0000-0400-00000E000000}"/>
    <hyperlink ref="E40" r:id="rId63" xr:uid="{190C277F-6421-4B14-93C9-EFC3ABF9AEE9}"/>
    <hyperlink ref="E62" r:id="rId64" xr:uid="{3217ECC9-2030-4797-AB9F-67D9D4F879C9}"/>
    <hyperlink ref="E60" r:id="rId65" xr:uid="{577B1065-3EC1-4118-8DFF-F7945256B67D}"/>
    <hyperlink ref="E61" r:id="rId66" xr:uid="{089F6E37-7DE6-4C30-A2E7-E58724D87F13}"/>
    <hyperlink ref="E29" r:id="rId67" xr:uid="{965FC434-AA3A-4129-A5D4-769924CBF933}"/>
    <hyperlink ref="E21" r:id="rId68" xr:uid="{48D14920-13C2-4C70-AC4E-7928C5DBF679}"/>
    <hyperlink ref="E65" r:id="rId69" xr:uid="{8E841FCE-03BE-4916-93CE-2365CC77CF9A}"/>
    <hyperlink ref="E90" r:id="rId70" xr:uid="{63BA8E19-82C0-4499-B446-875657475F75}"/>
    <hyperlink ref="E42" r:id="rId71" xr:uid="{177BF119-62D2-4C1B-85A2-A7DF5D995776}"/>
    <hyperlink ref="E91" r:id="rId72" xr:uid="{5B26D6D3-ABCF-443E-98EB-B4B3EFD5B540}"/>
    <hyperlink ref="E80" r:id="rId73" xr:uid="{E7EABC76-FF38-4B11-9068-EDD61101CF28}"/>
    <hyperlink ref="E73" r:id="rId74" xr:uid="{41CA96AB-9C24-4099-8262-D17F0BA71F80}"/>
    <hyperlink ref="E30" r:id="rId75" xr:uid="{5DC56D88-B328-418F-B8CE-53D5B5691C0D}"/>
    <hyperlink ref="E33" r:id="rId76" xr:uid="{8B1A69F4-003C-4CD8-8E4C-54C1634171E7}"/>
    <hyperlink ref="E34" r:id="rId77" xr:uid="{AB43D720-5008-4188-9E87-ECD8A280B2E0}"/>
    <hyperlink ref="E101" r:id="rId78" xr:uid="{D3152873-DFE7-4533-ADE2-EF73AB90E3EC}"/>
    <hyperlink ref="E39" r:id="rId79" xr:uid="{7B27EF1B-9B74-479C-B4D3-C807EB36AA6A}"/>
    <hyperlink ref="E105" r:id="rId80" xr:uid="{44887D54-CA44-49B5-A47A-268FF27F437F}"/>
    <hyperlink ref="E64" r:id="rId81" xr:uid="{A7D7C0F0-A052-4C01-8F1C-E2A008A32C0B}"/>
    <hyperlink ref="E43" r:id="rId82" xr:uid="{4B021DC0-DB84-490A-BBC4-3B549471F4CF}"/>
    <hyperlink ref="E35" r:id="rId83" xr:uid="{695238EC-3F7F-4DA0-AB7B-1EC5C478072E}"/>
    <hyperlink ref="E100" r:id="rId84" xr:uid="{7C6018D3-DCEE-4DE7-8F84-B610F76BD169}"/>
    <hyperlink ref="E81" r:id="rId85" xr:uid="{BB9CCC22-9413-45A5-B0FF-7EBEBC1466DD}"/>
    <hyperlink ref="E67" r:id="rId86" xr:uid="{94E0F6A9-AF3E-4FFD-B1FA-B22F749EE238}"/>
    <hyperlink ref="E38" r:id="rId87" xr:uid="{F06451C0-8599-49FF-B346-50C5E0A678CC}"/>
    <hyperlink ref="E102" r:id="rId88" xr:uid="{D1413BB4-1178-4FD3-8D6B-5FD6FAC386CA}"/>
    <hyperlink ref="E82" r:id="rId89" xr:uid="{5C195114-4589-44D1-B681-164363F15F72}"/>
    <hyperlink ref="E92" r:id="rId90" xr:uid="{4D575105-0E1C-433F-80C3-4493ABFAA733}"/>
    <hyperlink ref="E66" r:id="rId91" xr:uid="{629FF1CA-2104-44EE-A32A-C5043B740BFF}"/>
    <hyperlink ref="E28" r:id="rId92" xr:uid="{09D8CF13-D302-4E36-960C-C43135BDB678}"/>
    <hyperlink ref="E103" r:id="rId93" xr:uid="{44291FAB-3109-4FDF-BB35-30C3CCC280B9}"/>
    <hyperlink ref="E94" r:id="rId94" xr:uid="{F6A987BB-C9FA-42B5-8EE4-3C6946851A0A}"/>
    <hyperlink ref="E98" r:id="rId95" xr:uid="{153E35EB-F03A-4695-95E0-F9A8E6221982}"/>
    <hyperlink ref="E107" r:id="rId96" xr:uid="{8117AF84-ACAF-4F52-97DD-D7CAF05F44EB}"/>
    <hyperlink ref="E106" r:id="rId97" xr:uid="{98D49C42-FDDC-4657-9644-2F50670D8757}"/>
    <hyperlink ref="E108" r:id="rId98" xr:uid="{A656CEF7-2650-4140-ACFA-3F56EC5FD009}"/>
  </hyperlinks>
  <pageMargins left="0.7" right="0.7" top="0.75" bottom="0.75" header="0.3" footer="0.3"/>
  <drawing r:id="rId99"/>
  <legacyDrawing r:id="rId100"/>
  <extLst>
    <ext xmlns:x14="http://schemas.microsoft.com/office/spreadsheetml/2009/9/main" uri="{CCE6A557-97BC-4b89-ADB6-D9C93CAAB3DF}">
      <x14:dataValidations xmlns:xm="http://schemas.microsoft.com/office/excel/2006/main" count="2">
        <x14:dataValidation type="list" allowBlank="1" showInputMessage="1" showErrorMessage="1" xr:uid="{1465D7D9-9334-44F1-8FE3-1D6B338A808A}">
          <x14:formula1>
            <xm:f>Feuil2!$A$1:$A$18</xm:f>
          </x14:formula1>
          <xm:sqref>D1:D2</xm:sqref>
        </x14:dataValidation>
        <x14:dataValidation type="list" allowBlank="1" showInputMessage="1" showErrorMessage="1" xr:uid="{A335D9A0-D36E-4678-AE8F-2512D482CA90}">
          <x14:formula1>
            <xm:f>Feuil2!$A$1:$A$26</xm:f>
          </x14:formula1>
          <xm:sqref>D3:D1048576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U3"/>
  <sheetViews>
    <sheetView zoomScaleNormal="100" workbookViewId="0">
      <selection activeCell="K6" sqref="K6"/>
    </sheetView>
  </sheetViews>
  <sheetFormatPr defaultColWidth="9.140625" defaultRowHeight="15"/>
  <cols>
    <col min="1" max="11" width="9.140625" style="17"/>
    <col min="12" max="12" width="10.28515625" style="17" bestFit="1" customWidth="1"/>
    <col min="13" max="13" width="11.42578125" style="17" bestFit="1" customWidth="1"/>
    <col min="14" max="16384" width="9.140625" style="17"/>
  </cols>
  <sheetData>
    <row r="1" spans="2:21" ht="13.9" customHeight="1">
      <c r="B1" s="411" t="s">
        <v>2894</v>
      </c>
      <c r="C1" s="411"/>
      <c r="D1" s="411"/>
      <c r="E1" s="411"/>
      <c r="F1" s="411"/>
      <c r="G1" s="411"/>
      <c r="H1" s="411"/>
      <c r="I1" s="411"/>
      <c r="J1" s="411"/>
      <c r="K1" s="411"/>
      <c r="L1" s="411"/>
      <c r="M1" s="411"/>
      <c r="N1" s="411"/>
      <c r="O1" s="411"/>
      <c r="P1" s="411"/>
      <c r="Q1" s="411"/>
      <c r="R1" s="411"/>
      <c r="S1" s="411"/>
      <c r="T1" s="411"/>
      <c r="U1" s="411"/>
    </row>
    <row r="2" spans="2:21" ht="13.9" customHeight="1">
      <c r="B2" s="411"/>
      <c r="C2" s="411"/>
      <c r="D2" s="411"/>
      <c r="E2" s="411"/>
      <c r="F2" s="411"/>
      <c r="G2" s="411"/>
      <c r="H2" s="411"/>
      <c r="I2" s="411"/>
      <c r="J2" s="411"/>
      <c r="K2" s="411"/>
      <c r="L2" s="411"/>
      <c r="M2" s="411"/>
      <c r="N2" s="411"/>
      <c r="O2" s="411"/>
      <c r="P2" s="411"/>
      <c r="Q2" s="411"/>
      <c r="R2" s="411"/>
      <c r="S2" s="411"/>
      <c r="T2" s="411"/>
      <c r="U2" s="411"/>
    </row>
    <row r="3" spans="2:21" ht="13.9" customHeight="1">
      <c r="B3" s="411"/>
      <c r="C3" s="411"/>
      <c r="D3" s="411"/>
      <c r="E3" s="411"/>
      <c r="F3" s="411"/>
      <c r="G3" s="411"/>
      <c r="H3" s="411"/>
      <c r="I3" s="411"/>
      <c r="J3" s="411"/>
      <c r="K3" s="411"/>
      <c r="L3" s="411"/>
      <c r="M3" s="411"/>
      <c r="N3" s="411"/>
      <c r="O3" s="411"/>
      <c r="P3" s="411"/>
      <c r="Q3" s="411"/>
      <c r="R3" s="411"/>
      <c r="S3" s="411"/>
      <c r="T3" s="411"/>
      <c r="U3" s="411"/>
    </row>
  </sheetData>
  <mergeCells count="1">
    <mergeCell ref="B1:U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720A-7BFF-4E87-BDD2-4736BB09BE69}">
  <sheetPr>
    <tabColor theme="9" tint="0.59999389629810485"/>
  </sheetPr>
  <dimension ref="A1:P1048565"/>
  <sheetViews>
    <sheetView workbookViewId="0">
      <pane ySplit="2" topLeftCell="A34" activePane="bottomLeft" state="frozen"/>
      <selection pane="bottomLeft" activeCell="D74" sqref="D74"/>
    </sheetView>
  </sheetViews>
  <sheetFormatPr defaultColWidth="9.140625" defaultRowHeight="15"/>
  <cols>
    <col min="1" max="1" width="24.85546875" style="19" bestFit="1" customWidth="1"/>
    <col min="2" max="2" width="20.85546875" style="19" bestFit="1" customWidth="1"/>
    <col min="3" max="3" width="25.140625" style="19" bestFit="1" customWidth="1"/>
    <col min="4" max="4" width="40.42578125" style="19" bestFit="1" customWidth="1"/>
    <col min="5" max="5" width="12.42578125" style="19" customWidth="1"/>
    <col min="6" max="6" width="10.5703125" style="19" bestFit="1" customWidth="1"/>
    <col min="7" max="7" width="11.140625" style="19" customWidth="1"/>
    <col min="8" max="8" width="11.140625" style="55" customWidth="1"/>
    <col min="9" max="9" width="11.140625" style="338" customWidth="1"/>
    <col min="10" max="10" width="11.140625" style="88" customWidth="1"/>
    <col min="11" max="11" width="11.140625" style="19" bestFit="1" customWidth="1"/>
    <col min="12" max="12" width="14" style="55" bestFit="1" customWidth="1"/>
    <col min="13" max="13" width="18.5703125" style="338" bestFit="1" customWidth="1"/>
    <col min="14" max="14" width="14" style="19" customWidth="1"/>
    <col min="15" max="15" width="14.5703125" style="342" bestFit="1" customWidth="1"/>
    <col min="16" max="16" width="30.140625" style="88" bestFit="1" customWidth="1"/>
    <col min="17" max="16384" width="9.140625" style="20"/>
  </cols>
  <sheetData>
    <row r="1" spans="1:16">
      <c r="A1" s="156">
        <f ca="1">TODAY()</f>
        <v>46076</v>
      </c>
      <c r="B1" s="36">
        <f>COUNTA(B3:B774)</f>
        <v>73</v>
      </c>
      <c r="F1" s="156"/>
      <c r="H1" s="107"/>
      <c r="I1" s="333" t="s">
        <v>2895</v>
      </c>
      <c r="J1" s="334"/>
      <c r="K1" s="334"/>
      <c r="L1" s="335"/>
      <c r="M1" s="412" t="s">
        <v>2896</v>
      </c>
      <c r="N1" s="413"/>
      <c r="O1" s="414"/>
      <c r="P1" s="20"/>
    </row>
    <row r="2" spans="1:16" ht="29.25">
      <c r="A2" s="154" t="s">
        <v>31</v>
      </c>
      <c r="B2" s="154" t="s">
        <v>2897</v>
      </c>
      <c r="C2" s="154" t="s">
        <v>36</v>
      </c>
      <c r="D2" s="154" t="s">
        <v>2898</v>
      </c>
      <c r="E2" s="153" t="s">
        <v>2899</v>
      </c>
      <c r="F2" s="154" t="s">
        <v>2900</v>
      </c>
      <c r="G2" s="154" t="s">
        <v>2901</v>
      </c>
      <c r="H2" s="331" t="s">
        <v>2902</v>
      </c>
      <c r="I2" s="336" t="s">
        <v>2903</v>
      </c>
      <c r="J2" s="415" t="s">
        <v>2904</v>
      </c>
      <c r="K2" s="416"/>
      <c r="L2" s="332" t="s">
        <v>2905</v>
      </c>
      <c r="M2" s="340" t="s">
        <v>2906</v>
      </c>
      <c r="N2" s="155" t="s">
        <v>2907</v>
      </c>
      <c r="O2" s="341" t="s">
        <v>2908</v>
      </c>
      <c r="P2" s="344" t="s">
        <v>2909</v>
      </c>
    </row>
    <row r="3" spans="1:16">
      <c r="A3" s="19" t="s">
        <v>2910</v>
      </c>
      <c r="B3" s="19" t="s">
        <v>2911</v>
      </c>
      <c r="C3" s="19" t="s">
        <v>2912</v>
      </c>
      <c r="D3" s="19" t="s">
        <v>2913</v>
      </c>
      <c r="E3" s="156">
        <v>45755</v>
      </c>
      <c r="F3" s="377"/>
      <c r="G3" s="156">
        <f>E3+14</f>
        <v>45769</v>
      </c>
      <c r="J3" s="156"/>
      <c r="K3" s="156"/>
      <c r="L3" s="339"/>
    </row>
    <row r="4" spans="1:16">
      <c r="A4" s="19" t="s">
        <v>2910</v>
      </c>
      <c r="B4" s="19" t="s">
        <v>2914</v>
      </c>
      <c r="C4" s="19" t="s">
        <v>2912</v>
      </c>
      <c r="D4" s="19" t="s">
        <v>2915</v>
      </c>
      <c r="E4" s="156">
        <v>45658</v>
      </c>
      <c r="F4" s="157"/>
      <c r="G4" s="156">
        <f>E4+14</f>
        <v>45672</v>
      </c>
      <c r="J4" s="156"/>
      <c r="K4" s="156"/>
      <c r="L4" s="339"/>
      <c r="P4" s="88" t="s">
        <v>2916</v>
      </c>
    </row>
    <row r="5" spans="1:16">
      <c r="A5" s="19" t="s">
        <v>2910</v>
      </c>
      <c r="B5" s="19" t="s">
        <v>2917</v>
      </c>
      <c r="C5" s="19" t="s">
        <v>2918</v>
      </c>
      <c r="D5" s="19" t="s">
        <v>2919</v>
      </c>
      <c r="E5" s="156">
        <v>45661</v>
      </c>
      <c r="F5" s="157"/>
      <c r="G5" s="156">
        <f>E5+14</f>
        <v>45675</v>
      </c>
      <c r="J5" s="156"/>
      <c r="K5" s="156"/>
      <c r="L5" s="339"/>
      <c r="P5" s="88" t="s">
        <v>2916</v>
      </c>
    </row>
    <row r="6" spans="1:16">
      <c r="A6" s="19" t="s">
        <v>2910</v>
      </c>
      <c r="B6" s="19" t="s">
        <v>2920</v>
      </c>
      <c r="C6" s="19" t="s">
        <v>2921</v>
      </c>
      <c r="D6" s="19" t="s">
        <v>2922</v>
      </c>
      <c r="E6" s="156">
        <v>45780</v>
      </c>
      <c r="F6" s="157"/>
      <c r="G6" s="156">
        <f>E6+14</f>
        <v>45794</v>
      </c>
      <c r="H6" s="55">
        <v>1080316</v>
      </c>
      <c r="I6" s="337">
        <v>45832</v>
      </c>
      <c r="J6" s="156"/>
      <c r="K6" s="156"/>
      <c r="L6" s="339">
        <v>45910</v>
      </c>
    </row>
    <row r="7" spans="1:16">
      <c r="A7" s="19" t="s">
        <v>2910</v>
      </c>
      <c r="B7" s="19" t="s">
        <v>2923</v>
      </c>
      <c r="C7" s="19" t="s">
        <v>2924</v>
      </c>
      <c r="D7" s="19" t="s">
        <v>2925</v>
      </c>
      <c r="E7" s="156">
        <v>45690</v>
      </c>
      <c r="F7" s="157"/>
      <c r="G7" s="156">
        <f>E7+14</f>
        <v>45704</v>
      </c>
      <c r="I7" s="337">
        <v>45824</v>
      </c>
      <c r="J7" s="156"/>
      <c r="K7" s="156"/>
      <c r="L7" s="339">
        <v>45905</v>
      </c>
      <c r="P7" s="88" t="s">
        <v>2926</v>
      </c>
    </row>
    <row r="8" spans="1:16">
      <c r="A8" s="19" t="s">
        <v>2910</v>
      </c>
      <c r="B8" s="19" t="s">
        <v>2927</v>
      </c>
      <c r="C8" s="19" t="s">
        <v>2928</v>
      </c>
      <c r="D8" s="19" t="s">
        <v>2929</v>
      </c>
      <c r="E8" s="156">
        <v>45887</v>
      </c>
      <c r="F8" s="157"/>
      <c r="G8" s="156">
        <f>E8+14</f>
        <v>45901</v>
      </c>
      <c r="I8" s="337">
        <v>45912</v>
      </c>
      <c r="J8" s="156"/>
      <c r="K8" s="156"/>
      <c r="L8" s="339">
        <v>45926</v>
      </c>
    </row>
    <row r="9" spans="1:16">
      <c r="A9" s="19" t="s">
        <v>2910</v>
      </c>
      <c r="B9" s="19" t="s">
        <v>2930</v>
      </c>
      <c r="C9" s="19" t="s">
        <v>2928</v>
      </c>
      <c r="D9" s="165" t="s">
        <v>2931</v>
      </c>
      <c r="E9" s="165">
        <v>45926</v>
      </c>
      <c r="F9" s="200">
        <v>45936</v>
      </c>
      <c r="G9" s="156">
        <f>E9+14</f>
        <v>45940</v>
      </c>
      <c r="H9" s="55">
        <v>1088187</v>
      </c>
      <c r="I9" s="337">
        <v>45915</v>
      </c>
      <c r="J9" s="156"/>
      <c r="K9" s="156"/>
      <c r="L9" s="339">
        <v>45944</v>
      </c>
      <c r="P9" s="347" t="s">
        <v>2932</v>
      </c>
    </row>
    <row r="10" spans="1:16">
      <c r="A10" s="19" t="s">
        <v>2910</v>
      </c>
      <c r="B10" s="19" t="s">
        <v>2933</v>
      </c>
      <c r="C10" s="19" t="s">
        <v>2934</v>
      </c>
      <c r="D10" s="19" t="s">
        <v>2935</v>
      </c>
      <c r="E10" s="156">
        <v>45658</v>
      </c>
      <c r="F10" s="157"/>
      <c r="G10" s="156">
        <f>E10+14</f>
        <v>45672</v>
      </c>
      <c r="J10" s="156"/>
      <c r="K10" s="156"/>
      <c r="L10" s="339"/>
    </row>
    <row r="11" spans="1:16">
      <c r="A11" s="19" t="s">
        <v>2936</v>
      </c>
      <c r="B11" s="19" t="s">
        <v>2937</v>
      </c>
      <c r="C11" s="19" t="s">
        <v>2924</v>
      </c>
      <c r="D11" s="19" t="s">
        <v>2938</v>
      </c>
      <c r="E11" s="156">
        <v>45658</v>
      </c>
      <c r="F11" s="157"/>
      <c r="G11" s="156">
        <f>E11+14</f>
        <v>45672</v>
      </c>
      <c r="J11" s="156"/>
      <c r="K11" s="156"/>
      <c r="L11" s="339"/>
    </row>
    <row r="12" spans="1:16">
      <c r="A12" s="19" t="s">
        <v>2936</v>
      </c>
      <c r="B12" s="19" t="s">
        <v>2939</v>
      </c>
      <c r="C12" s="19" t="s">
        <v>2940</v>
      </c>
      <c r="D12" s="19" t="s">
        <v>2941</v>
      </c>
      <c r="E12" s="156">
        <v>45658</v>
      </c>
      <c r="F12" s="157"/>
      <c r="G12" s="156">
        <f>E12+14</f>
        <v>45672</v>
      </c>
      <c r="J12" s="156"/>
      <c r="K12" s="156"/>
      <c r="L12" s="339"/>
    </row>
    <row r="13" spans="1:16">
      <c r="A13" s="19" t="s">
        <v>2936</v>
      </c>
      <c r="B13" s="19" t="s">
        <v>2942</v>
      </c>
      <c r="C13" s="19" t="s">
        <v>2835</v>
      </c>
      <c r="D13" s="19" t="s">
        <v>2943</v>
      </c>
      <c r="E13" s="31">
        <v>45866</v>
      </c>
      <c r="F13" s="157"/>
      <c r="G13" s="156">
        <f>E13+14</f>
        <v>45880</v>
      </c>
      <c r="I13" s="337">
        <v>45910</v>
      </c>
      <c r="J13" s="156"/>
      <c r="K13" s="156"/>
      <c r="L13" s="339">
        <v>45926</v>
      </c>
    </row>
    <row r="14" spans="1:16">
      <c r="A14" s="19" t="s">
        <v>2936</v>
      </c>
      <c r="B14" s="19" t="s">
        <v>2944</v>
      </c>
      <c r="C14" s="19" t="s">
        <v>2924</v>
      </c>
      <c r="D14" s="19" t="s">
        <v>2945</v>
      </c>
      <c r="E14" s="156">
        <v>45918</v>
      </c>
      <c r="F14" s="200">
        <v>45932</v>
      </c>
      <c r="G14" s="156">
        <f>E14+14</f>
        <v>45932</v>
      </c>
      <c r="H14" s="55">
        <v>1093487</v>
      </c>
      <c r="I14" s="337">
        <v>45911</v>
      </c>
      <c r="J14" s="156"/>
      <c r="K14" s="156"/>
      <c r="L14" s="339">
        <v>45943</v>
      </c>
    </row>
    <row r="15" spans="1:16">
      <c r="A15" s="19" t="s">
        <v>2936</v>
      </c>
      <c r="B15" s="19" t="s">
        <v>2946</v>
      </c>
      <c r="C15" s="158" t="s">
        <v>2947</v>
      </c>
      <c r="D15" s="19" t="s">
        <v>2948</v>
      </c>
      <c r="E15" s="156">
        <v>45943</v>
      </c>
      <c r="F15" s="200">
        <v>45947</v>
      </c>
      <c r="G15" s="156">
        <f>E15+14</f>
        <v>45957</v>
      </c>
      <c r="I15" s="337">
        <v>45952</v>
      </c>
      <c r="J15" s="156"/>
      <c r="K15" s="156"/>
      <c r="L15" s="339">
        <v>45967</v>
      </c>
    </row>
    <row r="16" spans="1:16">
      <c r="A16" s="19" t="s">
        <v>2936</v>
      </c>
      <c r="B16" s="19" t="s">
        <v>2949</v>
      </c>
      <c r="C16" s="19" t="s">
        <v>2924</v>
      </c>
      <c r="D16" s="19" t="s">
        <v>2950</v>
      </c>
      <c r="E16" s="156">
        <v>45981</v>
      </c>
      <c r="F16" s="200"/>
      <c r="G16" s="156">
        <f>E16+14</f>
        <v>45995</v>
      </c>
      <c r="H16" s="55">
        <v>1096785</v>
      </c>
      <c r="I16" s="337">
        <v>45992</v>
      </c>
      <c r="J16" s="156"/>
      <c r="K16" s="156"/>
      <c r="L16" s="339">
        <v>45995</v>
      </c>
    </row>
    <row r="17" spans="1:16">
      <c r="A17" s="19" t="s">
        <v>2936</v>
      </c>
      <c r="B17" s="19" t="s">
        <v>2951</v>
      </c>
      <c r="C17" s="158" t="s">
        <v>2952</v>
      </c>
      <c r="D17" s="158" t="s">
        <v>2953</v>
      </c>
      <c r="E17" s="156">
        <v>45960</v>
      </c>
      <c r="F17" s="200"/>
      <c r="G17" s="156">
        <f>E17+14</f>
        <v>45974</v>
      </c>
      <c r="H17" s="55">
        <v>1095230</v>
      </c>
      <c r="I17" s="337">
        <v>45978</v>
      </c>
      <c r="J17" s="156"/>
      <c r="K17" s="156"/>
      <c r="L17" s="339">
        <v>45994</v>
      </c>
    </row>
    <row r="18" spans="1:16">
      <c r="A18" s="19" t="s">
        <v>2936</v>
      </c>
      <c r="B18" s="19" t="s">
        <v>2954</v>
      </c>
      <c r="C18" s="19" t="s">
        <v>2955</v>
      </c>
      <c r="D18" s="19" t="s">
        <v>2956</v>
      </c>
      <c r="E18" s="156">
        <v>45876</v>
      </c>
      <c r="F18" s="157"/>
      <c r="G18" s="156">
        <f>E18+14</f>
        <v>45890</v>
      </c>
      <c r="I18" s="337">
        <v>45901</v>
      </c>
      <c r="J18" s="156"/>
      <c r="K18" s="156"/>
      <c r="L18" s="339" t="s">
        <v>2957</v>
      </c>
    </row>
    <row r="19" spans="1:16">
      <c r="A19" s="19" t="s">
        <v>2936</v>
      </c>
      <c r="B19" s="19" t="s">
        <v>2958</v>
      </c>
      <c r="C19" s="19" t="s">
        <v>2959</v>
      </c>
      <c r="D19" s="19" t="s">
        <v>2960</v>
      </c>
      <c r="E19" s="156">
        <v>45936</v>
      </c>
      <c r="F19" s="200">
        <v>45937</v>
      </c>
      <c r="G19" s="156">
        <f>E19+14</f>
        <v>45950</v>
      </c>
      <c r="I19" s="337">
        <v>45950</v>
      </c>
      <c r="J19" s="156"/>
      <c r="K19" s="156"/>
      <c r="L19" s="339">
        <v>45979</v>
      </c>
    </row>
    <row r="20" spans="1:16">
      <c r="A20" s="19" t="s">
        <v>2936</v>
      </c>
      <c r="B20" s="19" t="s">
        <v>2961</v>
      </c>
      <c r="C20" s="19" t="s">
        <v>2962</v>
      </c>
      <c r="D20" s="19" t="s">
        <v>2963</v>
      </c>
      <c r="E20" s="156">
        <v>45866</v>
      </c>
      <c r="F20" s="157"/>
      <c r="G20" s="156">
        <f>E20+14</f>
        <v>45880</v>
      </c>
      <c r="I20" s="337">
        <v>45874</v>
      </c>
      <c r="J20" s="156"/>
      <c r="K20" s="156"/>
      <c r="L20" s="339">
        <v>45911</v>
      </c>
    </row>
    <row r="21" spans="1:16">
      <c r="A21" s="19" t="s">
        <v>2936</v>
      </c>
      <c r="B21" s="19" t="s">
        <v>2964</v>
      </c>
      <c r="C21" s="19" t="s">
        <v>2965</v>
      </c>
      <c r="D21" s="19" t="s">
        <v>2966</v>
      </c>
      <c r="E21" s="156">
        <v>45999</v>
      </c>
      <c r="F21" s="200">
        <v>46003</v>
      </c>
      <c r="G21" s="156">
        <f>E21+14</f>
        <v>46013</v>
      </c>
      <c r="J21" s="156"/>
      <c r="K21" s="156"/>
      <c r="L21" s="339"/>
      <c r="P21" s="348"/>
    </row>
    <row r="22" spans="1:16">
      <c r="A22" s="19" t="s">
        <v>2936</v>
      </c>
      <c r="B22" s="19" t="s">
        <v>2967</v>
      </c>
      <c r="C22" s="19" t="s">
        <v>2921</v>
      </c>
      <c r="D22" s="19" t="s">
        <v>2968</v>
      </c>
      <c r="E22" s="35">
        <v>45742</v>
      </c>
      <c r="F22" s="157"/>
      <c r="G22" s="156">
        <f>E22+14</f>
        <v>45756</v>
      </c>
      <c r="H22" s="55">
        <v>1072498</v>
      </c>
      <c r="I22" s="337">
        <v>45755</v>
      </c>
      <c r="J22" s="156"/>
      <c r="K22" s="156"/>
      <c r="L22" s="339">
        <v>46006</v>
      </c>
      <c r="P22" s="88" t="s">
        <v>2916</v>
      </c>
    </row>
    <row r="23" spans="1:16">
      <c r="A23" s="19" t="s">
        <v>2936</v>
      </c>
      <c r="B23" s="19" t="s">
        <v>2969</v>
      </c>
      <c r="C23" s="19" t="s">
        <v>2947</v>
      </c>
      <c r="D23" s="19" t="s">
        <v>2970</v>
      </c>
      <c r="E23" s="156">
        <v>45988</v>
      </c>
      <c r="F23" s="200"/>
      <c r="G23" s="156">
        <f>E23+14</f>
        <v>46002</v>
      </c>
      <c r="H23" s="55">
        <v>1097537</v>
      </c>
      <c r="I23" s="337">
        <v>45999</v>
      </c>
      <c r="J23" s="156"/>
      <c r="K23" s="156"/>
      <c r="L23" s="339">
        <v>46017</v>
      </c>
    </row>
    <row r="24" spans="1:16">
      <c r="A24" s="19" t="s">
        <v>2936</v>
      </c>
      <c r="B24" s="19" t="s">
        <v>2971</v>
      </c>
      <c r="C24" s="19" t="s">
        <v>2972</v>
      </c>
      <c r="D24" s="19" t="s">
        <v>2973</v>
      </c>
      <c r="F24" s="200">
        <v>46051</v>
      </c>
      <c r="G24" s="156">
        <f>E24+14</f>
        <v>14</v>
      </c>
      <c r="J24" s="19"/>
      <c r="K24" s="156"/>
      <c r="L24" s="339"/>
    </row>
    <row r="25" spans="1:16">
      <c r="A25" s="19" t="s">
        <v>2936</v>
      </c>
      <c r="B25" s="19" t="s">
        <v>2974</v>
      </c>
      <c r="C25" s="19" t="s">
        <v>2536</v>
      </c>
      <c r="D25" s="19" t="s">
        <v>2975</v>
      </c>
      <c r="E25" s="156">
        <v>45905</v>
      </c>
      <c r="F25" s="157"/>
      <c r="G25" s="156">
        <f>E25+14</f>
        <v>45919</v>
      </c>
      <c r="H25" s="55">
        <v>1088223</v>
      </c>
      <c r="I25" s="337">
        <v>45912</v>
      </c>
      <c r="J25" s="156"/>
      <c r="K25" s="156"/>
      <c r="L25" s="339">
        <v>46022</v>
      </c>
      <c r="M25" s="338">
        <v>3069233</v>
      </c>
      <c r="N25" s="268">
        <v>46028</v>
      </c>
      <c r="O25" s="343" t="s">
        <v>2976</v>
      </c>
      <c r="P25" s="348"/>
    </row>
    <row r="26" spans="1:16">
      <c r="A26" s="19" t="s">
        <v>2977</v>
      </c>
      <c r="B26" s="19" t="s">
        <v>2978</v>
      </c>
      <c r="C26" s="19" t="s">
        <v>2918</v>
      </c>
      <c r="D26" s="19" t="s">
        <v>2979</v>
      </c>
      <c r="E26" s="156">
        <v>45658</v>
      </c>
      <c r="F26" s="157"/>
      <c r="G26" s="156">
        <f>E26+14</f>
        <v>45672</v>
      </c>
      <c r="J26" s="156"/>
      <c r="K26" s="156"/>
      <c r="L26" s="339"/>
    </row>
    <row r="27" spans="1:16">
      <c r="A27" s="19" t="s">
        <v>2977</v>
      </c>
      <c r="B27" s="19" t="s">
        <v>2980</v>
      </c>
      <c r="C27" s="19" t="s">
        <v>2918</v>
      </c>
      <c r="D27" s="19" t="s">
        <v>2981</v>
      </c>
      <c r="E27" s="156">
        <v>45938</v>
      </c>
      <c r="F27" s="200">
        <v>45950</v>
      </c>
      <c r="G27" s="156">
        <f>E27+14</f>
        <v>45952</v>
      </c>
      <c r="I27" s="337">
        <v>45952</v>
      </c>
      <c r="J27" s="156"/>
      <c r="K27" s="156"/>
      <c r="L27" s="339">
        <v>45975</v>
      </c>
      <c r="P27" s="348"/>
    </row>
    <row r="28" spans="1:16">
      <c r="A28" s="19" t="s">
        <v>2977</v>
      </c>
      <c r="B28" s="19" t="s">
        <v>2982</v>
      </c>
      <c r="C28" s="362" t="s">
        <v>2972</v>
      </c>
      <c r="D28" s="165" t="s">
        <v>2983</v>
      </c>
      <c r="E28" s="165">
        <v>45924</v>
      </c>
      <c r="F28" s="200">
        <v>45929</v>
      </c>
      <c r="G28" s="156">
        <f>E28+14</f>
        <v>45938</v>
      </c>
      <c r="H28" s="55">
        <v>1086953</v>
      </c>
      <c r="I28" s="337">
        <v>45959</v>
      </c>
      <c r="J28" s="156"/>
      <c r="K28" s="156"/>
      <c r="L28" s="339">
        <v>45975</v>
      </c>
    </row>
    <row r="29" spans="1:16">
      <c r="A29" s="19" t="s">
        <v>2977</v>
      </c>
      <c r="B29" s="19" t="s">
        <v>2984</v>
      </c>
      <c r="C29" s="158" t="s">
        <v>2955</v>
      </c>
      <c r="D29" s="19" t="s">
        <v>2985</v>
      </c>
      <c r="E29" s="156">
        <v>45974</v>
      </c>
      <c r="F29" s="200"/>
      <c r="G29" s="156">
        <f>E29+14</f>
        <v>45988</v>
      </c>
      <c r="H29" s="55">
        <v>1095250</v>
      </c>
      <c r="I29" s="337">
        <v>45978</v>
      </c>
      <c r="J29" s="156"/>
      <c r="K29" s="156"/>
      <c r="L29" s="339">
        <v>45989</v>
      </c>
    </row>
    <row r="30" spans="1:16">
      <c r="A30" s="19" t="s">
        <v>2977</v>
      </c>
      <c r="B30" s="19" t="s">
        <v>2986</v>
      </c>
      <c r="C30" s="19" t="s">
        <v>2959</v>
      </c>
      <c r="D30" s="19" t="s">
        <v>2987</v>
      </c>
      <c r="E30" s="31">
        <v>45825</v>
      </c>
      <c r="F30" s="157"/>
      <c r="G30" s="156">
        <f>E30+14</f>
        <v>45839</v>
      </c>
      <c r="H30" s="55">
        <v>1098250</v>
      </c>
      <c r="I30" s="337">
        <v>46006</v>
      </c>
      <c r="J30" s="156"/>
      <c r="K30" s="156"/>
      <c r="L30" s="339">
        <v>46042</v>
      </c>
    </row>
    <row r="31" spans="1:16">
      <c r="A31" s="19" t="s">
        <v>2988</v>
      </c>
      <c r="B31" s="19" t="s">
        <v>2989</v>
      </c>
      <c r="C31" s="158" t="s">
        <v>2955</v>
      </c>
      <c r="D31" s="158" t="s">
        <v>2990</v>
      </c>
      <c r="E31" s="156">
        <v>45966</v>
      </c>
      <c r="F31" s="200"/>
      <c r="G31" s="156">
        <f>E31+14</f>
        <v>45980</v>
      </c>
      <c r="I31" s="337">
        <v>45978</v>
      </c>
      <c r="J31" s="156"/>
      <c r="K31" s="156"/>
      <c r="L31" s="339" t="s">
        <v>2957</v>
      </c>
    </row>
    <row r="32" spans="1:16">
      <c r="A32" s="19" t="s">
        <v>2988</v>
      </c>
      <c r="B32" s="19" t="s">
        <v>2991</v>
      </c>
      <c r="C32" s="19" t="s">
        <v>2795</v>
      </c>
      <c r="D32" s="19" t="s">
        <v>2992</v>
      </c>
      <c r="E32" s="156">
        <v>45866</v>
      </c>
      <c r="F32" s="157"/>
      <c r="G32" s="156">
        <f>E32+14</f>
        <v>45880</v>
      </c>
      <c r="J32" s="156"/>
      <c r="K32" s="156"/>
      <c r="L32" s="339"/>
      <c r="P32" s="379" t="s">
        <v>2993</v>
      </c>
    </row>
    <row r="33" spans="1:16">
      <c r="A33" s="19" t="s">
        <v>2988</v>
      </c>
      <c r="B33" s="19" t="s">
        <v>2994</v>
      </c>
      <c r="C33" s="19" t="s">
        <v>2947</v>
      </c>
      <c r="D33" s="19" t="s">
        <v>2995</v>
      </c>
      <c r="E33" s="156">
        <v>45658</v>
      </c>
      <c r="F33" s="157"/>
      <c r="G33" s="156">
        <f>E33+14</f>
        <v>45672</v>
      </c>
      <c r="J33" s="156"/>
      <c r="K33" s="156"/>
      <c r="L33" s="339"/>
      <c r="P33" s="330" t="s">
        <v>2993</v>
      </c>
    </row>
    <row r="34" spans="1:16">
      <c r="A34" s="19" t="s">
        <v>2988</v>
      </c>
      <c r="B34" s="19" t="s">
        <v>2996</v>
      </c>
      <c r="C34" s="31" t="s">
        <v>2997</v>
      </c>
      <c r="D34" s="29" t="s">
        <v>2998</v>
      </c>
      <c r="E34" s="31">
        <v>45691</v>
      </c>
      <c r="F34" s="157"/>
      <c r="G34" s="156">
        <f>E34+14</f>
        <v>45705</v>
      </c>
      <c r="H34" s="55">
        <v>1084874</v>
      </c>
      <c r="J34" s="156"/>
      <c r="K34" s="156"/>
      <c r="L34" s="339"/>
      <c r="P34" s="349" t="s">
        <v>2999</v>
      </c>
    </row>
    <row r="35" spans="1:16">
      <c r="A35" s="19" t="s">
        <v>2988</v>
      </c>
      <c r="B35" s="19" t="s">
        <v>3000</v>
      </c>
      <c r="C35" s="19" t="s">
        <v>2955</v>
      </c>
      <c r="D35" s="19" t="s">
        <v>3001</v>
      </c>
      <c r="E35" s="156">
        <v>45658</v>
      </c>
      <c r="F35" s="157"/>
      <c r="G35" s="156">
        <f>E35+14</f>
        <v>45672</v>
      </c>
      <c r="I35" s="337">
        <v>45824</v>
      </c>
      <c r="J35" s="156"/>
      <c r="K35" s="156"/>
      <c r="L35" s="339">
        <v>45975</v>
      </c>
      <c r="P35" s="348" t="s">
        <v>3002</v>
      </c>
    </row>
    <row r="36" spans="1:16">
      <c r="A36" s="19" t="s">
        <v>2988</v>
      </c>
      <c r="B36" s="19" t="s">
        <v>3003</v>
      </c>
      <c r="C36" s="100" t="s">
        <v>2924</v>
      </c>
      <c r="D36" s="19" t="s">
        <v>3004</v>
      </c>
      <c r="E36" s="156">
        <v>45946</v>
      </c>
      <c r="F36" s="157"/>
      <c r="G36" s="156">
        <f>E36+14</f>
        <v>45960</v>
      </c>
      <c r="J36" s="156"/>
      <c r="K36" s="156"/>
      <c r="L36" s="339"/>
      <c r="M36" s="338" t="s">
        <v>3005</v>
      </c>
      <c r="N36" s="268">
        <v>45954</v>
      </c>
      <c r="O36" s="351" t="s">
        <v>2976</v>
      </c>
      <c r="P36" s="348" t="s">
        <v>3002</v>
      </c>
    </row>
    <row r="37" spans="1:16">
      <c r="A37" s="19" t="s">
        <v>2988</v>
      </c>
      <c r="B37" s="19" t="s">
        <v>3006</v>
      </c>
      <c r="C37" s="102" t="s">
        <v>2918</v>
      </c>
      <c r="D37" s="19" t="s">
        <v>3007</v>
      </c>
      <c r="E37" s="156">
        <v>45931</v>
      </c>
      <c r="F37" s="200">
        <v>45937</v>
      </c>
      <c r="G37" s="156">
        <f>E37+14</f>
        <v>45945</v>
      </c>
      <c r="I37" s="337">
        <v>45947</v>
      </c>
      <c r="J37" s="156"/>
      <c r="K37" s="156"/>
      <c r="L37" s="339">
        <v>45938</v>
      </c>
      <c r="M37" s="338" t="s">
        <v>3008</v>
      </c>
      <c r="N37" s="268">
        <v>46020</v>
      </c>
      <c r="O37" s="351" t="s">
        <v>2976</v>
      </c>
      <c r="P37" s="348" t="s">
        <v>3009</v>
      </c>
    </row>
    <row r="38" spans="1:16">
      <c r="A38" s="19" t="s">
        <v>2988</v>
      </c>
      <c r="B38" s="19" t="s">
        <v>3010</v>
      </c>
      <c r="C38" s="102" t="s">
        <v>3011</v>
      </c>
      <c r="D38" s="19" t="s">
        <v>3012</v>
      </c>
      <c r="E38" s="156">
        <v>46027</v>
      </c>
      <c r="F38" s="200"/>
      <c r="G38" s="156">
        <f>E38+14</f>
        <v>46041</v>
      </c>
      <c r="I38" s="337">
        <v>46038</v>
      </c>
      <c r="J38" s="156"/>
      <c r="K38" s="156"/>
      <c r="L38" s="339">
        <v>46057</v>
      </c>
    </row>
    <row r="39" spans="1:16">
      <c r="A39" s="19" t="s">
        <v>2988</v>
      </c>
      <c r="B39" s="19" t="s">
        <v>3013</v>
      </c>
      <c r="C39" s="19" t="s">
        <v>3014</v>
      </c>
      <c r="D39" s="19" t="s">
        <v>3015</v>
      </c>
      <c r="E39" s="31">
        <v>45875</v>
      </c>
      <c r="F39" s="157"/>
      <c r="G39" s="156">
        <f>E39+14</f>
        <v>45889</v>
      </c>
      <c r="I39" s="337">
        <v>45901</v>
      </c>
      <c r="J39" s="156"/>
      <c r="K39" s="156"/>
      <c r="L39" s="339">
        <v>45902</v>
      </c>
      <c r="N39" s="268"/>
      <c r="O39" s="343"/>
      <c r="P39" s="346" t="s">
        <v>3016</v>
      </c>
    </row>
    <row r="40" spans="1:16">
      <c r="A40" s="19" t="s">
        <v>2988</v>
      </c>
      <c r="B40" s="19" t="s">
        <v>3017</v>
      </c>
      <c r="C40" s="19" t="s">
        <v>3018</v>
      </c>
      <c r="D40" s="19" t="s">
        <v>3019</v>
      </c>
      <c r="E40" s="156">
        <v>45964</v>
      </c>
      <c r="F40" s="200"/>
      <c r="G40" s="156">
        <f>E40+14</f>
        <v>45978</v>
      </c>
      <c r="H40" s="55">
        <v>1095238</v>
      </c>
      <c r="I40" s="337">
        <v>45978</v>
      </c>
      <c r="J40" s="156"/>
      <c r="K40" s="156"/>
      <c r="L40" s="339">
        <v>46003</v>
      </c>
      <c r="M40" s="338" t="s">
        <v>3020</v>
      </c>
      <c r="N40" s="268">
        <v>46020</v>
      </c>
      <c r="O40" s="343" t="s">
        <v>2976</v>
      </c>
      <c r="P40" s="348" t="s">
        <v>3002</v>
      </c>
    </row>
    <row r="41" spans="1:16">
      <c r="A41" s="19" t="s">
        <v>2988</v>
      </c>
      <c r="B41" s="19" t="s">
        <v>3021</v>
      </c>
      <c r="C41" s="19" t="s">
        <v>2745</v>
      </c>
      <c r="D41" s="19" t="s">
        <v>3022</v>
      </c>
      <c r="E41" s="156">
        <v>46031</v>
      </c>
      <c r="F41" s="200"/>
      <c r="G41" s="156">
        <f>E41+14</f>
        <v>46045</v>
      </c>
      <c r="J41" s="156"/>
      <c r="K41" s="156"/>
      <c r="P41" s="346" t="s">
        <v>3016</v>
      </c>
    </row>
    <row r="42" spans="1:16">
      <c r="A42" s="19" t="s">
        <v>2988</v>
      </c>
      <c r="B42" s="19" t="s">
        <v>3023</v>
      </c>
      <c r="C42" s="19" t="s">
        <v>3014</v>
      </c>
      <c r="D42" s="19" t="s">
        <v>3024</v>
      </c>
      <c r="E42" s="156">
        <v>45950</v>
      </c>
      <c r="F42" s="200"/>
      <c r="G42" s="156">
        <f>E42+14</f>
        <v>45964</v>
      </c>
      <c r="H42" s="55">
        <v>1101078</v>
      </c>
      <c r="I42" s="337">
        <v>46038</v>
      </c>
      <c r="J42" s="156"/>
      <c r="K42" s="156"/>
      <c r="L42" s="339">
        <v>46050</v>
      </c>
      <c r="P42" s="348" t="s">
        <v>3002</v>
      </c>
    </row>
    <row r="43" spans="1:16">
      <c r="A43" s="19" t="s">
        <v>2988</v>
      </c>
      <c r="B43" s="19" t="s">
        <v>3025</v>
      </c>
      <c r="C43" s="19" t="s">
        <v>2912</v>
      </c>
      <c r="D43" s="19" t="s">
        <v>3026</v>
      </c>
      <c r="E43" s="156">
        <v>45894</v>
      </c>
      <c r="F43" s="157"/>
      <c r="G43" s="156">
        <f>E43+14</f>
        <v>45908</v>
      </c>
      <c r="H43" s="55">
        <v>1088230</v>
      </c>
      <c r="I43" s="337">
        <v>45912</v>
      </c>
      <c r="J43" s="156"/>
      <c r="K43" s="156"/>
      <c r="L43" s="339">
        <v>46037</v>
      </c>
      <c r="M43" s="338">
        <v>3094358</v>
      </c>
      <c r="N43" s="268">
        <v>46038</v>
      </c>
      <c r="O43" s="343" t="s">
        <v>2976</v>
      </c>
      <c r="P43" s="365" t="s">
        <v>3002</v>
      </c>
    </row>
    <row r="44" spans="1:16">
      <c r="A44" s="19" t="s">
        <v>2988</v>
      </c>
      <c r="B44" s="19" t="s">
        <v>3027</v>
      </c>
      <c r="C44" s="19" t="s">
        <v>2921</v>
      </c>
      <c r="D44" s="19" t="s">
        <v>3028</v>
      </c>
      <c r="E44" s="35">
        <v>45633</v>
      </c>
      <c r="F44" s="157"/>
      <c r="G44" s="156">
        <f>E44+14</f>
        <v>45647</v>
      </c>
      <c r="H44" s="55">
        <v>1097780</v>
      </c>
      <c r="I44" s="337">
        <v>45787</v>
      </c>
      <c r="J44" s="156"/>
      <c r="K44" s="156"/>
      <c r="L44" s="339">
        <v>46038</v>
      </c>
      <c r="M44" s="338">
        <v>3094573</v>
      </c>
      <c r="N44" s="268">
        <v>46038</v>
      </c>
      <c r="O44" s="343" t="s">
        <v>2976</v>
      </c>
    </row>
    <row r="45" spans="1:16">
      <c r="A45" s="19" t="s">
        <v>2988</v>
      </c>
      <c r="B45" s="19" t="s">
        <v>3029</v>
      </c>
      <c r="C45" s="19" t="s">
        <v>2955</v>
      </c>
      <c r="D45" s="19" t="s">
        <v>3030</v>
      </c>
      <c r="E45" s="156">
        <v>45658</v>
      </c>
      <c r="F45" s="157"/>
      <c r="G45" s="156">
        <f>E45+14</f>
        <v>45672</v>
      </c>
      <c r="J45" s="156"/>
      <c r="K45" s="156"/>
      <c r="L45" s="339"/>
      <c r="N45" s="268"/>
      <c r="O45" s="351"/>
      <c r="P45" s="346" t="s">
        <v>3016</v>
      </c>
    </row>
    <row r="46" spans="1:16">
      <c r="A46" s="19" t="s">
        <v>3031</v>
      </c>
      <c r="B46" s="19" t="s">
        <v>3032</v>
      </c>
      <c r="C46" s="19" t="s">
        <v>2928</v>
      </c>
      <c r="D46" s="19" t="s">
        <v>3033</v>
      </c>
      <c r="E46" s="31">
        <v>45874</v>
      </c>
      <c r="F46" s="157"/>
      <c r="G46" s="156">
        <f>E46+14</f>
        <v>45888</v>
      </c>
      <c r="H46" s="55">
        <v>1038871</v>
      </c>
      <c r="I46" s="337">
        <v>45901</v>
      </c>
      <c r="J46" s="156"/>
      <c r="K46" s="156"/>
      <c r="L46" s="339">
        <v>45926</v>
      </c>
      <c r="P46" s="88" t="s">
        <v>3034</v>
      </c>
    </row>
    <row r="47" spans="1:16">
      <c r="A47" s="19" t="s">
        <v>3035</v>
      </c>
      <c r="B47" s="19" t="s">
        <v>3036</v>
      </c>
      <c r="C47" s="19" t="s">
        <v>2940</v>
      </c>
      <c r="D47" s="19" t="s">
        <v>3037</v>
      </c>
      <c r="E47" s="156">
        <v>45988</v>
      </c>
      <c r="F47" s="200"/>
      <c r="G47" s="156">
        <f>E47+14</f>
        <v>46002</v>
      </c>
      <c r="H47" s="55">
        <v>1099066</v>
      </c>
      <c r="I47" s="337">
        <v>46014</v>
      </c>
      <c r="J47" s="156"/>
      <c r="K47" s="156"/>
      <c r="L47" s="339">
        <v>46020</v>
      </c>
      <c r="M47" s="338">
        <v>3057191</v>
      </c>
      <c r="N47" s="268">
        <v>46038</v>
      </c>
      <c r="O47" s="343">
        <f>N47+30</f>
        <v>46068</v>
      </c>
    </row>
    <row r="48" spans="1:16">
      <c r="A48" s="19" t="s">
        <v>3035</v>
      </c>
      <c r="B48" s="19" t="s">
        <v>3038</v>
      </c>
      <c r="C48" s="19" t="s">
        <v>3018</v>
      </c>
      <c r="D48" s="19" t="s">
        <v>3039</v>
      </c>
      <c r="E48" s="156">
        <v>45985</v>
      </c>
      <c r="F48" s="200"/>
      <c r="G48" s="156">
        <f>E48+14</f>
        <v>45999</v>
      </c>
      <c r="H48" s="55">
        <v>1096796</v>
      </c>
      <c r="I48" s="337">
        <v>45992</v>
      </c>
      <c r="J48" s="156"/>
      <c r="K48" s="156"/>
      <c r="L48" s="339">
        <v>45999</v>
      </c>
      <c r="M48" s="338" t="s">
        <v>3040</v>
      </c>
      <c r="N48" s="268">
        <v>46020</v>
      </c>
      <c r="O48" s="343">
        <f>N48+30</f>
        <v>46050</v>
      </c>
      <c r="P48" s="366"/>
    </row>
    <row r="49" spans="1:16">
      <c r="A49" s="19" t="s">
        <v>3035</v>
      </c>
      <c r="B49" s="19" t="s">
        <v>3041</v>
      </c>
      <c r="C49" s="102" t="s">
        <v>3042</v>
      </c>
      <c r="D49" s="19" t="s">
        <v>3043</v>
      </c>
      <c r="E49" s="156">
        <v>45988</v>
      </c>
      <c r="F49" s="200"/>
      <c r="G49" s="156">
        <f>E49+14</f>
        <v>46002</v>
      </c>
      <c r="H49" s="55">
        <v>1097544</v>
      </c>
      <c r="I49" s="337">
        <v>46000</v>
      </c>
      <c r="J49" s="156"/>
      <c r="K49" s="156"/>
      <c r="L49" s="339">
        <v>46010</v>
      </c>
      <c r="M49" s="338" t="s">
        <v>3044</v>
      </c>
      <c r="N49" s="156">
        <v>46013</v>
      </c>
      <c r="O49" s="343">
        <f>N49+30</f>
        <v>46043</v>
      </c>
      <c r="P49" s="348"/>
    </row>
    <row r="50" spans="1:16">
      <c r="A50" s="19" t="s">
        <v>3035</v>
      </c>
      <c r="B50" s="19" t="s">
        <v>3045</v>
      </c>
      <c r="C50" s="19" t="s">
        <v>2924</v>
      </c>
      <c r="D50" s="19" t="s">
        <v>3046</v>
      </c>
      <c r="E50" s="156">
        <v>46010</v>
      </c>
      <c r="F50" s="200"/>
      <c r="G50" s="156">
        <f>E50+14</f>
        <v>46024</v>
      </c>
      <c r="I50" s="337">
        <v>46014</v>
      </c>
      <c r="J50" s="156"/>
      <c r="K50" s="156"/>
      <c r="L50" s="339">
        <v>46028</v>
      </c>
      <c r="M50" s="338">
        <v>3073095</v>
      </c>
      <c r="N50" s="268">
        <v>46050</v>
      </c>
      <c r="O50" s="343">
        <f>N50+30</f>
        <v>46080</v>
      </c>
      <c r="P50" s="348"/>
    </row>
    <row r="51" spans="1:16">
      <c r="A51" s="19" t="s">
        <v>3035</v>
      </c>
      <c r="B51" s="19" t="s">
        <v>3047</v>
      </c>
      <c r="C51" s="19" t="s">
        <v>2912</v>
      </c>
      <c r="D51" s="19" t="s">
        <v>3048</v>
      </c>
      <c r="E51" s="156">
        <v>46010</v>
      </c>
      <c r="F51" s="200"/>
      <c r="G51" s="156">
        <f>E51+14</f>
        <v>46024</v>
      </c>
      <c r="H51" s="55">
        <v>1099076</v>
      </c>
      <c r="I51" s="337">
        <v>46014</v>
      </c>
      <c r="J51" s="156"/>
      <c r="K51" s="156"/>
      <c r="L51" s="339">
        <v>46038</v>
      </c>
      <c r="M51" s="338">
        <v>3094416</v>
      </c>
      <c r="N51" s="268">
        <v>46038</v>
      </c>
      <c r="O51" s="343">
        <f>N51+30</f>
        <v>46068</v>
      </c>
    </row>
    <row r="52" spans="1:16">
      <c r="A52" s="19" t="s">
        <v>3035</v>
      </c>
      <c r="B52" s="19" t="s">
        <v>3049</v>
      </c>
      <c r="C52" s="19" t="s">
        <v>3050</v>
      </c>
      <c r="D52" s="19" t="s">
        <v>3051</v>
      </c>
      <c r="E52" s="156">
        <v>46010</v>
      </c>
      <c r="F52" s="200"/>
      <c r="G52" s="156">
        <f>E52+14</f>
        <v>46024</v>
      </c>
      <c r="H52" s="55">
        <v>1099057</v>
      </c>
      <c r="I52" s="337">
        <v>46014</v>
      </c>
      <c r="J52" s="156"/>
      <c r="K52" s="156"/>
      <c r="L52" s="339">
        <v>46043</v>
      </c>
      <c r="M52" s="338">
        <v>3105797</v>
      </c>
      <c r="N52" s="268">
        <v>46044</v>
      </c>
      <c r="O52" s="343">
        <f>N52+30</f>
        <v>46074</v>
      </c>
    </row>
    <row r="53" spans="1:16">
      <c r="A53" s="19" t="s">
        <v>3035</v>
      </c>
      <c r="B53" s="19" t="s">
        <v>3052</v>
      </c>
      <c r="C53" s="102" t="s">
        <v>2940</v>
      </c>
      <c r="D53" s="19" t="s">
        <v>3053</v>
      </c>
      <c r="E53" s="156">
        <v>46000</v>
      </c>
      <c r="F53" s="200"/>
      <c r="G53" s="156">
        <f>E53+14</f>
        <v>46014</v>
      </c>
      <c r="H53" s="55">
        <v>1099079</v>
      </c>
      <c r="I53" s="337">
        <v>46014</v>
      </c>
      <c r="J53" s="350"/>
      <c r="K53" s="156"/>
      <c r="L53" s="339">
        <v>46050</v>
      </c>
      <c r="M53" s="338">
        <v>3158862</v>
      </c>
      <c r="N53" s="156">
        <v>46066</v>
      </c>
      <c r="O53" s="343">
        <f>N53+30</f>
        <v>46096</v>
      </c>
    </row>
    <row r="54" spans="1:16">
      <c r="A54" s="19" t="s">
        <v>3035</v>
      </c>
      <c r="B54" s="19" t="s">
        <v>3054</v>
      </c>
      <c r="C54" s="19" t="s">
        <v>2536</v>
      </c>
      <c r="D54" s="19" t="s">
        <v>3055</v>
      </c>
      <c r="E54" s="156">
        <v>45981</v>
      </c>
      <c r="F54" s="200"/>
      <c r="G54" s="156">
        <f>E54+14</f>
        <v>45995</v>
      </c>
      <c r="H54" s="55">
        <v>1096781</v>
      </c>
      <c r="I54" s="337">
        <v>45992</v>
      </c>
      <c r="J54" s="156"/>
      <c r="K54" s="156"/>
      <c r="L54" s="339">
        <v>46050</v>
      </c>
      <c r="M54" s="338">
        <v>3162230</v>
      </c>
      <c r="N54" s="156">
        <v>46066</v>
      </c>
      <c r="O54" s="343">
        <f>N54+30</f>
        <v>46096</v>
      </c>
    </row>
    <row r="55" spans="1:16">
      <c r="A55" s="19" t="s">
        <v>3035</v>
      </c>
      <c r="B55" s="19" t="s">
        <v>3056</v>
      </c>
      <c r="C55" s="19" t="s">
        <v>3057</v>
      </c>
      <c r="D55" s="19" t="s">
        <v>3058</v>
      </c>
      <c r="E55" s="156">
        <v>46015</v>
      </c>
      <c r="F55" s="200"/>
      <c r="G55" s="156">
        <f>E55+14</f>
        <v>46029</v>
      </c>
      <c r="H55" s="55">
        <v>1100494</v>
      </c>
      <c r="I55" s="337">
        <v>46035</v>
      </c>
      <c r="J55" s="350"/>
      <c r="K55" s="156"/>
      <c r="L55" s="339">
        <v>46050</v>
      </c>
      <c r="M55" s="338">
        <v>3162307</v>
      </c>
      <c r="N55" s="156">
        <v>46066</v>
      </c>
      <c r="O55" s="343">
        <f>N55+30</f>
        <v>46096</v>
      </c>
    </row>
    <row r="56" spans="1:16">
      <c r="A56" s="19" t="s">
        <v>3059</v>
      </c>
      <c r="B56" s="19" t="s">
        <v>3060</v>
      </c>
      <c r="C56" s="158" t="s">
        <v>3061</v>
      </c>
      <c r="D56" s="158" t="s">
        <v>3062</v>
      </c>
      <c r="E56" s="156">
        <v>45951</v>
      </c>
      <c r="F56" s="200">
        <v>45953</v>
      </c>
      <c r="G56" s="156">
        <f>E56+14</f>
        <v>45965</v>
      </c>
      <c r="H56" s="55">
        <v>1094823</v>
      </c>
      <c r="I56" s="337">
        <v>45973</v>
      </c>
      <c r="J56" s="350">
        <v>46043</v>
      </c>
      <c r="K56" s="156">
        <f>J56+15</f>
        <v>46058</v>
      </c>
      <c r="L56" s="339"/>
      <c r="P56" s="88" t="s">
        <v>3063</v>
      </c>
    </row>
    <row r="57" spans="1:16">
      <c r="A57" s="19" t="s">
        <v>3059</v>
      </c>
      <c r="B57" s="19" t="s">
        <v>3064</v>
      </c>
      <c r="C57" s="73" t="s">
        <v>2952</v>
      </c>
      <c r="D57" s="19" t="s">
        <v>3065</v>
      </c>
      <c r="E57" s="156">
        <v>46027</v>
      </c>
      <c r="F57" s="200"/>
      <c r="G57" s="156">
        <f>E57+14</f>
        <v>46041</v>
      </c>
      <c r="H57" s="55">
        <v>1102273</v>
      </c>
      <c r="I57" s="337">
        <v>46050</v>
      </c>
      <c r="J57" s="156">
        <f>I57+15</f>
        <v>46065</v>
      </c>
      <c r="K57" s="156">
        <f>J57+15</f>
        <v>46080</v>
      </c>
    </row>
    <row r="58" spans="1:16">
      <c r="A58" s="19" t="s">
        <v>3059</v>
      </c>
      <c r="B58" s="19" t="s">
        <v>3066</v>
      </c>
      <c r="C58" s="19" t="s">
        <v>3042</v>
      </c>
      <c r="D58" s="19" t="s">
        <v>3067</v>
      </c>
      <c r="E58" s="156">
        <v>46049</v>
      </c>
      <c r="F58" s="268">
        <v>46051</v>
      </c>
      <c r="G58" s="156">
        <f>E58+14</f>
        <v>46063</v>
      </c>
      <c r="J58" s="19"/>
      <c r="P58" s="88" t="s">
        <v>3068</v>
      </c>
    </row>
    <row r="59" spans="1:16">
      <c r="A59" s="19" t="s">
        <v>3059</v>
      </c>
      <c r="B59" s="19" t="s">
        <v>3069</v>
      </c>
      <c r="C59" s="19" t="s">
        <v>2835</v>
      </c>
      <c r="D59" s="19" t="s">
        <v>3070</v>
      </c>
      <c r="E59" s="156">
        <v>46049</v>
      </c>
      <c r="F59" s="268">
        <v>46051</v>
      </c>
      <c r="G59" s="156">
        <f>E59+14</f>
        <v>46063</v>
      </c>
      <c r="H59" s="55">
        <v>1103983</v>
      </c>
      <c r="I59" s="337">
        <v>46066</v>
      </c>
      <c r="J59" s="156">
        <f>I59+15</f>
        <v>46081</v>
      </c>
      <c r="K59" s="156">
        <f>J59+15</f>
        <v>46096</v>
      </c>
    </row>
    <row r="60" spans="1:16">
      <c r="A60" s="19" t="s">
        <v>3059</v>
      </c>
      <c r="B60" s="19" t="s">
        <v>3071</v>
      </c>
      <c r="C60" s="19" t="s">
        <v>2795</v>
      </c>
      <c r="D60" s="19" t="s">
        <v>3072</v>
      </c>
      <c r="E60" s="156">
        <v>46050</v>
      </c>
      <c r="F60" s="268">
        <v>46051</v>
      </c>
      <c r="G60" s="156">
        <f>E60+14</f>
        <v>46064</v>
      </c>
      <c r="H60" s="55">
        <v>1103994</v>
      </c>
      <c r="I60" s="337">
        <v>46066</v>
      </c>
      <c r="J60" s="156">
        <f>I60+15</f>
        <v>46081</v>
      </c>
      <c r="K60" s="156">
        <f>J60+15</f>
        <v>46096</v>
      </c>
    </row>
    <row r="61" spans="1:16">
      <c r="A61" s="19" t="s">
        <v>3059</v>
      </c>
      <c r="B61" s="19" t="s">
        <v>3073</v>
      </c>
      <c r="C61" s="19" t="s">
        <v>2955</v>
      </c>
      <c r="D61" s="19" t="s">
        <v>3074</v>
      </c>
      <c r="E61" s="156">
        <v>46062</v>
      </c>
      <c r="G61" s="156">
        <f>E61+14</f>
        <v>46076</v>
      </c>
      <c r="H61" s="55">
        <v>1104014</v>
      </c>
      <c r="I61" s="337">
        <v>46066</v>
      </c>
      <c r="J61" s="156">
        <f>I61+15</f>
        <v>46081</v>
      </c>
      <c r="K61" s="156">
        <f>J61+15</f>
        <v>46096</v>
      </c>
    </row>
    <row r="62" spans="1:16">
      <c r="A62" s="19" t="s">
        <v>3059</v>
      </c>
      <c r="B62" s="19" t="s">
        <v>3075</v>
      </c>
      <c r="C62" s="19" t="s">
        <v>3076</v>
      </c>
      <c r="D62" s="19" t="s">
        <v>3077</v>
      </c>
      <c r="E62" s="156">
        <v>46056</v>
      </c>
      <c r="G62" s="156">
        <f>E62+14</f>
        <v>46070</v>
      </c>
      <c r="H62" s="55">
        <v>1104021</v>
      </c>
      <c r="I62" s="337">
        <v>46066</v>
      </c>
      <c r="J62" s="156">
        <f>I62+15</f>
        <v>46081</v>
      </c>
      <c r="K62" s="156">
        <f>J62+15</f>
        <v>46096</v>
      </c>
    </row>
    <row r="63" spans="1:16">
      <c r="A63" s="19" t="s">
        <v>3059</v>
      </c>
      <c r="B63" s="19" t="s">
        <v>3078</v>
      </c>
      <c r="C63" s="19" t="s">
        <v>3061</v>
      </c>
      <c r="D63" s="19" t="s">
        <v>3079</v>
      </c>
      <c r="E63" s="156">
        <v>46050</v>
      </c>
      <c r="F63" s="268">
        <v>46051</v>
      </c>
      <c r="G63" s="156">
        <v>46056</v>
      </c>
      <c r="H63" s="55">
        <v>1104026</v>
      </c>
      <c r="I63" s="337">
        <v>46066</v>
      </c>
      <c r="J63" s="156">
        <f>I63+15</f>
        <v>46081</v>
      </c>
      <c r="K63" s="156">
        <f>J63+15</f>
        <v>46096</v>
      </c>
    </row>
    <row r="64" spans="1:16">
      <c r="A64" s="19" t="s">
        <v>3059</v>
      </c>
      <c r="B64" s="19" t="s">
        <v>3080</v>
      </c>
      <c r="C64" s="19" t="s">
        <v>3061</v>
      </c>
      <c r="D64" s="19" t="s">
        <v>3081</v>
      </c>
      <c r="E64" s="156">
        <v>46049</v>
      </c>
      <c r="F64" s="268">
        <v>46051</v>
      </c>
      <c r="G64" s="156">
        <f>E64+14</f>
        <v>46063</v>
      </c>
      <c r="H64" s="55">
        <v>1104031</v>
      </c>
      <c r="I64" s="337">
        <v>46066</v>
      </c>
      <c r="J64" s="356">
        <f>I64+15</f>
        <v>46081</v>
      </c>
      <c r="K64" s="156">
        <f>J64+15</f>
        <v>46096</v>
      </c>
    </row>
    <row r="65" spans="1:11">
      <c r="A65" s="19" t="s">
        <v>3059</v>
      </c>
      <c r="B65" s="19" t="s">
        <v>3082</v>
      </c>
      <c r="C65" s="19" t="s">
        <v>3011</v>
      </c>
      <c r="D65" s="19" t="s">
        <v>3083</v>
      </c>
      <c r="E65" s="156">
        <v>46044</v>
      </c>
      <c r="F65" s="200">
        <v>46045</v>
      </c>
      <c r="G65" s="156">
        <f>E65+14</f>
        <v>46058</v>
      </c>
      <c r="H65" s="55">
        <v>1104037</v>
      </c>
      <c r="I65" s="337">
        <v>46066</v>
      </c>
      <c r="J65" s="356">
        <f>I65+15</f>
        <v>46081</v>
      </c>
      <c r="K65" s="156">
        <f>J65+15</f>
        <v>46096</v>
      </c>
    </row>
    <row r="66" spans="1:11">
      <c r="A66" s="19" t="s">
        <v>3059</v>
      </c>
      <c r="B66" s="19" t="s">
        <v>3084</v>
      </c>
      <c r="C66" s="19" t="s">
        <v>2924</v>
      </c>
      <c r="D66" s="19" t="s">
        <v>3085</v>
      </c>
      <c r="E66" s="156">
        <v>46050</v>
      </c>
      <c r="F66" s="268">
        <v>46051</v>
      </c>
      <c r="G66" s="156">
        <f>E66+14</f>
        <v>46064</v>
      </c>
      <c r="H66" s="55">
        <v>1104044</v>
      </c>
      <c r="I66" s="337">
        <v>46066</v>
      </c>
      <c r="J66" s="356">
        <f>I66+15</f>
        <v>46081</v>
      </c>
      <c r="K66" s="156">
        <f>J66+15</f>
        <v>46096</v>
      </c>
    </row>
    <row r="67" spans="1:11">
      <c r="A67" s="19" t="s">
        <v>3059</v>
      </c>
      <c r="B67" s="19" t="s">
        <v>3086</v>
      </c>
      <c r="C67" s="19" t="s">
        <v>2924</v>
      </c>
      <c r="D67" s="19" t="s">
        <v>3087</v>
      </c>
      <c r="E67" s="156">
        <v>45999</v>
      </c>
      <c r="F67" s="200"/>
      <c r="G67" s="156">
        <f>E67+14</f>
        <v>46013</v>
      </c>
      <c r="H67" s="55">
        <v>1104054</v>
      </c>
      <c r="I67" s="337">
        <v>46066</v>
      </c>
      <c r="J67" s="356">
        <f>I67+15</f>
        <v>46081</v>
      </c>
      <c r="K67" s="156">
        <f>J67+15</f>
        <v>46096</v>
      </c>
    </row>
    <row r="68" spans="1:11">
      <c r="A68" s="19" t="s">
        <v>3059</v>
      </c>
      <c r="B68" s="19" t="s">
        <v>3088</v>
      </c>
      <c r="C68" s="19" t="s">
        <v>3076</v>
      </c>
      <c r="D68" s="19" t="s">
        <v>3089</v>
      </c>
      <c r="E68" s="156">
        <v>46050</v>
      </c>
      <c r="F68" s="268">
        <v>46051</v>
      </c>
      <c r="G68" s="156">
        <f>E68+14</f>
        <v>46064</v>
      </c>
      <c r="H68" s="55">
        <v>1104065</v>
      </c>
      <c r="I68" s="337">
        <v>46066</v>
      </c>
      <c r="J68" s="156">
        <f>I68+15</f>
        <v>46081</v>
      </c>
      <c r="K68" s="156">
        <f>J68+15</f>
        <v>46096</v>
      </c>
    </row>
    <row r="69" spans="1:11">
      <c r="A69" s="19" t="s">
        <v>1319</v>
      </c>
      <c r="B69" s="19" t="s">
        <v>3090</v>
      </c>
      <c r="C69" s="19" t="s">
        <v>2918</v>
      </c>
      <c r="D69" s="19" t="s">
        <v>3091</v>
      </c>
      <c r="F69" s="200">
        <v>46045</v>
      </c>
      <c r="G69" s="156">
        <v>46056</v>
      </c>
      <c r="J69" s="356"/>
      <c r="K69" s="156"/>
    </row>
    <row r="70" spans="1:11">
      <c r="A70" s="19" t="s">
        <v>1319</v>
      </c>
      <c r="B70" s="61" t="s">
        <v>3092</v>
      </c>
      <c r="C70" s="19" t="s">
        <v>3042</v>
      </c>
      <c r="D70" s="19" t="s">
        <v>3093</v>
      </c>
      <c r="E70" s="156">
        <v>46062</v>
      </c>
    </row>
    <row r="71" spans="1:11">
      <c r="A71" s="19" t="s">
        <v>1372</v>
      </c>
      <c r="B71" s="19" t="s">
        <v>3094</v>
      </c>
      <c r="C71" s="19" t="s">
        <v>2972</v>
      </c>
      <c r="D71" s="19" t="s">
        <v>3095</v>
      </c>
    </row>
    <row r="72" spans="1:11">
      <c r="A72" s="19" t="s">
        <v>3096</v>
      </c>
      <c r="B72" s="19" t="s">
        <v>3097</v>
      </c>
      <c r="C72" s="19" t="s">
        <v>3076</v>
      </c>
      <c r="D72" s="19" t="s">
        <v>3098</v>
      </c>
      <c r="E72" s="156">
        <v>46058</v>
      </c>
    </row>
    <row r="73" spans="1:11">
      <c r="A73" s="19" t="s">
        <v>3096</v>
      </c>
      <c r="B73" s="19" t="s">
        <v>3099</v>
      </c>
      <c r="C73" s="19" t="s">
        <v>2940</v>
      </c>
      <c r="D73" s="19" t="s">
        <v>3100</v>
      </c>
      <c r="E73" s="156">
        <v>46071</v>
      </c>
    </row>
    <row r="74" spans="1:11">
      <c r="A74" s="19" t="s">
        <v>3096</v>
      </c>
      <c r="B74" s="19" t="s">
        <v>3101</v>
      </c>
      <c r="C74" s="19" t="s">
        <v>3018</v>
      </c>
      <c r="D74" s="19" t="s">
        <v>3102</v>
      </c>
      <c r="E74" s="156">
        <v>46071</v>
      </c>
    </row>
    <row r="75" spans="1:11">
      <c r="A75" s="19" t="s">
        <v>3096</v>
      </c>
      <c r="B75" s="19" t="s">
        <v>3103</v>
      </c>
      <c r="C75" s="19" t="s">
        <v>2924</v>
      </c>
      <c r="D75" s="19" t="s">
        <v>3104</v>
      </c>
      <c r="E75" s="156">
        <v>46071</v>
      </c>
    </row>
    <row r="1048565" spans="16:16">
      <c r="P1048565" s="20"/>
    </row>
  </sheetData>
  <autoFilter ref="A2:P75" xr:uid="{4D1E720A-7BFF-4E87-BDD2-4736BB09BE69}">
    <filterColumn colId="9" showButton="0"/>
    <sortState xmlns:xlrd2="http://schemas.microsoft.com/office/spreadsheetml/2017/richdata2" ref="A3:P75">
      <sortCondition descending="1" ref="A2"/>
    </sortState>
  </autoFilter>
  <mergeCells count="2">
    <mergeCell ref="M1:O1"/>
    <mergeCell ref="J2:K2"/>
  </mergeCells>
  <conditionalFormatting sqref="A3:B913">
    <cfRule type="expression" dxfId="1635" priority="466">
      <formula>$A3="06 AT MAJ SI"</formula>
    </cfRule>
  </conditionalFormatting>
  <conditionalFormatting sqref="J3:K89">
    <cfRule type="expression" dxfId="1634" priority="684" stopIfTrue="1">
      <formula>$L3&lt;&gt;""</formula>
    </cfRule>
  </conditionalFormatting>
  <conditionalFormatting sqref="A3:B913">
    <cfRule type="expression" dxfId="1633" priority="630">
      <formula>$A3="05 AT PV"</formula>
    </cfRule>
  </conditionalFormatting>
  <conditionalFormatting sqref="A3:B913">
    <cfRule type="expression" dxfId="1632" priority="547">
      <formula>$A3="01.2 A REMONTER"</formula>
    </cfRule>
  </conditionalFormatting>
  <conditionalFormatting sqref="A3:B913">
    <cfRule type="expression" dxfId="1631" priority="555">
      <formula>$A3="09 POI EN TRAVAUX"</formula>
    </cfRule>
  </conditionalFormatting>
  <conditionalFormatting sqref="A3:B913">
    <cfRule type="expression" dxfId="1630" priority="551">
      <formula>$A3="07 AT INFO CAF REF"</formula>
    </cfRule>
  </conditionalFormatting>
  <conditionalFormatting sqref="A3:B913">
    <cfRule type="expression" dxfId="1629" priority="550">
      <formula>$A3="04 DOSSIER A MONTER"</formula>
    </cfRule>
  </conditionalFormatting>
  <conditionalFormatting sqref="A3:B913">
    <cfRule type="expression" dxfId="1628" priority="552">
      <formula>$A3="08 AT DEVIS ORANGE/RIP"</formula>
    </cfRule>
  </conditionalFormatting>
  <conditionalFormatting sqref="A3:B913">
    <cfRule type="expression" dxfId="1627" priority="549">
      <formula>$A3="03 DOSSIER A REPRENDRE"</formula>
    </cfRule>
  </conditionalFormatting>
  <conditionalFormatting sqref="A3:B913">
    <cfRule type="expression" dxfId="1626" priority="548">
      <formula>$A3="02 RETOUR VT"</formula>
    </cfRule>
  </conditionalFormatting>
  <conditionalFormatting sqref="A3:B913">
    <cfRule type="expression" dxfId="1625" priority="535">
      <formula>$A3="09.1 ATT DOE"</formula>
    </cfRule>
  </conditionalFormatting>
  <conditionalFormatting sqref="A3:B913">
    <cfRule type="expression" dxfId="1624" priority="343">
      <formula>$A3="10 POI EN FACTU"</formula>
    </cfRule>
    <cfRule type="expression" dxfId="1623" priority="465">
      <formula>$A3="11 RECOL A FAIRE"</formula>
    </cfRule>
  </conditionalFormatting>
  <conditionalFormatting sqref="B20:B28">
    <cfRule type="expression" dxfId="1622" priority="126">
      <formula>$A20="06 AT MAJ SI"</formula>
    </cfRule>
  </conditionalFormatting>
  <conditionalFormatting sqref="B20:B28">
    <cfRule type="expression" dxfId="1621" priority="135">
      <formula>$A20="05 AT PV"</formula>
    </cfRule>
  </conditionalFormatting>
  <conditionalFormatting sqref="B20:B28">
    <cfRule type="expression" dxfId="1620" priority="128">
      <formula>$A20="01.2 A REMONTER"</formula>
    </cfRule>
  </conditionalFormatting>
  <conditionalFormatting sqref="B20:B28">
    <cfRule type="expression" dxfId="1619" priority="134">
      <formula>$A20="09 POI EN TRAVAUX"</formula>
    </cfRule>
  </conditionalFormatting>
  <conditionalFormatting sqref="B20:B28">
    <cfRule type="expression" dxfId="1618" priority="132">
      <formula>$A20="07 AT INFO CAF REF"</formula>
    </cfRule>
  </conditionalFormatting>
  <conditionalFormatting sqref="B20:B28">
    <cfRule type="expression" dxfId="1617" priority="131">
      <formula>$A20="04 DOSSIER A MONTER"</formula>
    </cfRule>
  </conditionalFormatting>
  <conditionalFormatting sqref="B20:B28">
    <cfRule type="expression" dxfId="1616" priority="133">
      <formula>$A20="08 AT DEVIS ORANGE/RIP"</formula>
    </cfRule>
  </conditionalFormatting>
  <conditionalFormatting sqref="B20:B28">
    <cfRule type="expression" dxfId="1615" priority="130">
      <formula>$A20="03 DOSSIER A REPRENDRE"</formula>
    </cfRule>
  </conditionalFormatting>
  <conditionalFormatting sqref="B20:B28">
    <cfRule type="expression" dxfId="1614" priority="129">
      <formula>$A20="02 RETOUR VT"</formula>
    </cfRule>
  </conditionalFormatting>
  <conditionalFormatting sqref="B20:B28">
    <cfRule type="expression" dxfId="1613" priority="127">
      <formula>$A20="09.1 ATT DOE"</formula>
    </cfRule>
  </conditionalFormatting>
  <conditionalFormatting sqref="B20:B28">
    <cfRule type="expression" dxfId="1612" priority="124">
      <formula>$A20="10 POI EN FACTU"</formula>
    </cfRule>
    <cfRule type="expression" dxfId="1611" priority="125">
      <formula>$A20="11 RECOL A FAIRE"</formula>
    </cfRule>
  </conditionalFormatting>
  <conditionalFormatting sqref="B33:B1048576 B1 B3:B29">
    <cfRule type="duplicateValues" dxfId="1610" priority="79" stopIfTrue="1"/>
  </conditionalFormatting>
  <conditionalFormatting sqref="A3:B944">
    <cfRule type="expression" dxfId="1609" priority="19">
      <formula>$A3="05.2 ATT DT"</formula>
    </cfRule>
    <cfRule type="expression" dxfId="1608" priority="252">
      <formula>$A3="05.1 AT DTA"</formula>
    </cfRule>
  </conditionalFormatting>
  <conditionalFormatting sqref="J68:K68 K64:K67 K69:K913 J3:K63">
    <cfRule type="cellIs" dxfId="1607" priority="1695" operator="equal">
      <formula>$A$1</formula>
    </cfRule>
  </conditionalFormatting>
  <conditionalFormatting sqref="C9:E9 D11:E11 C17:C18 C20:D23 C25:D27 C30:D31 C33">
    <cfRule type="expression" dxfId="1606" priority="1697">
      <formula>$P9="1.1_VT"</formula>
    </cfRule>
  </conditionalFormatting>
  <conditionalFormatting sqref="C9:E9 D11:E11 C17:C18 C20:D23 C25:D27 C30:D31 C33">
    <cfRule type="expression" dxfId="1605" priority="1704">
      <formula>$P9="1.2_ATT PV"</formula>
    </cfRule>
  </conditionalFormatting>
  <conditionalFormatting sqref="C9:E9 D11:E11 C17:C18 C20:D23 C25:D27 C30:D31 C33">
    <cfRule type="expression" dxfId="1604" priority="1711">
      <formula>$P9="1.3_ATT PV REL"</formula>
    </cfRule>
  </conditionalFormatting>
  <conditionalFormatting sqref="C9:E9 D11:E11 C17:C18 C20:D23 C25:D27 C30:D31 C33">
    <cfRule type="expression" dxfId="1603" priority="1718">
      <formula>$P9="2.1_ATT Devis"</formula>
    </cfRule>
  </conditionalFormatting>
  <conditionalFormatting sqref="C9:E9 D11:E11">
    <cfRule type="expression" dxfId="1602" priority="1725">
      <formula>$P9="2.4_Reprise SPI Devis"</formula>
    </cfRule>
  </conditionalFormatting>
  <conditionalFormatting sqref="C9:E9 D11:E11 C17:C18 C20:D23 C25:D27 C30:D31 C33">
    <cfRule type="expression" dxfId="1601" priority="1727">
      <formula>$P9="3.1_REO AU_Travaux en cours"</formula>
    </cfRule>
  </conditionalFormatting>
  <conditionalFormatting sqref="C9:E9 D11:E11 C17:C18 C20:D23 C25:D27 C30:D31 C33">
    <cfRule type="expression" dxfId="1600" priority="1734">
      <formula>$P9="3.2_REO LO_en attente GEOREF"</formula>
    </cfRule>
  </conditionalFormatting>
  <conditionalFormatting sqref="C9:E9 D11:E11 C17:C18 C20:D23 C25:D27 C30:D31 C33">
    <cfRule type="expression" dxfId="1599" priority="1741">
      <formula>$P9="3.3_DMS / En attente Factu"</formula>
    </cfRule>
  </conditionalFormatting>
  <conditionalFormatting sqref="C9:E9 D11:E11 C17:C18 C20:D23 C25:D27 C30:D31 C33">
    <cfRule type="expression" dxfId="1598" priority="1748">
      <formula>$P9="3.4_DMS / CRO envoyé"</formula>
    </cfRule>
  </conditionalFormatting>
  <conditionalFormatting sqref="C9:E9 D11:E11 C17:C18 C20:D23 C25:D27 C30:D31 C33">
    <cfRule type="expression" dxfId="1597" priority="1755">
      <formula>$P9="3.5_Reprise SPI Factu"</formula>
    </cfRule>
  </conditionalFormatting>
  <conditionalFormatting sqref="C9:E9 D11:E11 C17:C18 C20:D23 C25:D27 C30:D31 C33">
    <cfRule type="expression" dxfId="1596" priority="1762">
      <formula>$P9="En attente PPD"</formula>
    </cfRule>
  </conditionalFormatting>
  <conditionalFormatting sqref="C9:E9 D11:E11 C17:C18 C20:D23 C25:D27 C30:D31 C33">
    <cfRule type="expression" dxfId="1595" priority="1769">
      <formula>$P9="5_PPD OK"</formula>
    </cfRule>
  </conditionalFormatting>
  <conditionalFormatting sqref="C9:E9 D11:E11">
    <cfRule type="expression" dxfId="1594" priority="1776">
      <formula>$P9="2.2_Pas de devis en att. val. ORANGE."</formula>
    </cfRule>
    <cfRule type="expression" dxfId="1593" priority="1777">
      <formula>$P9="2.3_Pas de travaux en att. val. ORANGE."</formula>
    </cfRule>
  </conditionalFormatting>
  <conditionalFormatting sqref="C9:E9 D11:E11 C17:C18 C20:D23 C25:D27 C30:D31 C33">
    <cfRule type="expression" dxfId="1592" priority="1780">
      <formula>$P9="1.4_ATT PV REL CEFAST"</formula>
    </cfRule>
  </conditionalFormatting>
  <conditionalFormatting sqref="C17:C18 C20:D23 C25:D27 C30:D31 C33">
    <cfRule type="expression" dxfId="1591" priority="1787">
      <formula>$P17="2.3_Reprise SPI Devis"</formula>
    </cfRule>
  </conditionalFormatting>
  <conditionalFormatting sqref="C17:C18 C20:D23 C25:D27 C30:D31 C33">
    <cfRule type="expression" dxfId="1590" priority="1792">
      <formula>$P17="2.2_Pas de travaux en att. val. ORANGE."</formula>
    </cfRule>
  </conditionalFormatting>
  <conditionalFormatting sqref="O1:O1048576">
    <cfRule type="timePeriod" dxfId="1589" priority="18" timePeriod="today">
      <formula>FLOOR(O1,1)=TODAY()</formula>
    </cfRule>
  </conditionalFormatting>
  <conditionalFormatting sqref="J68:K68 K64:K67 K69:K1048576 J3:K63 O1:O1048576">
    <cfRule type="cellIs" dxfId="1588" priority="17" operator="lessThan">
      <formula>$A$1</formula>
    </cfRule>
  </conditionalFormatting>
  <conditionalFormatting sqref="O1:O1048576">
    <cfRule type="containsBlanks" dxfId="1587" priority="16" stopIfTrue="1">
      <formula>LEN(TRIM(O1))=0</formula>
    </cfRule>
  </conditionalFormatting>
  <conditionalFormatting sqref="J1:K1">
    <cfRule type="cellIs" dxfId="1586" priority="1696" operator="lessThan">
      <formula>$A$1</formula>
    </cfRule>
  </conditionalFormatting>
  <conditionalFormatting sqref="J1:K1 J68:K68 K64:K67 K69:K1048576 J3:K63">
    <cfRule type="containsBlanks" dxfId="1585" priority="15" stopIfTrue="1">
      <formula>LEN(TRIM(J1))=0</formula>
    </cfRule>
  </conditionalFormatting>
  <conditionalFormatting sqref="J64:J67 J69:J1048576">
    <cfRule type="cellIs" dxfId="1584" priority="12" operator="equal">
      <formula>$A$1</formula>
    </cfRule>
  </conditionalFormatting>
  <conditionalFormatting sqref="J64:J67 J69:J1048576">
    <cfRule type="cellIs" dxfId="1583" priority="11" stopIfTrue="1" operator="lessThan">
      <formula>$A$1</formula>
    </cfRule>
  </conditionalFormatting>
  <conditionalFormatting sqref="J64:J67 J69:J1048576">
    <cfRule type="containsBlanks" dxfId="1582" priority="9" stopIfTrue="1">
      <formula>LEN(TRIM(J64))=0</formula>
    </cfRule>
  </conditionalFormatting>
  <conditionalFormatting sqref="P32">
    <cfRule type="timePeriod" dxfId="1581" priority="3" timePeriod="today">
      <formula>FLOOR(P32,1)=TODAY()</formula>
    </cfRule>
  </conditionalFormatting>
  <conditionalFormatting sqref="P32">
    <cfRule type="cellIs" dxfId="1580" priority="2" operator="lessThan">
      <formula>$A$1</formula>
    </cfRule>
  </conditionalFormatting>
  <conditionalFormatting sqref="P32">
    <cfRule type="containsBlanks" dxfId="1579" priority="1" stopIfTrue="1">
      <formula>LEN(TRIM(P32))=0</formula>
    </cfRule>
  </conditionalFormatting>
  <dataValidations count="1">
    <dataValidation allowBlank="1" showInputMessage="1" showErrorMessage="1" sqref="C19" xr:uid="{EDBDC422-6D71-4341-BFC5-D587A606A37E}"/>
  </dataValidations>
  <hyperlinks>
    <hyperlink ref="B8" r:id="rId1" xr:uid="{8B03B99A-12D9-4418-9635-41A850CE24C6}"/>
    <hyperlink ref="B25" r:id="rId2" xr:uid="{56AA9654-7F8D-4374-B856-E87E2781AC08}"/>
    <hyperlink ref="B43" r:id="rId3" xr:uid="{C373F858-81E3-49A7-B60F-F6BF80BB33FD}"/>
    <hyperlink ref="B45" r:id="rId4" xr:uid="{9FBCF4BE-0243-49CC-9E60-59D49D75490C}"/>
    <hyperlink ref="B10" r:id="rId5" xr:uid="{43BCBF9A-74D4-452E-A35B-E2E50B68B6C8}"/>
    <hyperlink ref="B32" r:id="rId6" xr:uid="{77C29A05-72AA-42BD-B38A-DF94D395EC79}"/>
    <hyperlink ref="B5" r:id="rId7" xr:uid="{A1E27433-B2CA-4686-BEA8-B49A224F3CC8}"/>
    <hyperlink ref="B4" r:id="rId8" xr:uid="{34305416-99EF-461B-B2AB-B8DD49D738AB}"/>
    <hyperlink ref="B11" r:id="rId9" xr:uid="{05B24C62-7E02-429D-A6BC-99F18A2B5CD5}"/>
    <hyperlink ref="B3" r:id="rId10" xr:uid="{7FDB9630-B4DC-413B-BD17-E745196C7EF0}"/>
    <hyperlink ref="B12" r:id="rId11" xr:uid="{26D9B4D2-F583-4457-B586-27F4303B7F97}"/>
    <hyperlink ref="B7" r:id="rId12" xr:uid="{5A0728F5-2A11-4108-9749-6E91D02507CA}"/>
    <hyperlink ref="B34" r:id="rId13" xr:uid="{D8C4B8C4-8AF3-40E2-A9CA-88802818D9E2}"/>
    <hyperlink ref="B26" r:id="rId14" xr:uid="{7ECEAA77-3541-439E-AA9C-BFC1764A9807}"/>
    <hyperlink ref="B35" r:id="rId15" xr:uid="{5DADDC62-AE13-4DDD-9C55-4BAD19431FE0}"/>
    <hyperlink ref="B22" r:id="rId16" xr:uid="{D12E4175-9305-45D8-8995-4F1AF232D4D5}"/>
    <hyperlink ref="B44" r:id="rId17" xr:uid="{29F4217C-AE10-415F-8156-379977AAA56F}"/>
    <hyperlink ref="B13" r:id="rId18" xr:uid="{0BC1035B-1A91-4775-9295-161078ADC6C1}"/>
    <hyperlink ref="B30" r:id="rId19" xr:uid="{45547A77-A667-4CEF-BE5D-5E8FCED50C06}"/>
    <hyperlink ref="B46" r:id="rId20" xr:uid="{09CCD5FC-D68C-40A0-ABAC-7CC52D094D26}"/>
    <hyperlink ref="B39" r:id="rId21" xr:uid="{31E04AA1-159D-4ED1-AA47-53FD50358F9C}"/>
    <hyperlink ref="B14" r:id="rId22" xr:uid="{F3062338-B840-42CA-B477-F3F7BA29AF4B}"/>
    <hyperlink ref="B28" r:id="rId23" xr:uid="{82DF024A-39AD-4900-9A3F-44336ACD168C}"/>
    <hyperlink ref="B9" r:id="rId24" xr:uid="{370CE3CE-F4D7-484D-A0BC-A6F71F50B290}"/>
    <hyperlink ref="B37" r:id="rId25" xr:uid="{7A110937-2F47-4BB5-B40E-2C95DA9600BD}"/>
    <hyperlink ref="B19" r:id="rId26" xr:uid="{7C27E224-CCDF-4080-BA25-AB2A7426F4BE}"/>
    <hyperlink ref="B15" r:id="rId27" xr:uid="{3B964589-8A56-4793-86D3-6651976F8D7B}"/>
    <hyperlink ref="B27" r:id="rId28" xr:uid="{7EB34386-DB02-45E5-8EBB-77E83D19943D}"/>
    <hyperlink ref="B56" r:id="rId29" xr:uid="{6BA6301E-DC19-4916-961E-A7DC667FEC35}"/>
    <hyperlink ref="B17" r:id="rId30" xr:uid="{F58FF14D-1276-4E49-8388-5CF36DFAE807}"/>
    <hyperlink ref="B40" r:id="rId31" xr:uid="{B6B0C467-7A4D-4B9C-8BAF-6765E5F0F861}"/>
    <hyperlink ref="B29" r:id="rId32" xr:uid="{70A32C3F-8A72-4A06-B90F-FE63E7F30EAA}"/>
    <hyperlink ref="B31" r:id="rId33" xr:uid="{E83A18B6-4941-446E-96D8-65C799CF8BAD}"/>
    <hyperlink ref="B48" r:id="rId34" xr:uid="{40F86EE9-9981-4F53-96B5-1B39264BD075}"/>
    <hyperlink ref="B16" r:id="rId35" xr:uid="{E9F1ABBA-B696-4BC0-945D-4C6221394DE3}"/>
    <hyperlink ref="B54" r:id="rId36" xr:uid="{F0EE413F-B350-43FB-A60A-CA329BE95F5F}"/>
    <hyperlink ref="B42" r:id="rId37" xr:uid="{23E6F489-4C09-4F4A-8577-BFAAD958935E}"/>
    <hyperlink ref="B23" r:id="rId38" xr:uid="{2803FF32-D50A-4E10-806E-BB0B0DA87649}"/>
    <hyperlink ref="B49" r:id="rId39" xr:uid="{2077C3BC-634F-4023-BBB7-D3D2EF817C21}"/>
    <hyperlink ref="B47" r:id="rId40" xr:uid="{417DDC5B-B14F-4476-8ED9-A1593C0DC3C4}"/>
    <hyperlink ref="B67" r:id="rId41" xr:uid="{D5F3013E-5DA3-4987-B1C3-C1FDE98129DB}"/>
    <hyperlink ref="B21" r:id="rId42" xr:uid="{02DF6806-62AB-4134-A9B2-287E12E3A7C0}"/>
    <hyperlink ref="B53" r:id="rId43" xr:uid="{1B28BB16-32B9-484F-B5BC-E2507F72DDC4}"/>
    <hyperlink ref="B51" r:id="rId44" xr:uid="{5F15503E-DFE0-4531-9E3E-CA6909C9C166}"/>
    <hyperlink ref="B50" r:id="rId45" xr:uid="{0A3C1FAA-C2C1-44C7-BE99-D677F3271A90}"/>
    <hyperlink ref="B52" r:id="rId46" xr:uid="{BDD984C6-F44A-4BCB-8CBF-FD196E4EE38A}"/>
    <hyperlink ref="B55" r:id="rId47" xr:uid="{E5B1B902-51DB-4BE5-87BC-B36BC55451FC}"/>
    <hyperlink ref="B38" r:id="rId48" xr:uid="{AB4D47A6-EF84-44BB-BD49-DA9F1C51E204}"/>
    <hyperlink ref="B57" r:id="rId49" xr:uid="{DD3EB444-0A90-4DB2-A2BF-6BD0481AF958}"/>
    <hyperlink ref="B41" r:id="rId50" xr:uid="{F730BD53-894C-4727-85EA-4161B7191FB4}"/>
    <hyperlink ref="B69" r:id="rId51" xr:uid="{BD352E2A-C008-4C2D-836A-4CB13AFF0C3E}"/>
    <hyperlink ref="B58" r:id="rId52" xr:uid="{732791DE-DE9E-4D3D-A307-35EC3426A996}"/>
    <hyperlink ref="B63" r:id="rId53" xr:uid="{4D15B72C-0B7D-43A3-B9F2-4C011F64FC43}"/>
    <hyperlink ref="B59" r:id="rId54" xr:uid="{8333C8D6-6A27-46E8-AD65-DBA5E3B256B7}"/>
    <hyperlink ref="B60" r:id="rId55" xr:uid="{D93D40D2-F0C5-4DEB-AE72-B245B86C83A8}"/>
    <hyperlink ref="B68" r:id="rId56" xr:uid="{BA6304DE-C699-44CA-A719-D5C1F241D923}"/>
    <hyperlink ref="B64" r:id="rId57" xr:uid="{F1ED97C9-8DD0-4891-AD40-375829125497}"/>
    <hyperlink ref="B66" r:id="rId58" xr:uid="{4282488B-D344-43F3-8960-A4BA69775C70}"/>
    <hyperlink ref="B24" r:id="rId59" xr:uid="{CF2DE724-AC79-44AB-8E10-CEA9E9A2CDDE}"/>
    <hyperlink ref="B62" r:id="rId60" xr:uid="{EC368160-CB13-4D0F-BA2E-89FEA0B549D8}"/>
    <hyperlink ref="B65" r:id="rId61" xr:uid="{61D6BB27-0E35-42B9-9ED9-9C79E55C71D4}"/>
    <hyperlink ref="B61" r:id="rId62" xr:uid="{30504DDF-A248-49FD-9C13-472B1B03C61D}"/>
    <hyperlink ref="B70" r:id="rId63" xr:uid="{7EEE9ACD-AB53-4207-9F60-9B90425126EA}"/>
  </hyperlinks>
  <pageMargins left="0.7" right="0.7" top="0.75" bottom="0.75" header="0.3" footer="0.3"/>
  <legacyDrawing r:id="rId64"/>
  <extLst>
    <ext xmlns:x14="http://schemas.microsoft.com/office/spreadsheetml/2009/9/main" uri="{CCE6A557-97BC-4b89-ADB6-D9C93CAAB3DF}">
      <x14:dataValidations xmlns:xm="http://schemas.microsoft.com/office/excel/2006/main" count="2">
        <x14:dataValidation type="list" allowBlank="1" showInputMessage="1" showErrorMessage="1" xr:uid="{07360174-73E9-4217-A5CA-B7F60E4946E9}">
          <x14:formula1>
            <xm:f>Feuil2!$D$1:$D$12</xm:f>
          </x14:formula1>
          <xm:sqref>A2</xm:sqref>
        </x14:dataValidation>
        <x14:dataValidation type="list" allowBlank="1" showInputMessage="1" showErrorMessage="1" xr:uid="{7F002DB5-220A-4275-9DFE-DCDA5ACCB660}">
          <x14:formula1>
            <xm:f>Feuil2!$D$1:$D$15</xm:f>
          </x14:formula1>
          <xm:sqref>A3:A1048529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72AE-D8F4-4F67-8804-32273800ED80}">
  <sheetPr>
    <tabColor rgb="FFFFC000"/>
  </sheetPr>
  <dimension ref="A1:J2"/>
  <sheetViews>
    <sheetView workbookViewId="0">
      <selection activeCell="F15" sqref="F15"/>
    </sheetView>
  </sheetViews>
  <sheetFormatPr defaultRowHeight="15"/>
  <cols>
    <col min="1" max="3" width="9.140625" style="3"/>
    <col min="4" max="4" width="33.85546875" style="3" customWidth="1"/>
    <col min="5" max="5" width="13" style="3" bestFit="1" customWidth="1"/>
    <col min="6" max="6" width="24" style="3" bestFit="1" customWidth="1"/>
    <col min="7" max="7" width="37.5703125" style="3" customWidth="1"/>
    <col min="8" max="8" width="23" style="3" bestFit="1" customWidth="1"/>
    <col min="9" max="9" width="29.42578125" style="3" customWidth="1"/>
    <col min="10" max="10" width="33.85546875" style="3" customWidth="1"/>
    <col min="11" max="16384" width="9.140625" style="3"/>
  </cols>
  <sheetData>
    <row r="1" spans="1:10">
      <c r="A1" s="297" t="s">
        <v>3105</v>
      </c>
      <c r="B1" s="397" t="s">
        <v>31</v>
      </c>
      <c r="C1" s="297" t="s">
        <v>33</v>
      </c>
      <c r="D1" s="398" t="s">
        <v>3106</v>
      </c>
      <c r="E1" s="398" t="s">
        <v>3107</v>
      </c>
      <c r="F1" s="398" t="s">
        <v>3108</v>
      </c>
      <c r="G1" s="398" t="s">
        <v>3109</v>
      </c>
      <c r="H1" s="398" t="s">
        <v>3110</v>
      </c>
      <c r="I1" s="398" t="s">
        <v>3111</v>
      </c>
      <c r="J1" s="398" t="s">
        <v>3112</v>
      </c>
    </row>
    <row r="2" spans="1:10">
      <c r="A2" s="3">
        <v>12</v>
      </c>
      <c r="C2" s="3">
        <v>72</v>
      </c>
      <c r="D2" s="3" t="s">
        <v>745</v>
      </c>
      <c r="E2" s="68">
        <v>46065</v>
      </c>
      <c r="F2" s="68">
        <f>E2+30</f>
        <v>46095</v>
      </c>
      <c r="G2" s="68">
        <f>E2+30</f>
        <v>46095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FDD2-7235-4EAA-95F1-04C356CF4B57}">
  <sheetPr>
    <tabColor theme="2" tint="-0.499984740745262"/>
  </sheetPr>
  <dimension ref="A1:I56"/>
  <sheetViews>
    <sheetView workbookViewId="0">
      <selection activeCell="H48" sqref="H48"/>
    </sheetView>
  </sheetViews>
  <sheetFormatPr defaultColWidth="9.140625" defaultRowHeight="15"/>
  <cols>
    <col min="1" max="1" width="31.140625" style="20" customWidth="1"/>
    <col min="2" max="2" width="25.28515625" style="20" bestFit="1" customWidth="1"/>
    <col min="3" max="3" width="16.7109375" style="20" customWidth="1"/>
    <col min="4" max="4" width="24.140625" style="20" customWidth="1"/>
    <col min="5" max="5" width="21.42578125" style="20" customWidth="1"/>
    <col min="6" max="6" width="15.7109375" style="255" customWidth="1"/>
    <col min="7" max="7" width="25" style="20" bestFit="1" customWidth="1"/>
    <col min="8" max="8" width="30.42578125" style="20" customWidth="1"/>
    <col min="9" max="9" width="21.7109375" style="20" bestFit="1" customWidth="1"/>
    <col min="10" max="16384" width="9.140625" style="20"/>
  </cols>
  <sheetData>
    <row r="1" spans="1:9">
      <c r="A1" s="49" t="s">
        <v>31</v>
      </c>
      <c r="B1" s="49" t="s">
        <v>32</v>
      </c>
      <c r="C1" s="49" t="s">
        <v>3113</v>
      </c>
      <c r="D1" s="49" t="s">
        <v>3114</v>
      </c>
      <c r="E1" s="49" t="s">
        <v>3115</v>
      </c>
      <c r="F1" s="49" t="s">
        <v>3116</v>
      </c>
      <c r="G1" s="49" t="s">
        <v>36</v>
      </c>
      <c r="H1" s="49" t="s">
        <v>37</v>
      </c>
      <c r="I1" s="50" t="s">
        <v>39</v>
      </c>
    </row>
    <row r="2" spans="1:9">
      <c r="A2" s="256"/>
      <c r="B2" s="256" t="s">
        <v>2535</v>
      </c>
      <c r="C2" s="256" t="s">
        <v>3117</v>
      </c>
      <c r="D2" s="256">
        <v>1</v>
      </c>
      <c r="E2" s="257"/>
      <c r="F2" s="257"/>
      <c r="G2" s="256"/>
      <c r="H2" s="256"/>
      <c r="I2" s="256"/>
    </row>
    <row r="3" spans="1:9">
      <c r="A3" s="256"/>
      <c r="B3" s="256" t="s">
        <v>3118</v>
      </c>
      <c r="C3" s="256" t="s">
        <v>3117</v>
      </c>
      <c r="D3" s="256">
        <v>3</v>
      </c>
      <c r="E3" s="257"/>
      <c r="F3" s="257"/>
      <c r="G3" s="256"/>
      <c r="H3" s="256"/>
      <c r="I3" s="256"/>
    </row>
    <row r="4" spans="1:9">
      <c r="A4" s="256"/>
      <c r="B4" s="256" t="s">
        <v>2634</v>
      </c>
      <c r="C4" s="256" t="s">
        <v>3117</v>
      </c>
      <c r="D4" s="256">
        <v>2</v>
      </c>
      <c r="E4" s="257"/>
      <c r="F4" s="257"/>
      <c r="G4" s="256"/>
      <c r="H4" s="256"/>
      <c r="I4" s="256"/>
    </row>
    <row r="5" spans="1:9">
      <c r="A5" s="256" t="s">
        <v>3119</v>
      </c>
      <c r="B5" s="256" t="s">
        <v>3120</v>
      </c>
      <c r="C5" s="256" t="s">
        <v>3117</v>
      </c>
      <c r="D5" s="256">
        <v>2</v>
      </c>
      <c r="E5" s="257"/>
      <c r="F5" s="257"/>
      <c r="G5" s="256"/>
      <c r="H5" s="256"/>
      <c r="I5" s="256"/>
    </row>
    <row r="6" spans="1:9">
      <c r="A6" s="256" t="s">
        <v>3119</v>
      </c>
      <c r="B6" s="256" t="s">
        <v>3120</v>
      </c>
      <c r="C6" s="256" t="s">
        <v>3121</v>
      </c>
      <c r="D6" s="256">
        <v>10</v>
      </c>
      <c r="E6" s="257"/>
      <c r="F6" s="257"/>
      <c r="G6" s="256"/>
      <c r="H6" s="256"/>
      <c r="I6" s="256"/>
    </row>
    <row r="7" spans="1:9">
      <c r="A7" s="256" t="s">
        <v>3119</v>
      </c>
      <c r="B7" s="256" t="s">
        <v>3122</v>
      </c>
      <c r="C7" s="256" t="s">
        <v>3117</v>
      </c>
      <c r="D7" s="256">
        <v>1</v>
      </c>
      <c r="E7" s="257"/>
      <c r="F7" s="257"/>
      <c r="G7" s="256"/>
      <c r="H7" s="256"/>
      <c r="I7" s="256"/>
    </row>
    <row r="8" spans="1:9">
      <c r="A8" s="256" t="s">
        <v>3119</v>
      </c>
      <c r="B8" s="256" t="s">
        <v>3122</v>
      </c>
      <c r="C8" s="256" t="s">
        <v>3121</v>
      </c>
      <c r="D8" s="256">
        <v>22</v>
      </c>
      <c r="E8" s="257"/>
      <c r="F8" s="257"/>
      <c r="G8" s="256"/>
      <c r="H8" s="256"/>
      <c r="I8" s="256"/>
    </row>
    <row r="9" spans="1:9">
      <c r="A9" s="256"/>
      <c r="B9" s="258" t="s">
        <v>3123</v>
      </c>
      <c r="C9" s="256" t="s">
        <v>3117</v>
      </c>
      <c r="D9" s="256">
        <v>1</v>
      </c>
      <c r="E9" s="257"/>
      <c r="F9" s="257">
        <v>45783</v>
      </c>
      <c r="G9" s="256" t="s">
        <v>3124</v>
      </c>
      <c r="H9" s="256" t="s">
        <v>3125</v>
      </c>
      <c r="I9" s="256"/>
    </row>
    <row r="10" spans="1:9">
      <c r="A10" s="256"/>
      <c r="B10" s="256" t="s">
        <v>282</v>
      </c>
      <c r="C10" s="256" t="s">
        <v>3117</v>
      </c>
      <c r="D10" s="256">
        <v>1</v>
      </c>
      <c r="E10" s="257"/>
      <c r="F10" s="257"/>
      <c r="G10" s="256"/>
      <c r="H10" s="256"/>
      <c r="I10" s="256"/>
    </row>
    <row r="11" spans="1:9">
      <c r="A11" s="256"/>
      <c r="B11" s="256" t="s">
        <v>3126</v>
      </c>
      <c r="C11" s="256" t="s">
        <v>3121</v>
      </c>
      <c r="D11" s="256">
        <v>15</v>
      </c>
      <c r="E11" s="257"/>
      <c r="F11" s="257"/>
      <c r="G11" s="256"/>
      <c r="H11" s="256"/>
      <c r="I11" s="256"/>
    </row>
    <row r="12" spans="1:9">
      <c r="A12" s="256"/>
      <c r="B12" s="256" t="s">
        <v>3127</v>
      </c>
      <c r="C12" s="256" t="s">
        <v>3121</v>
      </c>
      <c r="D12" s="256">
        <v>27</v>
      </c>
      <c r="E12" s="257"/>
      <c r="F12" s="257"/>
      <c r="G12" s="256"/>
      <c r="H12" s="256"/>
      <c r="I12" s="256"/>
    </row>
    <row r="13" spans="1:9">
      <c r="A13" s="259"/>
      <c r="B13" s="259" t="s">
        <v>895</v>
      </c>
      <c r="C13" s="259" t="s">
        <v>3121</v>
      </c>
      <c r="D13" s="259">
        <v>13</v>
      </c>
      <c r="E13" s="260"/>
      <c r="F13" s="260"/>
      <c r="G13" s="259"/>
      <c r="H13" s="259"/>
      <c r="I13" s="259"/>
    </row>
    <row r="14" spans="1:9">
      <c r="A14" s="259"/>
      <c r="B14" s="259" t="s">
        <v>3128</v>
      </c>
      <c r="C14" s="259" t="s">
        <v>3117</v>
      </c>
      <c r="D14" s="259">
        <v>5</v>
      </c>
      <c r="E14" s="260"/>
      <c r="F14" s="260"/>
      <c r="G14" s="259"/>
      <c r="H14" s="259"/>
      <c r="I14" s="259"/>
    </row>
    <row r="15" spans="1:9">
      <c r="A15" s="259"/>
      <c r="B15" s="259" t="s">
        <v>3129</v>
      </c>
      <c r="C15" s="259"/>
      <c r="D15" s="259"/>
      <c r="E15" s="260"/>
      <c r="F15" s="260"/>
      <c r="G15" s="259"/>
      <c r="H15" s="259"/>
      <c r="I15" s="259"/>
    </row>
    <row r="16" spans="1:9">
      <c r="A16" s="259"/>
      <c r="B16" s="259" t="s">
        <v>3130</v>
      </c>
      <c r="C16" s="259" t="s">
        <v>3117</v>
      </c>
      <c r="D16" s="259">
        <v>1</v>
      </c>
      <c r="E16" s="260"/>
      <c r="F16" s="260"/>
      <c r="G16" s="259"/>
      <c r="H16" s="259"/>
      <c r="I16" s="259"/>
    </row>
    <row r="17" spans="1:9">
      <c r="A17" s="259"/>
      <c r="B17" s="259" t="s">
        <v>630</v>
      </c>
      <c r="C17" s="259" t="s">
        <v>3117</v>
      </c>
      <c r="D17" s="259"/>
      <c r="E17" s="260"/>
      <c r="F17" s="260"/>
      <c r="G17" s="259"/>
      <c r="H17" s="259"/>
      <c r="I17" s="259"/>
    </row>
    <row r="18" spans="1:9">
      <c r="A18" s="261"/>
      <c r="B18" s="261" t="s">
        <v>630</v>
      </c>
      <c r="C18" s="261" t="s">
        <v>3121</v>
      </c>
      <c r="D18" s="261">
        <v>11</v>
      </c>
      <c r="E18" s="262"/>
      <c r="F18" s="262"/>
      <c r="G18" s="261"/>
      <c r="H18" s="261"/>
      <c r="I18" s="261"/>
    </row>
    <row r="19" spans="1:9">
      <c r="A19" s="158"/>
      <c r="B19" s="158" t="s">
        <v>195</v>
      </c>
      <c r="C19" s="158" t="s">
        <v>3121</v>
      </c>
      <c r="D19" s="158">
        <v>2</v>
      </c>
      <c r="E19" s="158"/>
      <c r="F19" s="158"/>
      <c r="G19" s="158"/>
      <c r="H19" s="158"/>
      <c r="I19" s="158"/>
    </row>
    <row r="20" spans="1:9">
      <c r="A20" s="158"/>
      <c r="B20" s="158" t="s">
        <v>1660</v>
      </c>
      <c r="C20" s="158" t="s">
        <v>3121</v>
      </c>
      <c r="D20" s="158">
        <v>5</v>
      </c>
      <c r="E20" s="158"/>
      <c r="F20" s="158"/>
      <c r="G20" s="158"/>
      <c r="H20" s="158"/>
      <c r="I20" s="158"/>
    </row>
    <row r="21" spans="1:9">
      <c r="A21" s="158"/>
      <c r="B21" s="158" t="s">
        <v>3131</v>
      </c>
      <c r="C21" s="158" t="s">
        <v>3121</v>
      </c>
      <c r="D21" s="158"/>
      <c r="E21" s="158"/>
      <c r="F21" s="158"/>
      <c r="G21" s="158"/>
      <c r="H21" s="158"/>
      <c r="I21" s="158"/>
    </row>
    <row r="22" spans="1:9">
      <c r="A22" s="19"/>
      <c r="B22" s="19" t="s">
        <v>1479</v>
      </c>
      <c r="C22" s="19" t="s">
        <v>3121</v>
      </c>
      <c r="D22" s="19">
        <v>5</v>
      </c>
      <c r="E22" s="19"/>
      <c r="F22" s="254"/>
      <c r="G22" s="19"/>
      <c r="H22" s="19"/>
      <c r="I22" s="19"/>
    </row>
    <row r="23" spans="1:9">
      <c r="A23" s="19"/>
      <c r="B23" s="19" t="s">
        <v>3132</v>
      </c>
      <c r="C23" s="19" t="s">
        <v>3117</v>
      </c>
      <c r="D23" s="19">
        <v>1</v>
      </c>
      <c r="E23" s="19"/>
      <c r="F23" s="254"/>
      <c r="G23" s="19"/>
      <c r="H23" s="19"/>
      <c r="I23" s="19"/>
    </row>
    <row r="24" spans="1:9">
      <c r="A24" s="19"/>
      <c r="B24" s="19" t="s">
        <v>3132</v>
      </c>
      <c r="C24" s="19" t="s">
        <v>3121</v>
      </c>
      <c r="D24" s="19">
        <v>3</v>
      </c>
      <c r="E24" s="19"/>
      <c r="F24" s="254"/>
      <c r="G24" s="19"/>
      <c r="H24" s="19"/>
      <c r="I24" s="19"/>
    </row>
    <row r="25" spans="1:9">
      <c r="A25" s="19"/>
      <c r="B25" s="19" t="s">
        <v>3133</v>
      </c>
      <c r="C25" s="19" t="s">
        <v>3121</v>
      </c>
      <c r="D25" s="19">
        <v>14</v>
      </c>
      <c r="E25" s="19"/>
      <c r="F25" s="254"/>
      <c r="G25" s="19"/>
      <c r="H25" s="19"/>
      <c r="I25" s="19"/>
    </row>
    <row r="26" spans="1:9">
      <c r="A26" s="19"/>
      <c r="B26" s="19" t="s">
        <v>3134</v>
      </c>
      <c r="C26" s="19" t="s">
        <v>3121</v>
      </c>
      <c r="D26" s="19">
        <v>28</v>
      </c>
      <c r="E26" s="19"/>
      <c r="F26" s="254"/>
      <c r="G26" s="19"/>
      <c r="H26" s="19"/>
      <c r="I26" s="19"/>
    </row>
    <row r="27" spans="1:9">
      <c r="A27" s="19" t="s">
        <v>3135</v>
      </c>
      <c r="B27" s="19" t="s">
        <v>775</v>
      </c>
      <c r="C27" s="19" t="s">
        <v>3117</v>
      </c>
      <c r="D27" s="19">
        <v>2</v>
      </c>
      <c r="E27" s="19"/>
      <c r="F27" s="254"/>
      <c r="G27" s="19"/>
      <c r="H27" s="19"/>
      <c r="I27" s="19"/>
    </row>
    <row r="28" spans="1:9">
      <c r="A28" s="19" t="s">
        <v>3119</v>
      </c>
      <c r="B28" s="19" t="s">
        <v>3136</v>
      </c>
      <c r="C28" s="19" t="s">
        <v>3121</v>
      </c>
      <c r="D28" s="19">
        <v>7</v>
      </c>
      <c r="E28" s="156">
        <v>45958</v>
      </c>
      <c r="F28" s="263">
        <v>45967</v>
      </c>
      <c r="G28" s="19" t="s">
        <v>3137</v>
      </c>
      <c r="H28" s="19" t="s">
        <v>3138</v>
      </c>
      <c r="I28" s="19"/>
    </row>
    <row r="29" spans="1:9">
      <c r="A29" s="19" t="s">
        <v>3119</v>
      </c>
      <c r="B29" s="19" t="s">
        <v>3139</v>
      </c>
      <c r="C29" s="19" t="s">
        <v>3117</v>
      </c>
      <c r="D29" s="19">
        <v>1</v>
      </c>
      <c r="E29" s="156"/>
      <c r="F29" s="263"/>
      <c r="G29" s="19" t="s">
        <v>759</v>
      </c>
      <c r="H29" s="19" t="s">
        <v>3138</v>
      </c>
      <c r="I29" s="19"/>
    </row>
    <row r="30" spans="1:9">
      <c r="A30" s="19" t="s">
        <v>3119</v>
      </c>
      <c r="B30" s="19" t="s">
        <v>3139</v>
      </c>
      <c r="C30" s="19" t="s">
        <v>3121</v>
      </c>
      <c r="D30" s="19">
        <v>156</v>
      </c>
      <c r="E30" s="19"/>
      <c r="F30" s="263">
        <v>45965</v>
      </c>
      <c r="G30" s="19" t="s">
        <v>759</v>
      </c>
      <c r="H30" s="19" t="s">
        <v>3140</v>
      </c>
      <c r="I30" s="19"/>
    </row>
    <row r="31" spans="1:9">
      <c r="A31" s="19" t="s">
        <v>3119</v>
      </c>
      <c r="B31" s="19" t="s">
        <v>555</v>
      </c>
      <c r="C31" s="19" t="s">
        <v>3117</v>
      </c>
      <c r="D31" s="19">
        <v>1</v>
      </c>
      <c r="E31" s="19"/>
      <c r="F31" s="263"/>
      <c r="G31" s="19" t="s">
        <v>531</v>
      </c>
      <c r="H31" s="19" t="s">
        <v>3141</v>
      </c>
      <c r="I31" s="19"/>
    </row>
    <row r="32" spans="1:9">
      <c r="A32" s="19" t="s">
        <v>3119</v>
      </c>
      <c r="B32" s="19" t="s">
        <v>555</v>
      </c>
      <c r="C32" s="19" t="s">
        <v>3121</v>
      </c>
      <c r="D32" s="19">
        <v>5</v>
      </c>
      <c r="E32" s="19"/>
      <c r="F32" s="263">
        <v>45966</v>
      </c>
      <c r="G32" s="19" t="s">
        <v>531</v>
      </c>
      <c r="H32" s="19" t="s">
        <v>3141</v>
      </c>
      <c r="I32" s="19"/>
    </row>
    <row r="33" spans="1:8">
      <c r="A33" s="19" t="s">
        <v>3119</v>
      </c>
      <c r="B33" s="19" t="s">
        <v>351</v>
      </c>
      <c r="C33" s="19" t="s">
        <v>3121</v>
      </c>
      <c r="D33" s="19">
        <v>23</v>
      </c>
      <c r="E33" s="19"/>
      <c r="F33" s="263">
        <v>46041</v>
      </c>
      <c r="G33" s="19" t="s">
        <v>154</v>
      </c>
      <c r="H33" s="19" t="s">
        <v>3142</v>
      </c>
    </row>
    <row r="34" spans="1:8">
      <c r="A34" s="19" t="s">
        <v>3119</v>
      </c>
      <c r="B34" s="19" t="s">
        <v>3143</v>
      </c>
      <c r="C34" s="19" t="s">
        <v>3121</v>
      </c>
      <c r="D34" s="19">
        <v>10</v>
      </c>
      <c r="E34" s="19"/>
      <c r="F34" s="263">
        <v>45973</v>
      </c>
      <c r="G34" s="19" t="s">
        <v>3144</v>
      </c>
      <c r="H34" s="19"/>
    </row>
    <row r="35" spans="1:8">
      <c r="A35" s="19" t="s">
        <v>3119</v>
      </c>
      <c r="B35" s="19" t="s">
        <v>3143</v>
      </c>
      <c r="C35" s="19" t="s">
        <v>3117</v>
      </c>
      <c r="D35" s="19">
        <v>4</v>
      </c>
      <c r="E35" s="19"/>
      <c r="F35" s="263"/>
      <c r="G35" s="19" t="s">
        <v>3144</v>
      </c>
      <c r="H35" s="19"/>
    </row>
    <row r="36" spans="1:8">
      <c r="A36" s="19" t="s">
        <v>3119</v>
      </c>
      <c r="B36" s="19" t="s">
        <v>1479</v>
      </c>
      <c r="C36" s="19" t="s">
        <v>3121</v>
      </c>
      <c r="D36" s="19">
        <v>10</v>
      </c>
      <c r="E36" s="19"/>
      <c r="F36" s="263">
        <v>45974</v>
      </c>
      <c r="G36" s="19"/>
      <c r="H36" s="19"/>
    </row>
    <row r="37" spans="1:8">
      <c r="A37" s="19" t="s">
        <v>3119</v>
      </c>
      <c r="B37" s="19" t="s">
        <v>308</v>
      </c>
      <c r="C37" s="19" t="s">
        <v>3121</v>
      </c>
      <c r="D37" s="86">
        <v>5</v>
      </c>
      <c r="E37" s="86"/>
      <c r="F37" s="307">
        <v>46002</v>
      </c>
      <c r="G37" s="86" t="s">
        <v>309</v>
      </c>
      <c r="H37" s="86" t="s">
        <v>3145</v>
      </c>
    </row>
    <row r="38" spans="1:8">
      <c r="A38" s="20" t="s">
        <v>3119</v>
      </c>
      <c r="B38" s="19" t="s">
        <v>411</v>
      </c>
      <c r="C38" s="55" t="s">
        <v>3121</v>
      </c>
      <c r="D38" s="19">
        <v>2</v>
      </c>
      <c r="E38" s="19"/>
      <c r="F38" s="263">
        <v>45996</v>
      </c>
      <c r="G38" s="19" t="s">
        <v>412</v>
      </c>
      <c r="H38" s="19" t="s">
        <v>3146</v>
      </c>
    </row>
    <row r="39" spans="1:8">
      <c r="A39" s="20" t="s">
        <v>3119</v>
      </c>
      <c r="B39" s="19" t="s">
        <v>419</v>
      </c>
      <c r="C39" s="55" t="s">
        <v>3121</v>
      </c>
      <c r="D39" s="19">
        <v>2</v>
      </c>
      <c r="E39" s="19"/>
      <c r="F39" s="254"/>
      <c r="G39" s="19"/>
      <c r="H39" s="19"/>
    </row>
    <row r="40" spans="1:8">
      <c r="A40" s="19" t="s">
        <v>3119</v>
      </c>
      <c r="B40" s="19" t="s">
        <v>562</v>
      </c>
      <c r="C40" s="55" t="s">
        <v>3121</v>
      </c>
      <c r="D40" s="19">
        <v>34</v>
      </c>
      <c r="E40" s="19"/>
      <c r="F40" s="263">
        <v>46042</v>
      </c>
      <c r="G40" s="19"/>
      <c r="H40" s="19"/>
    </row>
    <row r="41" spans="1:8">
      <c r="A41" s="19" t="s">
        <v>3119</v>
      </c>
      <c r="B41" s="19" t="s">
        <v>3147</v>
      </c>
      <c r="C41" s="55" t="s">
        <v>3121</v>
      </c>
      <c r="D41" s="19">
        <v>1</v>
      </c>
      <c r="E41" s="19"/>
      <c r="F41" s="263">
        <v>46041</v>
      </c>
      <c r="G41" s="19"/>
      <c r="H41" s="19"/>
    </row>
    <row r="42" spans="1:8">
      <c r="A42" s="19" t="s">
        <v>3119</v>
      </c>
      <c r="B42" s="19" t="s">
        <v>637</v>
      </c>
      <c r="C42" s="55" t="s">
        <v>3117</v>
      </c>
      <c r="D42" s="19">
        <v>2</v>
      </c>
      <c r="E42" s="19"/>
      <c r="F42" s="263"/>
      <c r="G42" s="19"/>
      <c r="H42" s="19"/>
    </row>
    <row r="43" spans="1:8">
      <c r="A43" s="19" t="s">
        <v>3119</v>
      </c>
      <c r="B43" s="19" t="s">
        <v>637</v>
      </c>
      <c r="C43" s="55" t="s">
        <v>3121</v>
      </c>
      <c r="D43" s="19">
        <v>13</v>
      </c>
      <c r="E43" s="19"/>
      <c r="F43" s="263">
        <v>46043</v>
      </c>
      <c r="G43" s="19"/>
      <c r="H43" s="19" t="s">
        <v>3148</v>
      </c>
    </row>
    <row r="44" spans="1:8">
      <c r="A44" s="19" t="s">
        <v>3119</v>
      </c>
      <c r="B44" s="19" t="s">
        <v>3147</v>
      </c>
      <c r="C44" s="55" t="s">
        <v>3117</v>
      </c>
      <c r="D44" s="19">
        <v>1</v>
      </c>
      <c r="E44" s="19"/>
      <c r="F44" s="254"/>
      <c r="G44" s="19"/>
      <c r="H44" s="19"/>
    </row>
    <row r="45" spans="1:8">
      <c r="A45" s="19" t="s">
        <v>3119</v>
      </c>
      <c r="B45" s="61" t="s">
        <v>3149</v>
      </c>
      <c r="C45" s="55" t="s">
        <v>3121</v>
      </c>
      <c r="D45" s="19">
        <v>11</v>
      </c>
      <c r="E45" s="19"/>
      <c r="F45" s="263">
        <v>46045</v>
      </c>
      <c r="G45" s="19"/>
      <c r="H45" s="19" t="s">
        <v>3150</v>
      </c>
    </row>
    <row r="46" spans="1:8">
      <c r="A46" s="19" t="s">
        <v>3119</v>
      </c>
      <c r="B46" s="61" t="s">
        <v>3149</v>
      </c>
      <c r="C46" s="55" t="s">
        <v>3117</v>
      </c>
      <c r="D46" s="19">
        <v>3</v>
      </c>
      <c r="E46" s="19"/>
      <c r="F46" s="254"/>
      <c r="G46" s="19"/>
      <c r="H46" s="19"/>
    </row>
    <row r="47" spans="1:8">
      <c r="A47" s="19" t="s">
        <v>3119</v>
      </c>
      <c r="B47" s="61" t="s">
        <v>3151</v>
      </c>
      <c r="C47" s="55" t="s">
        <v>3117</v>
      </c>
      <c r="D47" s="19">
        <v>2</v>
      </c>
      <c r="E47" s="19"/>
      <c r="F47" s="254"/>
      <c r="G47" s="19"/>
      <c r="H47" s="19"/>
    </row>
    <row r="48" spans="1:8">
      <c r="A48" s="19" t="s">
        <v>3119</v>
      </c>
      <c r="B48" s="19" t="s">
        <v>988</v>
      </c>
      <c r="C48" s="55" t="s">
        <v>3121</v>
      </c>
      <c r="D48" s="19"/>
      <c r="E48" s="19"/>
      <c r="F48" s="254"/>
      <c r="G48" s="19"/>
      <c r="H48" s="19"/>
    </row>
    <row r="49" spans="1:8">
      <c r="A49" s="19" t="s">
        <v>3152</v>
      </c>
      <c r="B49" s="19" t="s">
        <v>713</v>
      </c>
      <c r="C49" s="55" t="s">
        <v>3121</v>
      </c>
      <c r="D49" s="19">
        <v>10</v>
      </c>
      <c r="E49" s="19"/>
      <c r="F49" s="254"/>
      <c r="G49" s="19"/>
      <c r="H49" s="19"/>
    </row>
    <row r="50" spans="1:8">
      <c r="A50" s="19" t="s">
        <v>3152</v>
      </c>
      <c r="B50" s="19" t="s">
        <v>713</v>
      </c>
      <c r="C50" s="55" t="s">
        <v>3117</v>
      </c>
      <c r="D50" s="19">
        <v>1</v>
      </c>
      <c r="E50" s="19"/>
      <c r="F50" s="254"/>
      <c r="G50" s="19"/>
      <c r="H50" s="19"/>
    </row>
    <row r="51" spans="1:8">
      <c r="A51" s="19" t="s">
        <v>3152</v>
      </c>
      <c r="B51" s="61" t="s">
        <v>2188</v>
      </c>
      <c r="C51" s="55" t="s">
        <v>3117</v>
      </c>
      <c r="D51" s="19">
        <v>1</v>
      </c>
      <c r="E51" s="19"/>
      <c r="F51" s="254"/>
      <c r="G51" s="19"/>
      <c r="H51" s="19"/>
    </row>
    <row r="52" spans="1:8">
      <c r="A52" s="19"/>
      <c r="B52" s="19"/>
      <c r="C52" s="55"/>
      <c r="D52" s="19"/>
      <c r="E52" s="19"/>
      <c r="F52" s="254"/>
      <c r="G52" s="19"/>
      <c r="H52" s="19"/>
    </row>
    <row r="53" spans="1:8">
      <c r="A53" s="19"/>
      <c r="B53" s="19"/>
      <c r="C53" s="55"/>
      <c r="D53" s="19"/>
      <c r="E53" s="19"/>
      <c r="F53" s="254"/>
      <c r="G53" s="19"/>
      <c r="H53" s="19"/>
    </row>
    <row r="54" spans="1:8">
      <c r="A54" s="19"/>
      <c r="B54" s="19"/>
      <c r="C54" s="55"/>
      <c r="D54" s="19"/>
      <c r="E54" s="19"/>
      <c r="F54" s="254"/>
      <c r="G54" s="19"/>
      <c r="H54" s="19"/>
    </row>
    <row r="55" spans="1:8">
      <c r="A55" s="19"/>
      <c r="B55" s="19"/>
      <c r="C55" s="55"/>
      <c r="D55" s="19"/>
      <c r="E55" s="19"/>
      <c r="F55" s="254"/>
      <c r="G55" s="19"/>
      <c r="H55" s="19"/>
    </row>
    <row r="56" spans="1:8">
      <c r="A56" s="19"/>
      <c r="B56" s="19"/>
      <c r="C56" s="55"/>
      <c r="D56" s="19"/>
      <c r="E56" s="19"/>
      <c r="F56" s="254"/>
      <c r="G56" s="19"/>
      <c r="H56" s="19"/>
    </row>
  </sheetData>
  <autoFilter ref="A1:I1" xr:uid="{5BF4FDD2-7235-4EAA-95F1-04C356CF4B57}"/>
  <sortState xmlns:xlrd2="http://schemas.microsoft.com/office/spreadsheetml/2017/richdata2" ref="A2:I12">
    <sortCondition ref="B2:B12"/>
  </sortState>
  <conditionalFormatting sqref="C18:I18 A14:I14 A16:I17 A18">
    <cfRule type="expression" dxfId="1578" priority="42">
      <formula>$A14="ATT COMAC/CAPFT"</formula>
    </cfRule>
    <cfRule type="expression" dxfId="1577" priority="43">
      <formula>$A14="ATT DTA"</formula>
    </cfRule>
    <cfRule type="expression" dxfId="1576" priority="44">
      <formula>$A14="ATT TRVX CLIENT"</formula>
    </cfRule>
    <cfRule type="expression" dxfId="1575" priority="45">
      <formula>$A14="RETOUR COMAC/CAPFT"</formula>
    </cfRule>
    <cfRule type="expression" dxfId="1574" priority="46">
      <formula>$A14="DOSSIER A REPRENDRE"</formula>
    </cfRule>
    <cfRule type="expression" dxfId="1573" priority="47">
      <formula>$A14="ATT PV"</formula>
    </cfRule>
    <cfRule type="expression" dxfId="1572" priority="48">
      <formula>$A14="DOSSIER A MONTER"</formula>
    </cfRule>
    <cfRule type="expression" dxfId="1571" priority="49">
      <formula>$A14="POI EN FACTU"</formula>
    </cfRule>
    <cfRule type="expression" dxfId="1570" priority="50">
      <formula>$A14="ATT INFOS CAF REF"</formula>
    </cfRule>
    <cfRule type="expression" dxfId="1569" priority="51">
      <formula>$A14="RETOUR VT"</formula>
    </cfRule>
    <cfRule type="expression" dxfId="1568" priority="52">
      <formula>$A14="VT A FAIRE"</formula>
    </cfRule>
    <cfRule type="expression" dxfId="1567" priority="53">
      <formula>$A14="ATT DEVIS ORANGE/RIP"</formula>
    </cfRule>
    <cfRule type="expression" dxfId="1566" priority="54">
      <formula>$A14="POI EN TRAVAUX"</formula>
    </cfRule>
    <cfRule type="expression" dxfId="1565" priority="55">
      <formula>$A14="ATT DEVIS CLIENT"</formula>
    </cfRule>
  </conditionalFormatting>
  <conditionalFormatting sqref="B18">
    <cfRule type="expression" dxfId="1564" priority="28">
      <formula>$A18="ATT COMAC/CAPFT"</formula>
    </cfRule>
    <cfRule type="expression" dxfId="1563" priority="29">
      <formula>$A18="ATT DTA"</formula>
    </cfRule>
    <cfRule type="expression" dxfId="1562" priority="30">
      <formula>$A18="ATT TRVX CLIENT"</formula>
    </cfRule>
    <cfRule type="expression" dxfId="1561" priority="31">
      <formula>$A18="RETOUR COMAC/CAPFT"</formula>
    </cfRule>
    <cfRule type="expression" dxfId="1560" priority="32">
      <formula>$A18="DOSSIER A REPRENDRE"</formula>
    </cfRule>
    <cfRule type="expression" dxfId="1559" priority="33">
      <formula>$A18="ATT PV"</formula>
    </cfRule>
    <cfRule type="expression" dxfId="1558" priority="34">
      <formula>$A18="DOSSIER A MONTER"</formula>
    </cfRule>
    <cfRule type="expression" dxfId="1557" priority="35">
      <formula>$A18="POI EN FACTU"</formula>
    </cfRule>
    <cfRule type="expression" dxfId="1556" priority="36">
      <formula>$A18="ATT INFOS CAF REF"</formula>
    </cfRule>
    <cfRule type="expression" dxfId="1555" priority="37">
      <formula>$A18="RETOUR VT"</formula>
    </cfRule>
    <cfRule type="expression" dxfId="1554" priority="38">
      <formula>$A18="VT A FAIRE"</formula>
    </cfRule>
    <cfRule type="expression" dxfId="1553" priority="39">
      <formula>$A18="ATT DEVIS ORANGE/RIP"</formula>
    </cfRule>
    <cfRule type="expression" dxfId="1552" priority="40">
      <formula>$A18="POI EN TRAVAUX"</formula>
    </cfRule>
    <cfRule type="expression" dxfId="1551" priority="41">
      <formula>$A18="ATT DEVIS CLIENT"</formula>
    </cfRule>
  </conditionalFormatting>
  <conditionalFormatting sqref="A2:I12">
    <cfRule type="expression" dxfId="1550" priority="1268">
      <formula>$A2="ATT COMAC/CAPFT"</formula>
    </cfRule>
    <cfRule type="expression" dxfId="1549" priority="1269">
      <formula>$A2="ATT DTA"</formula>
    </cfRule>
    <cfRule type="expression" dxfId="1548" priority="1270">
      <formula>$A2="ATT TRVX CLIENT"</formula>
    </cfRule>
    <cfRule type="expression" dxfId="1547" priority="1271">
      <formula>$A2="RETOUR COMAC/CAPFT"</formula>
    </cfRule>
    <cfRule type="expression" dxfId="1546" priority="1272">
      <formula>$A2="DOSSIER A REPRENDRE"</formula>
    </cfRule>
    <cfRule type="expression" dxfId="1545" priority="1273">
      <formula>$A2="ATT PV"</formula>
    </cfRule>
    <cfRule type="expression" dxfId="1544" priority="1274">
      <formula>$A2="DOSSIER A MONTER"</formula>
    </cfRule>
    <cfRule type="expression" dxfId="1543" priority="1275">
      <formula>$A2="POI EN FACTU"</formula>
    </cfRule>
    <cfRule type="expression" dxfId="1542" priority="1276">
      <formula>$A2="ATT INFOS CAF REF"</formula>
    </cfRule>
    <cfRule type="expression" dxfId="1541" priority="1277">
      <formula>$A2="RETOUR VT"</formula>
    </cfRule>
    <cfRule type="expression" dxfId="1540" priority="1278">
      <formula>$A2="VT A FAIRE"</formula>
    </cfRule>
    <cfRule type="expression" dxfId="1539" priority="1279">
      <formula>$A2="ATT DEVIS ORANGE/RIP"</formula>
    </cfRule>
    <cfRule type="expression" dxfId="1538" priority="1280">
      <formula>$A2="POI EN TRAVAUX"</formula>
    </cfRule>
    <cfRule type="expression" dxfId="1537" priority="1281">
      <formula>$A2="ATT DEVIS CLIENT"</formula>
    </cfRule>
  </conditionalFormatting>
  <conditionalFormatting sqref="A13:I13 A15:I15">
    <cfRule type="expression" dxfId="1536" priority="1282">
      <formula>$A13="ATT COMAC/CAPFT"</formula>
    </cfRule>
    <cfRule type="expression" dxfId="1535" priority="1283">
      <formula>$A13="ATT DTA"</formula>
    </cfRule>
    <cfRule type="expression" dxfId="1534" priority="1284">
      <formula>$A13="ATT TRVX CLIENT"</formula>
    </cfRule>
    <cfRule type="expression" dxfId="1533" priority="1285">
      <formula>$A13="DOSSIER A REPRENDRE"</formula>
    </cfRule>
    <cfRule type="expression" dxfId="1532" priority="1286">
      <formula>$A13="ATT PV"</formula>
    </cfRule>
    <cfRule type="expression" dxfId="1531" priority="1287">
      <formula>$A13="DOSSIER A MONTER"</formula>
    </cfRule>
    <cfRule type="expression" dxfId="1530" priority="1288">
      <formula>$A13="POI EN FACTU"</formula>
    </cfRule>
    <cfRule type="expression" dxfId="1529" priority="1289">
      <formula>$A13="ATT INFOS CAF REF"</formula>
    </cfRule>
    <cfRule type="expression" dxfId="1528" priority="1290">
      <formula>$A13="RETOUR VT"</formula>
    </cfRule>
    <cfRule type="expression" dxfId="1527" priority="1291">
      <formula>$A13="VT A FAIRE"</formula>
    </cfRule>
    <cfRule type="expression" dxfId="1526" priority="1292">
      <formula>$A13="ATT DEVIS ORANGE/RIP"</formula>
    </cfRule>
    <cfRule type="expression" dxfId="1525" priority="1293">
      <formula>$A13="POI EN TRAVAUX"</formula>
    </cfRule>
    <cfRule type="expression" dxfId="1524" priority="1294">
      <formula>$A13="ATT DEVIS CLIENT"</formula>
    </cfRule>
  </conditionalFormatting>
  <conditionalFormatting sqref="A2:B102">
    <cfRule type="expression" dxfId="1523" priority="24">
      <formula>$A2="05 Dossier terminer"</formula>
    </cfRule>
    <cfRule type="expression" dxfId="1522" priority="25">
      <formula>$A2="04 Dossier à reprendre"</formula>
    </cfRule>
    <cfRule type="expression" dxfId="1521" priority="26">
      <formula>$A2="02 En cours"</formula>
    </cfRule>
    <cfRule type="expression" dxfId="1520" priority="27">
      <formula>$A2="03 Att Infos"</formula>
    </cfRule>
  </conditionalFormatting>
  <dataValidations count="1">
    <dataValidation type="list" allowBlank="1" showInputMessage="1" showErrorMessage="1" sqref="C2:C56" xr:uid="{90FC9EE3-2B3D-4C9F-A4DB-97B572A7CBC7}">
      <formula1>"COMAC , CAPFT"</formula1>
    </dataValidation>
  </dataValidations>
  <hyperlinks>
    <hyperlink ref="B9" r:id="rId1" xr:uid="{2C5E71BE-6515-4887-9EE9-D2C726F885D9}"/>
    <hyperlink ref="B45" r:id="rId2" xr:uid="{B82ABEC3-9D95-4F3D-AE18-CEC54B83ED15}"/>
    <hyperlink ref="B46" r:id="rId3" xr:uid="{51BE0F6B-1C0F-452E-A832-9A8EA6D70AC4}"/>
    <hyperlink ref="B47" r:id="rId4" xr:uid="{5003509F-1238-47C6-BB47-C79A748DA6AB}"/>
    <hyperlink ref="B51" r:id="rId5" xr:uid="{E0D61AB6-6B53-4629-BF7B-89F3891227A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58BA552-B10A-42E7-A4D0-EEBB335D9242}">
          <x14:formula1>
            <xm:f>Feuil2!$F$1:$F$5</xm:f>
          </x14:formula1>
          <xm:sqref>A1:A1048576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70"/>
  <sheetViews>
    <sheetView workbookViewId="0">
      <selection activeCell="U7" sqref="U7:V7"/>
    </sheetView>
  </sheetViews>
  <sheetFormatPr defaultColWidth="8.85546875" defaultRowHeight="15"/>
  <cols>
    <col min="1" max="1" width="28.5703125" customWidth="1"/>
    <col min="2" max="2" width="14.5703125" customWidth="1"/>
    <col min="3" max="3" width="32.85546875" bestFit="1" customWidth="1"/>
    <col min="4" max="4" width="14.5703125" customWidth="1"/>
    <col min="5" max="5" width="44.42578125" bestFit="1" customWidth="1"/>
    <col min="6" max="6" width="15.5703125" customWidth="1"/>
    <col min="7" max="7" width="22" bestFit="1" customWidth="1"/>
    <col min="8" max="8" width="18.7109375" customWidth="1"/>
    <col min="9" max="9" width="22" bestFit="1" customWidth="1"/>
    <col min="10" max="10" width="14.5703125" customWidth="1"/>
    <col min="11" max="11" width="33.5703125" bestFit="1" customWidth="1"/>
    <col min="12" max="12" width="14.5703125" customWidth="1"/>
    <col min="13" max="13" width="35.5703125" bestFit="1" customWidth="1"/>
    <col min="14" max="14" width="14.5703125" customWidth="1"/>
    <col min="15" max="15" width="3.85546875" customWidth="1"/>
    <col min="16" max="16" width="22" bestFit="1" customWidth="1"/>
    <col min="17" max="17" width="17.85546875" bestFit="1" customWidth="1"/>
    <col min="18" max="18" width="14.140625" bestFit="1" customWidth="1"/>
    <col min="19" max="19" width="22" bestFit="1" customWidth="1"/>
    <col min="20" max="20" width="26.42578125" bestFit="1" customWidth="1"/>
    <col min="21" max="21" width="26.7109375" bestFit="1" customWidth="1"/>
    <col min="22" max="22" width="17.42578125" bestFit="1" customWidth="1"/>
    <col min="23" max="23" width="16.7109375" bestFit="1" customWidth="1"/>
    <col min="24" max="24" width="25" bestFit="1" customWidth="1"/>
    <col min="25" max="25" width="16.85546875" bestFit="1" customWidth="1"/>
    <col min="26" max="26" width="12.7109375" bestFit="1" customWidth="1"/>
    <col min="27" max="27" width="14.5703125" bestFit="1" customWidth="1"/>
    <col min="28" max="28" width="19.140625" bestFit="1" customWidth="1"/>
    <col min="29" max="29" width="30.85546875" bestFit="1" customWidth="1"/>
    <col min="30" max="30" width="17.85546875" bestFit="1" customWidth="1"/>
    <col min="31" max="31" width="17.5703125" bestFit="1" customWidth="1"/>
    <col min="32" max="32" width="16.28515625" bestFit="1" customWidth="1"/>
    <col min="33" max="33" width="20.85546875" bestFit="1" customWidth="1"/>
    <col min="34" max="34" width="21.140625" bestFit="1" customWidth="1"/>
    <col min="35" max="35" width="24" bestFit="1" customWidth="1"/>
    <col min="36" max="36" width="17.7109375" bestFit="1" customWidth="1"/>
    <col min="37" max="37" width="23.42578125" bestFit="1" customWidth="1"/>
    <col min="38" max="38" width="22.42578125" bestFit="1" customWidth="1"/>
    <col min="39" max="39" width="24.5703125" bestFit="1" customWidth="1"/>
    <col min="40" max="40" width="21.28515625" bestFit="1" customWidth="1"/>
    <col min="41" max="41" width="7" bestFit="1" customWidth="1"/>
    <col min="42" max="42" width="17.85546875" bestFit="1" customWidth="1"/>
    <col min="43" max="43" width="15.28515625" bestFit="1" customWidth="1"/>
    <col min="44" max="44" width="16.42578125" bestFit="1" customWidth="1"/>
    <col min="45" max="45" width="15.28515625" bestFit="1" customWidth="1"/>
    <col min="46" max="46" width="15.7109375" bestFit="1" customWidth="1"/>
    <col min="47" max="47" width="24.42578125" bestFit="1" customWidth="1"/>
    <col min="48" max="48" width="14.5703125" bestFit="1" customWidth="1"/>
    <col min="49" max="49" width="9.42578125" bestFit="1" customWidth="1"/>
    <col min="51" max="51" width="6.42578125" bestFit="1" customWidth="1"/>
    <col min="52" max="52" width="10.42578125" bestFit="1" customWidth="1"/>
    <col min="53" max="54" width="15.42578125" bestFit="1" customWidth="1"/>
    <col min="55" max="55" width="14" bestFit="1" customWidth="1"/>
    <col min="56" max="56" width="14.28515625" bestFit="1" customWidth="1"/>
    <col min="57" max="57" width="22.140625" bestFit="1" customWidth="1"/>
    <col min="58" max="58" width="16.7109375" bestFit="1" customWidth="1"/>
    <col min="59" max="59" width="13" bestFit="1" customWidth="1"/>
    <col min="60" max="60" width="17.7109375" bestFit="1" customWidth="1"/>
    <col min="61" max="61" width="11.140625" bestFit="1" customWidth="1"/>
    <col min="62" max="62" width="14.42578125" bestFit="1" customWidth="1"/>
    <col min="63" max="63" width="14.85546875" bestFit="1" customWidth="1"/>
    <col min="64" max="64" width="14.28515625" bestFit="1" customWidth="1"/>
    <col min="65" max="65" width="12.42578125" bestFit="1" customWidth="1"/>
    <col min="66" max="66" width="11.140625" bestFit="1" customWidth="1"/>
    <col min="67" max="67" width="19.7109375" bestFit="1" customWidth="1"/>
    <col min="68" max="68" width="11.5703125" bestFit="1" customWidth="1"/>
    <col min="69" max="69" width="12.42578125" bestFit="1" customWidth="1"/>
    <col min="70" max="70" width="17.42578125" bestFit="1" customWidth="1"/>
    <col min="71" max="71" width="15.42578125" bestFit="1" customWidth="1"/>
    <col min="72" max="72" width="9.7109375" bestFit="1" customWidth="1"/>
    <col min="73" max="73" width="8.85546875" bestFit="1" customWidth="1"/>
    <col min="74" max="74" width="10.7109375" bestFit="1" customWidth="1"/>
    <col min="75" max="75" width="15.85546875" bestFit="1" customWidth="1"/>
    <col min="76" max="76" width="18.5703125" bestFit="1" customWidth="1"/>
    <col min="77" max="77" width="17.7109375" bestFit="1" customWidth="1"/>
    <col min="78" max="78" width="15.5703125" bestFit="1" customWidth="1"/>
    <col min="79" max="79" width="7.7109375" bestFit="1" customWidth="1"/>
    <col min="80" max="80" width="12.7109375" bestFit="1" customWidth="1"/>
    <col min="81" max="81" width="13.85546875" bestFit="1" customWidth="1"/>
    <col min="82" max="82" width="17.5703125" bestFit="1" customWidth="1"/>
    <col min="83" max="83" width="32.5703125" bestFit="1" customWidth="1"/>
    <col min="84" max="84" width="8.42578125" bestFit="1" customWidth="1"/>
    <col min="85" max="85" width="19.5703125" bestFit="1" customWidth="1"/>
    <col min="86" max="86" width="15.5703125" bestFit="1" customWidth="1"/>
    <col min="87" max="87" width="20.5703125" bestFit="1" customWidth="1"/>
    <col min="88" max="88" width="17.5703125" bestFit="1" customWidth="1"/>
    <col min="89" max="89" width="23.7109375" bestFit="1" customWidth="1"/>
    <col min="90" max="90" width="19.42578125" bestFit="1" customWidth="1"/>
    <col min="91" max="91" width="15" bestFit="1" customWidth="1"/>
    <col min="92" max="92" width="12.7109375" bestFit="1" customWidth="1"/>
    <col min="93" max="93" width="16.85546875" bestFit="1" customWidth="1"/>
    <col min="94" max="94" width="15.140625" bestFit="1" customWidth="1"/>
    <col min="95" max="95" width="15.42578125" bestFit="1" customWidth="1"/>
    <col min="96" max="96" width="17" bestFit="1" customWidth="1"/>
    <col min="97" max="97" width="21" bestFit="1" customWidth="1"/>
    <col min="98" max="98" width="10.85546875" bestFit="1" customWidth="1"/>
    <col min="99" max="99" width="21.28515625" bestFit="1" customWidth="1"/>
    <col min="100" max="100" width="14.5703125" bestFit="1" customWidth="1"/>
    <col min="101" max="101" width="9.85546875" bestFit="1" customWidth="1"/>
    <col min="102" max="102" width="31.140625" bestFit="1" customWidth="1"/>
    <col min="103" max="103" width="11" bestFit="1" customWidth="1"/>
    <col min="104" max="104" width="12.28515625" bestFit="1" customWidth="1"/>
    <col min="105" max="105" width="7.7109375" bestFit="1" customWidth="1"/>
    <col min="106" max="106" width="8.140625" bestFit="1" customWidth="1"/>
    <col min="107" max="107" width="8.28515625" bestFit="1" customWidth="1"/>
    <col min="108" max="108" width="26.28515625" bestFit="1" customWidth="1"/>
    <col min="109" max="109" width="5.85546875" bestFit="1" customWidth="1"/>
    <col min="110" max="110" width="12.140625" bestFit="1" customWidth="1"/>
  </cols>
  <sheetData>
    <row r="1" spans="1:20" ht="21">
      <c r="A1" s="417" t="s">
        <v>3153</v>
      </c>
      <c r="B1" s="417"/>
      <c r="C1" s="419" t="s">
        <v>21</v>
      </c>
      <c r="D1" s="419"/>
      <c r="E1" s="423" t="s">
        <v>3154</v>
      </c>
      <c r="F1" s="423"/>
      <c r="G1" s="420" t="s">
        <v>3155</v>
      </c>
      <c r="H1" s="420"/>
      <c r="I1" s="421" t="s">
        <v>3156</v>
      </c>
      <c r="J1" s="421"/>
      <c r="K1" s="422" t="s">
        <v>3157</v>
      </c>
      <c r="L1" s="422"/>
      <c r="M1" s="418" t="s">
        <v>3158</v>
      </c>
      <c r="N1" s="418"/>
      <c r="P1" s="1" t="s">
        <v>3159</v>
      </c>
      <c r="Q1" t="s">
        <v>3160</v>
      </c>
      <c r="S1" s="1" t="s">
        <v>3159</v>
      </c>
      <c r="T1" t="s">
        <v>3161</v>
      </c>
    </row>
    <row r="2" spans="1:20">
      <c r="C2" s="1" t="s">
        <v>31</v>
      </c>
      <c r="D2" t="s">
        <v>1387</v>
      </c>
      <c r="E2" s="44"/>
      <c r="F2" s="44"/>
      <c r="G2" s="1" t="s">
        <v>31</v>
      </c>
      <c r="H2" t="s">
        <v>16</v>
      </c>
      <c r="I2" s="1" t="s">
        <v>31</v>
      </c>
      <c r="J2" t="s">
        <v>3162</v>
      </c>
      <c r="K2" s="1" t="s">
        <v>31</v>
      </c>
      <c r="L2" t="s">
        <v>3162</v>
      </c>
      <c r="M2" s="1" t="s">
        <v>31</v>
      </c>
      <c r="N2" t="s">
        <v>3162</v>
      </c>
      <c r="P2" s="2" t="s">
        <v>3158</v>
      </c>
      <c r="Q2">
        <v>5</v>
      </c>
      <c r="S2" s="2" t="s">
        <v>3158</v>
      </c>
      <c r="T2">
        <v>194</v>
      </c>
    </row>
    <row r="3" spans="1:20">
      <c r="A3" s="1" t="s">
        <v>30</v>
      </c>
      <c r="B3" t="s">
        <v>3162</v>
      </c>
      <c r="C3" s="1" t="s">
        <v>33</v>
      </c>
      <c r="D3" t="s">
        <v>3162</v>
      </c>
      <c r="E3" s="44"/>
      <c r="F3" s="44"/>
      <c r="G3" s="1" t="s">
        <v>33</v>
      </c>
      <c r="H3" t="s">
        <v>3162</v>
      </c>
      <c r="I3" s="1" t="s">
        <v>33</v>
      </c>
      <c r="J3" t="s">
        <v>3162</v>
      </c>
      <c r="K3" s="1" t="s">
        <v>33</v>
      </c>
      <c r="L3" t="s">
        <v>3162</v>
      </c>
      <c r="M3" s="1" t="s">
        <v>33</v>
      </c>
      <c r="N3" t="s">
        <v>3162</v>
      </c>
      <c r="P3" s="2" t="s">
        <v>21</v>
      </c>
      <c r="Q3">
        <v>36</v>
      </c>
      <c r="S3" s="2" t="s">
        <v>21</v>
      </c>
      <c r="T3">
        <v>176</v>
      </c>
    </row>
    <row r="4" spans="1:20">
      <c r="A4" s="1" t="s">
        <v>33</v>
      </c>
      <c r="B4" t="s">
        <v>3162</v>
      </c>
      <c r="C4" s="1" t="s">
        <v>30</v>
      </c>
      <c r="D4" t="s">
        <v>3162</v>
      </c>
      <c r="E4" s="1" t="s">
        <v>31</v>
      </c>
      <c r="F4" t="s">
        <v>3162</v>
      </c>
      <c r="G4" s="1" t="s">
        <v>30</v>
      </c>
      <c r="H4" t="s">
        <v>3162</v>
      </c>
      <c r="I4" s="1" t="s">
        <v>30</v>
      </c>
      <c r="J4" t="s">
        <v>3162</v>
      </c>
      <c r="K4" s="1" t="s">
        <v>30</v>
      </c>
      <c r="L4" t="s">
        <v>3162</v>
      </c>
      <c r="M4" s="1" t="s">
        <v>30</v>
      </c>
      <c r="N4" t="s">
        <v>3162</v>
      </c>
      <c r="P4" s="2" t="s">
        <v>3157</v>
      </c>
      <c r="Q4">
        <v>7</v>
      </c>
      <c r="S4" s="2" t="s">
        <v>3157</v>
      </c>
      <c r="T4">
        <v>255</v>
      </c>
    </row>
    <row r="5" spans="1:20">
      <c r="A5" s="1" t="s">
        <v>3163</v>
      </c>
      <c r="B5" t="s">
        <v>3162</v>
      </c>
      <c r="C5" s="1" t="s">
        <v>3163</v>
      </c>
      <c r="D5" t="s">
        <v>3162</v>
      </c>
      <c r="E5" s="1" t="s">
        <v>3164</v>
      </c>
      <c r="F5" t="s">
        <v>3162</v>
      </c>
      <c r="G5" s="1" t="s">
        <v>3163</v>
      </c>
      <c r="H5" t="s">
        <v>3162</v>
      </c>
      <c r="I5" s="1" t="s">
        <v>3165</v>
      </c>
      <c r="J5" t="s">
        <v>3162</v>
      </c>
      <c r="K5" s="1" t="s">
        <v>3163</v>
      </c>
      <c r="L5" t="s">
        <v>3162</v>
      </c>
      <c r="M5" s="1" t="s">
        <v>3163</v>
      </c>
      <c r="N5" t="s">
        <v>3162</v>
      </c>
      <c r="P5" s="2" t="s">
        <v>3154</v>
      </c>
      <c r="S5" s="2" t="s">
        <v>3154</v>
      </c>
      <c r="T5">
        <v>188</v>
      </c>
    </row>
    <row r="6" spans="1:20">
      <c r="A6" s="1" t="s">
        <v>3164</v>
      </c>
      <c r="B6" t="s">
        <v>3162</v>
      </c>
      <c r="C6" s="1" t="s">
        <v>3164</v>
      </c>
      <c r="D6" t="s">
        <v>3162</v>
      </c>
      <c r="E6" s="1" t="s">
        <v>3163</v>
      </c>
      <c r="F6" t="s">
        <v>3162</v>
      </c>
      <c r="G6" s="1" t="s">
        <v>3164</v>
      </c>
      <c r="H6" t="s">
        <v>3162</v>
      </c>
      <c r="I6" s="1" t="s">
        <v>3166</v>
      </c>
      <c r="J6" t="s">
        <v>3162</v>
      </c>
      <c r="K6" s="1" t="s">
        <v>3164</v>
      </c>
      <c r="L6" t="s">
        <v>3162</v>
      </c>
      <c r="M6" s="1" t="s">
        <v>3164</v>
      </c>
      <c r="N6" t="s">
        <v>3162</v>
      </c>
      <c r="P6" s="2" t="s">
        <v>3167</v>
      </c>
      <c r="S6" s="2" t="s">
        <v>3167</v>
      </c>
    </row>
    <row r="7" spans="1:20" s="3" customFormat="1">
      <c r="A7" s="6" t="s">
        <v>3168</v>
      </c>
      <c r="B7" s="15">
        <f>GETPIVOTDATA("POI",$B$8)</f>
        <v>124</v>
      </c>
      <c r="C7" s="6" t="s">
        <v>3168</v>
      </c>
      <c r="D7" s="15">
        <f>GETPIVOTDATA("POI",$C$8)</f>
        <v>67</v>
      </c>
      <c r="E7" s="6" t="s">
        <v>3168</v>
      </c>
      <c r="F7" s="15">
        <f>GETPIVOTDATA("COG",$E$8)</f>
        <v>138</v>
      </c>
      <c r="G7" s="6" t="s">
        <v>3168</v>
      </c>
      <c r="H7" s="15">
        <f>GETPIVOTDATA("POI",$G$8)</f>
        <v>11</v>
      </c>
      <c r="I7" s="6" t="s">
        <v>3168</v>
      </c>
      <c r="J7" s="15">
        <f>GETPIVOTDATA("POI",$I$8)</f>
        <v>29</v>
      </c>
      <c r="K7" s="6" t="s">
        <v>3168</v>
      </c>
      <c r="L7" s="16">
        <f>GETPIVOTDATA("POI",$K$8)</f>
        <v>255</v>
      </c>
      <c r="M7" s="6" t="s">
        <v>3168</v>
      </c>
      <c r="N7" s="15">
        <f>GETPIVOTDATA("POI",$M$8)</f>
        <v>194</v>
      </c>
      <c r="P7" s="2" t="s">
        <v>20</v>
      </c>
      <c r="Q7">
        <v>15</v>
      </c>
      <c r="S7" s="2" t="s">
        <v>20</v>
      </c>
      <c r="T7">
        <v>117</v>
      </c>
    </row>
    <row r="8" spans="1:20">
      <c r="A8" s="1" t="s">
        <v>3159</v>
      </c>
      <c r="B8" t="s">
        <v>3169</v>
      </c>
      <c r="C8" s="1" t="s">
        <v>3159</v>
      </c>
      <c r="D8" t="s">
        <v>3169</v>
      </c>
      <c r="E8" s="1" t="s">
        <v>3159</v>
      </c>
      <c r="F8" t="s">
        <v>3170</v>
      </c>
      <c r="G8" s="1" t="s">
        <v>3159</v>
      </c>
      <c r="H8" t="s">
        <v>3169</v>
      </c>
      <c r="I8" s="1" t="s">
        <v>3159</v>
      </c>
      <c r="J8" t="s">
        <v>3169</v>
      </c>
      <c r="K8" s="1" t="s">
        <v>3159</v>
      </c>
      <c r="L8" t="s">
        <v>3169</v>
      </c>
      <c r="M8" s="1" t="s">
        <v>3159</v>
      </c>
      <c r="N8" t="s">
        <v>3169</v>
      </c>
      <c r="P8" s="2" t="s">
        <v>23</v>
      </c>
      <c r="S8" s="2" t="s">
        <v>23</v>
      </c>
      <c r="T8">
        <v>84</v>
      </c>
    </row>
    <row r="9" spans="1:20">
      <c r="A9" s="2" t="s">
        <v>3171</v>
      </c>
      <c r="B9">
        <v>1</v>
      </c>
      <c r="C9" s="2" t="s">
        <v>3172</v>
      </c>
      <c r="D9">
        <v>1</v>
      </c>
      <c r="E9" s="2" t="s">
        <v>3173</v>
      </c>
      <c r="F9">
        <v>1</v>
      </c>
      <c r="G9" s="2" t="s">
        <v>2924</v>
      </c>
      <c r="H9">
        <v>3</v>
      </c>
      <c r="I9" s="2" t="s">
        <v>3174</v>
      </c>
      <c r="J9">
        <v>5</v>
      </c>
      <c r="K9" s="2" t="s">
        <v>3175</v>
      </c>
      <c r="L9">
        <v>1</v>
      </c>
      <c r="M9" s="2" t="s">
        <v>3176</v>
      </c>
      <c r="N9">
        <v>1</v>
      </c>
      <c r="P9" s="2" t="s">
        <v>3168</v>
      </c>
      <c r="Q9">
        <v>63</v>
      </c>
      <c r="S9" s="2" t="s">
        <v>3168</v>
      </c>
      <c r="T9">
        <v>1014</v>
      </c>
    </row>
    <row r="10" spans="1:20">
      <c r="A10" s="2" t="s">
        <v>3177</v>
      </c>
      <c r="B10">
        <v>1</v>
      </c>
      <c r="C10" s="2" t="s">
        <v>3178</v>
      </c>
      <c r="D10">
        <v>2</v>
      </c>
      <c r="E10" s="2" t="s">
        <v>2208</v>
      </c>
      <c r="F10">
        <v>1</v>
      </c>
      <c r="G10" s="2" t="s">
        <v>2947</v>
      </c>
      <c r="H10">
        <v>2</v>
      </c>
      <c r="I10" s="2" t="s">
        <v>3179</v>
      </c>
      <c r="J10">
        <v>1</v>
      </c>
      <c r="K10" s="2" t="s">
        <v>3180</v>
      </c>
      <c r="M10" s="2" t="s">
        <v>3181</v>
      </c>
      <c r="N10">
        <v>1</v>
      </c>
    </row>
    <row r="11" spans="1:20">
      <c r="A11" s="2" t="s">
        <v>2585</v>
      </c>
      <c r="B11">
        <v>1</v>
      </c>
      <c r="C11" s="2" t="s">
        <v>2140</v>
      </c>
      <c r="D11">
        <v>2</v>
      </c>
      <c r="E11" s="2" t="s">
        <v>3182</v>
      </c>
      <c r="F11">
        <v>3</v>
      </c>
      <c r="G11" s="2" t="s">
        <v>2912</v>
      </c>
      <c r="H11">
        <v>2</v>
      </c>
      <c r="I11" s="2" t="s">
        <v>2527</v>
      </c>
      <c r="J11">
        <v>1</v>
      </c>
      <c r="K11" s="60" t="s">
        <v>3183</v>
      </c>
      <c r="L11">
        <v>1</v>
      </c>
      <c r="M11" s="2" t="s">
        <v>3184</v>
      </c>
      <c r="N11">
        <v>1</v>
      </c>
    </row>
    <row r="12" spans="1:20">
      <c r="A12" s="2" t="s">
        <v>2570</v>
      </c>
      <c r="B12">
        <v>1</v>
      </c>
      <c r="C12" s="2" t="s">
        <v>2316</v>
      </c>
      <c r="D12">
        <v>3</v>
      </c>
      <c r="E12" s="2" t="s">
        <v>2458</v>
      </c>
      <c r="F12">
        <v>1</v>
      </c>
      <c r="G12" s="2" t="s">
        <v>2940</v>
      </c>
      <c r="H12">
        <v>1</v>
      </c>
      <c r="I12" s="2" t="s">
        <v>3185</v>
      </c>
      <c r="J12">
        <v>1</v>
      </c>
      <c r="K12" s="2" t="s">
        <v>3186</v>
      </c>
      <c r="L12">
        <v>1</v>
      </c>
      <c r="M12" s="2" t="s">
        <v>934</v>
      </c>
      <c r="N12">
        <v>1</v>
      </c>
    </row>
    <row r="13" spans="1:20">
      <c r="A13" s="2" t="s">
        <v>2580</v>
      </c>
      <c r="B13">
        <v>1</v>
      </c>
      <c r="C13" s="2" t="s">
        <v>3187</v>
      </c>
      <c r="D13">
        <v>1</v>
      </c>
      <c r="E13" s="2" t="s">
        <v>3188</v>
      </c>
      <c r="F13">
        <v>3</v>
      </c>
      <c r="G13" s="2" t="s">
        <v>3189</v>
      </c>
      <c r="H13">
        <v>1</v>
      </c>
      <c r="I13" s="2" t="s">
        <v>3190</v>
      </c>
      <c r="J13">
        <v>1</v>
      </c>
      <c r="K13" s="2" t="s">
        <v>3191</v>
      </c>
      <c r="L13">
        <v>1</v>
      </c>
      <c r="M13" s="2" t="s">
        <v>1280</v>
      </c>
      <c r="N13">
        <v>1</v>
      </c>
    </row>
    <row r="14" spans="1:20">
      <c r="A14" s="2" t="s">
        <v>3192</v>
      </c>
      <c r="B14">
        <v>1</v>
      </c>
      <c r="C14" s="2" t="s">
        <v>2349</v>
      </c>
      <c r="D14">
        <v>1</v>
      </c>
      <c r="E14" s="2" t="s">
        <v>3193</v>
      </c>
      <c r="F14">
        <v>1</v>
      </c>
      <c r="G14" s="2" t="s">
        <v>2605</v>
      </c>
      <c r="H14">
        <v>1</v>
      </c>
      <c r="I14" s="2" t="s">
        <v>3194</v>
      </c>
      <c r="J14">
        <v>2</v>
      </c>
      <c r="K14" s="2" t="s">
        <v>1047</v>
      </c>
      <c r="M14" s="2" t="s">
        <v>1165</v>
      </c>
      <c r="N14">
        <v>2</v>
      </c>
    </row>
    <row r="15" spans="1:20">
      <c r="A15" s="2" t="s">
        <v>3195</v>
      </c>
      <c r="B15">
        <v>3</v>
      </c>
      <c r="C15" s="2" t="s">
        <v>2415</v>
      </c>
      <c r="D15">
        <v>1</v>
      </c>
      <c r="E15" s="2" t="s">
        <v>2402</v>
      </c>
      <c r="F15">
        <v>6</v>
      </c>
      <c r="G15" s="2" t="s">
        <v>3196</v>
      </c>
      <c r="H15">
        <v>1</v>
      </c>
      <c r="I15" s="2" t="s">
        <v>2621</v>
      </c>
      <c r="J15">
        <v>1</v>
      </c>
      <c r="K15" s="60" t="s">
        <v>1048</v>
      </c>
      <c r="L15">
        <v>1</v>
      </c>
      <c r="M15" s="2" t="s">
        <v>626</v>
      </c>
      <c r="N15">
        <v>1</v>
      </c>
    </row>
    <row r="16" spans="1:20">
      <c r="A16" s="60" t="s">
        <v>3197</v>
      </c>
      <c r="B16">
        <v>1</v>
      </c>
      <c r="C16" s="2" t="s">
        <v>2314</v>
      </c>
      <c r="D16">
        <v>1</v>
      </c>
      <c r="E16" s="2" t="s">
        <v>3198</v>
      </c>
      <c r="F16">
        <v>1</v>
      </c>
      <c r="G16" s="2" t="s">
        <v>3168</v>
      </c>
      <c r="H16">
        <v>11</v>
      </c>
      <c r="I16" s="2" t="s">
        <v>2555</v>
      </c>
      <c r="J16">
        <v>1</v>
      </c>
      <c r="K16" s="2" t="s">
        <v>3199</v>
      </c>
      <c r="L16">
        <v>2</v>
      </c>
      <c r="M16" s="2" t="s">
        <v>602</v>
      </c>
      <c r="N16">
        <v>2</v>
      </c>
    </row>
    <row r="17" spans="1:14">
      <c r="A17" s="60" t="s">
        <v>3200</v>
      </c>
      <c r="B17">
        <v>1</v>
      </c>
      <c r="C17" s="2" t="s">
        <v>2151</v>
      </c>
      <c r="D17">
        <v>1</v>
      </c>
      <c r="E17" s="2" t="s">
        <v>2151</v>
      </c>
      <c r="F17">
        <v>4</v>
      </c>
      <c r="I17" s="2" t="s">
        <v>2531</v>
      </c>
      <c r="J17">
        <v>1</v>
      </c>
      <c r="K17" s="2" t="s">
        <v>1035</v>
      </c>
      <c r="L17">
        <v>1</v>
      </c>
      <c r="M17" s="2" t="s">
        <v>1310</v>
      </c>
      <c r="N17">
        <v>2</v>
      </c>
    </row>
    <row r="18" spans="1:14">
      <c r="A18" s="60" t="s">
        <v>3201</v>
      </c>
      <c r="B18">
        <v>1</v>
      </c>
      <c r="C18" s="2" t="s">
        <v>3202</v>
      </c>
      <c r="D18">
        <v>1</v>
      </c>
      <c r="E18" s="2" t="s">
        <v>3203</v>
      </c>
      <c r="F18">
        <v>1</v>
      </c>
      <c r="I18" s="2" t="s">
        <v>2561</v>
      </c>
      <c r="J18">
        <v>2</v>
      </c>
      <c r="K18" s="2" t="s">
        <v>804</v>
      </c>
      <c r="M18" s="2" t="s">
        <v>1212</v>
      </c>
      <c r="N18">
        <v>1</v>
      </c>
    </row>
    <row r="19" spans="1:14">
      <c r="A19" s="2" t="s">
        <v>3204</v>
      </c>
      <c r="B19">
        <v>1</v>
      </c>
      <c r="C19" s="2" t="s">
        <v>3205</v>
      </c>
      <c r="D19">
        <v>1</v>
      </c>
      <c r="E19" s="2" t="s">
        <v>3206</v>
      </c>
      <c r="F19">
        <v>1</v>
      </c>
      <c r="I19" s="2" t="s">
        <v>3207</v>
      </c>
      <c r="J19">
        <v>1</v>
      </c>
      <c r="K19" s="60" t="s">
        <v>805</v>
      </c>
      <c r="L19">
        <v>1</v>
      </c>
      <c r="M19" s="2" t="s">
        <v>1161</v>
      </c>
      <c r="N19">
        <v>2</v>
      </c>
    </row>
    <row r="20" spans="1:14">
      <c r="A20" s="2" t="s">
        <v>3208</v>
      </c>
      <c r="B20">
        <v>1</v>
      </c>
      <c r="C20" s="2" t="s">
        <v>3209</v>
      </c>
      <c r="D20">
        <v>1</v>
      </c>
      <c r="E20" s="2" t="s">
        <v>3210</v>
      </c>
      <c r="F20">
        <v>13</v>
      </c>
      <c r="I20" s="2" t="s">
        <v>3211</v>
      </c>
      <c r="J20">
        <v>1</v>
      </c>
      <c r="K20" s="2" t="s">
        <v>162</v>
      </c>
      <c r="M20" s="2" t="s">
        <v>496</v>
      </c>
      <c r="N20">
        <v>3</v>
      </c>
    </row>
    <row r="21" spans="1:14">
      <c r="A21" s="2" t="s">
        <v>2745</v>
      </c>
      <c r="B21">
        <v>2</v>
      </c>
      <c r="C21" s="2" t="s">
        <v>3210</v>
      </c>
      <c r="D21">
        <v>1</v>
      </c>
      <c r="E21" s="2" t="s">
        <v>3212</v>
      </c>
      <c r="F21">
        <v>90</v>
      </c>
      <c r="I21" s="2" t="s">
        <v>2716</v>
      </c>
      <c r="J21">
        <v>1</v>
      </c>
      <c r="K21" s="60" t="s">
        <v>163</v>
      </c>
      <c r="L21">
        <v>1</v>
      </c>
      <c r="M21" s="2" t="s">
        <v>559</v>
      </c>
      <c r="N21">
        <v>8</v>
      </c>
    </row>
    <row r="22" spans="1:14">
      <c r="A22" s="2" t="s">
        <v>3014</v>
      </c>
      <c r="B22">
        <v>1</v>
      </c>
      <c r="C22" s="2" t="s">
        <v>3213</v>
      </c>
      <c r="D22">
        <v>5</v>
      </c>
      <c r="E22" s="60" t="s">
        <v>3214</v>
      </c>
      <c r="F22">
        <v>1</v>
      </c>
      <c r="I22" s="2" t="s">
        <v>3215</v>
      </c>
      <c r="J22">
        <v>1</v>
      </c>
      <c r="K22" s="2" t="s">
        <v>77</v>
      </c>
      <c r="L22">
        <v>6</v>
      </c>
      <c r="M22" s="2" t="s">
        <v>614</v>
      </c>
      <c r="N22">
        <v>3</v>
      </c>
    </row>
    <row r="23" spans="1:14">
      <c r="A23" s="2" t="s">
        <v>2636</v>
      </c>
      <c r="B23">
        <v>1</v>
      </c>
      <c r="C23" s="2" t="s">
        <v>2181</v>
      </c>
      <c r="D23">
        <v>1</v>
      </c>
      <c r="E23" s="60" t="s">
        <v>3216</v>
      </c>
      <c r="F23">
        <v>1</v>
      </c>
      <c r="I23" s="2" t="s">
        <v>2711</v>
      </c>
      <c r="J23">
        <v>1</v>
      </c>
      <c r="K23" s="2" t="s">
        <v>3217</v>
      </c>
      <c r="L23">
        <v>3</v>
      </c>
      <c r="M23" s="2" t="s">
        <v>536</v>
      </c>
      <c r="N23">
        <v>1</v>
      </c>
    </row>
    <row r="24" spans="1:14">
      <c r="A24" s="2" t="s">
        <v>2851</v>
      </c>
      <c r="B24">
        <v>1</v>
      </c>
      <c r="C24" s="2" t="s">
        <v>3218</v>
      </c>
      <c r="D24">
        <v>1</v>
      </c>
      <c r="E24" s="60" t="s">
        <v>3219</v>
      </c>
      <c r="F24">
        <v>1</v>
      </c>
      <c r="I24" s="2" t="s">
        <v>3220</v>
      </c>
      <c r="J24">
        <v>1</v>
      </c>
      <c r="K24" s="2" t="s">
        <v>1068</v>
      </c>
      <c r="L24">
        <v>1</v>
      </c>
      <c r="M24" s="2" t="s">
        <v>3221</v>
      </c>
      <c r="N24">
        <v>2</v>
      </c>
    </row>
    <row r="25" spans="1:14">
      <c r="A25" s="2" t="s">
        <v>3011</v>
      </c>
      <c r="B25">
        <v>2</v>
      </c>
      <c r="C25" s="2" t="s">
        <v>3222</v>
      </c>
      <c r="D25">
        <v>3</v>
      </c>
      <c r="E25" s="60" t="s">
        <v>3223</v>
      </c>
      <c r="F25">
        <v>1</v>
      </c>
      <c r="I25" s="2" t="s">
        <v>2641</v>
      </c>
      <c r="J25">
        <v>2</v>
      </c>
      <c r="K25" s="2" t="s">
        <v>865</v>
      </c>
      <c r="L25">
        <v>2</v>
      </c>
      <c r="M25" s="2" t="s">
        <v>512</v>
      </c>
      <c r="N25">
        <v>1</v>
      </c>
    </row>
    <row r="26" spans="1:14">
      <c r="A26" s="2" t="s">
        <v>3224</v>
      </c>
      <c r="B26">
        <v>1</v>
      </c>
      <c r="C26" s="2" t="s">
        <v>1610</v>
      </c>
      <c r="D26">
        <v>2</v>
      </c>
      <c r="E26" s="60" t="s">
        <v>3225</v>
      </c>
      <c r="F26">
        <v>1</v>
      </c>
      <c r="I26" s="2" t="s">
        <v>2566</v>
      </c>
      <c r="J26">
        <v>1</v>
      </c>
      <c r="K26" s="2" t="s">
        <v>3226</v>
      </c>
      <c r="M26" s="2" t="s">
        <v>609</v>
      </c>
      <c r="N26">
        <v>6</v>
      </c>
    </row>
    <row r="27" spans="1:14">
      <c r="A27" s="2" t="s">
        <v>2545</v>
      </c>
      <c r="B27">
        <v>1</v>
      </c>
      <c r="C27" s="2" t="s">
        <v>3227</v>
      </c>
      <c r="D27">
        <v>1</v>
      </c>
      <c r="E27" s="60" t="s">
        <v>3228</v>
      </c>
      <c r="F27">
        <v>1</v>
      </c>
      <c r="I27" s="2" t="s">
        <v>3229</v>
      </c>
      <c r="J27">
        <v>1</v>
      </c>
      <c r="K27" s="60" t="s">
        <v>3230</v>
      </c>
      <c r="L27">
        <v>1</v>
      </c>
      <c r="M27" s="2" t="s">
        <v>526</v>
      </c>
      <c r="N27">
        <v>1</v>
      </c>
    </row>
    <row r="28" spans="1:14">
      <c r="A28" s="2" t="s">
        <v>2590</v>
      </c>
      <c r="B28">
        <v>3</v>
      </c>
      <c r="C28" s="2" t="s">
        <v>3231</v>
      </c>
      <c r="D28">
        <v>1</v>
      </c>
      <c r="E28" s="60" t="s">
        <v>3232</v>
      </c>
      <c r="F28">
        <v>2</v>
      </c>
      <c r="I28" s="2" t="s">
        <v>3233</v>
      </c>
      <c r="J28">
        <v>1</v>
      </c>
      <c r="K28" s="2" t="s">
        <v>3234</v>
      </c>
      <c r="L28">
        <v>1</v>
      </c>
      <c r="M28" s="2" t="s">
        <v>1187</v>
      </c>
      <c r="N28">
        <v>2</v>
      </c>
    </row>
    <row r="29" spans="1:14">
      <c r="A29" s="2" t="s">
        <v>3235</v>
      </c>
      <c r="B29">
        <v>1</v>
      </c>
      <c r="C29" s="60" t="s">
        <v>3236</v>
      </c>
      <c r="D29">
        <v>1</v>
      </c>
      <c r="E29" s="60" t="s">
        <v>3237</v>
      </c>
      <c r="F29">
        <v>1</v>
      </c>
      <c r="I29" s="2" t="s">
        <v>3156</v>
      </c>
      <c r="J29">
        <v>1</v>
      </c>
      <c r="K29" s="2" t="s">
        <v>3238</v>
      </c>
      <c r="L29">
        <v>1</v>
      </c>
      <c r="M29" s="2" t="s">
        <v>3239</v>
      </c>
      <c r="N29">
        <v>1</v>
      </c>
    </row>
    <row r="30" spans="1:14">
      <c r="A30" s="2" t="s">
        <v>2918</v>
      </c>
      <c r="B30">
        <v>5</v>
      </c>
      <c r="C30" s="2" t="s">
        <v>3240</v>
      </c>
      <c r="D30">
        <v>1</v>
      </c>
      <c r="E30" s="60" t="s">
        <v>3241</v>
      </c>
      <c r="F30">
        <v>1</v>
      </c>
      <c r="I30" s="2" t="s">
        <v>2550</v>
      </c>
      <c r="J30">
        <v>1</v>
      </c>
      <c r="K30" s="2" t="s">
        <v>3242</v>
      </c>
      <c r="L30">
        <v>1</v>
      </c>
      <c r="M30" s="2" t="s">
        <v>3243</v>
      </c>
      <c r="N30">
        <v>1</v>
      </c>
    </row>
    <row r="31" spans="1:14">
      <c r="A31" s="2" t="s">
        <v>3244</v>
      </c>
      <c r="B31">
        <v>1</v>
      </c>
      <c r="C31" s="60" t="s">
        <v>2115</v>
      </c>
      <c r="D31">
        <v>1</v>
      </c>
      <c r="E31" s="60" t="s">
        <v>3245</v>
      </c>
      <c r="F31">
        <v>1</v>
      </c>
      <c r="I31" s="2" t="s">
        <v>3167</v>
      </c>
      <c r="K31" s="2" t="s">
        <v>244</v>
      </c>
      <c r="L31">
        <v>5</v>
      </c>
      <c r="M31" s="2" t="s">
        <v>491</v>
      </c>
      <c r="N31">
        <v>1</v>
      </c>
    </row>
    <row r="32" spans="1:14">
      <c r="A32" s="2" t="s">
        <v>2955</v>
      </c>
      <c r="B32">
        <v>22</v>
      </c>
      <c r="C32" s="2" t="s">
        <v>3212</v>
      </c>
      <c r="D32">
        <v>1</v>
      </c>
      <c r="E32" s="60" t="s">
        <v>3246</v>
      </c>
      <c r="F32">
        <v>1</v>
      </c>
      <c r="I32" s="2" t="s">
        <v>3168</v>
      </c>
      <c r="J32">
        <v>29</v>
      </c>
      <c r="K32" s="2" t="s">
        <v>72</v>
      </c>
      <c r="L32">
        <v>3</v>
      </c>
      <c r="M32" s="2" t="s">
        <v>3247</v>
      </c>
      <c r="N32">
        <v>2</v>
      </c>
    </row>
    <row r="33" spans="1:14">
      <c r="A33" s="2" t="s">
        <v>3248</v>
      </c>
      <c r="B33">
        <v>1</v>
      </c>
      <c r="C33" s="60" t="s">
        <v>3249</v>
      </c>
      <c r="D33">
        <v>1</v>
      </c>
      <c r="E33" s="60" t="s">
        <v>3250</v>
      </c>
      <c r="F33">
        <v>1</v>
      </c>
      <c r="K33" s="2" t="s">
        <v>187</v>
      </c>
      <c r="L33">
        <v>4</v>
      </c>
      <c r="M33" s="2" t="s">
        <v>1295</v>
      </c>
      <c r="N33">
        <v>1</v>
      </c>
    </row>
    <row r="34" spans="1:14">
      <c r="A34" s="2" t="s">
        <v>2835</v>
      </c>
      <c r="B34">
        <v>2</v>
      </c>
      <c r="C34" s="2" t="s">
        <v>3251</v>
      </c>
      <c r="D34">
        <v>1</v>
      </c>
      <c r="E34" s="60" t="s">
        <v>3252</v>
      </c>
      <c r="F34">
        <v>1</v>
      </c>
      <c r="K34" s="2" t="s">
        <v>3253</v>
      </c>
      <c r="L34">
        <v>1</v>
      </c>
      <c r="M34" s="2" t="s">
        <v>3254</v>
      </c>
      <c r="N34">
        <v>1</v>
      </c>
    </row>
    <row r="35" spans="1:14">
      <c r="A35" s="2" t="s">
        <v>2737</v>
      </c>
      <c r="B35">
        <v>1</v>
      </c>
      <c r="C35" s="60" t="s">
        <v>2264</v>
      </c>
      <c r="D35">
        <v>1</v>
      </c>
      <c r="E35" s="60" t="s">
        <v>3255</v>
      </c>
      <c r="F35">
        <v>1</v>
      </c>
      <c r="K35" s="2" t="s">
        <v>101</v>
      </c>
      <c r="L35">
        <v>2</v>
      </c>
      <c r="M35" s="2" t="s">
        <v>1157</v>
      </c>
      <c r="N35">
        <v>1</v>
      </c>
    </row>
    <row r="36" spans="1:14">
      <c r="A36" s="2" t="s">
        <v>2748</v>
      </c>
      <c r="B36">
        <v>1</v>
      </c>
      <c r="C36" s="2" t="s">
        <v>2289</v>
      </c>
      <c r="D36">
        <v>1</v>
      </c>
      <c r="E36" s="60" t="s">
        <v>3256</v>
      </c>
      <c r="F36">
        <v>2</v>
      </c>
      <c r="K36" s="2" t="s">
        <v>824</v>
      </c>
      <c r="L36">
        <v>1</v>
      </c>
      <c r="M36" s="2" t="s">
        <v>902</v>
      </c>
      <c r="N36">
        <v>1</v>
      </c>
    </row>
    <row r="37" spans="1:14">
      <c r="A37" s="2" t="s">
        <v>3257</v>
      </c>
      <c r="B37">
        <v>1</v>
      </c>
      <c r="C37" s="60" t="s">
        <v>1755</v>
      </c>
      <c r="D37">
        <v>1</v>
      </c>
      <c r="E37" s="60" t="s">
        <v>3258</v>
      </c>
      <c r="F37">
        <v>1</v>
      </c>
      <c r="K37" s="2" t="s">
        <v>798</v>
      </c>
      <c r="L37">
        <v>2</v>
      </c>
      <c r="M37" s="2" t="s">
        <v>954</v>
      </c>
      <c r="N37">
        <v>2</v>
      </c>
    </row>
    <row r="38" spans="1:14">
      <c r="A38" s="2" t="s">
        <v>3259</v>
      </c>
      <c r="B38">
        <v>1</v>
      </c>
      <c r="C38" s="2" t="s">
        <v>3260</v>
      </c>
      <c r="D38">
        <v>1</v>
      </c>
      <c r="E38" s="60" t="s">
        <v>3261</v>
      </c>
      <c r="F38">
        <v>1</v>
      </c>
      <c r="K38" s="2" t="s">
        <v>370</v>
      </c>
      <c r="M38" s="2" t="s">
        <v>3262</v>
      </c>
      <c r="N38">
        <v>1</v>
      </c>
    </row>
    <row r="39" spans="1:14">
      <c r="A39" s="2" t="s">
        <v>2934</v>
      </c>
      <c r="B39">
        <v>2</v>
      </c>
      <c r="C39" s="60" t="s">
        <v>3263</v>
      </c>
      <c r="D39">
        <v>1</v>
      </c>
      <c r="E39" s="60" t="s">
        <v>3264</v>
      </c>
      <c r="F39">
        <v>1</v>
      </c>
      <c r="K39" s="60" t="s">
        <v>3265</v>
      </c>
      <c r="L39">
        <v>1</v>
      </c>
      <c r="M39" s="2" t="s">
        <v>3266</v>
      </c>
      <c r="N39">
        <v>1</v>
      </c>
    </row>
    <row r="40" spans="1:14">
      <c r="A40" s="2" t="s">
        <v>2729</v>
      </c>
      <c r="B40">
        <v>3</v>
      </c>
      <c r="C40" s="2" t="s">
        <v>3267</v>
      </c>
      <c r="D40">
        <v>1</v>
      </c>
      <c r="E40" s="60" t="s">
        <v>3268</v>
      </c>
      <c r="F40">
        <v>1</v>
      </c>
      <c r="K40" s="60" t="s">
        <v>1137</v>
      </c>
      <c r="L40">
        <v>1</v>
      </c>
      <c r="M40" s="2" t="s">
        <v>438</v>
      </c>
      <c r="N40">
        <v>2</v>
      </c>
    </row>
    <row r="41" spans="1:14">
      <c r="A41" s="2" t="s">
        <v>3269</v>
      </c>
      <c r="B41">
        <v>1</v>
      </c>
      <c r="C41" s="60" t="s">
        <v>3270</v>
      </c>
      <c r="D41">
        <v>1</v>
      </c>
      <c r="E41" s="60" t="s">
        <v>3271</v>
      </c>
      <c r="F41">
        <v>2</v>
      </c>
      <c r="K41" s="2" t="s">
        <v>167</v>
      </c>
      <c r="L41">
        <v>1</v>
      </c>
      <c r="M41" s="60" t="s">
        <v>439</v>
      </c>
      <c r="N41">
        <v>1</v>
      </c>
    </row>
    <row r="42" spans="1:14">
      <c r="A42" s="2" t="s">
        <v>3272</v>
      </c>
      <c r="B42">
        <v>1</v>
      </c>
      <c r="C42" s="2" t="s">
        <v>1897</v>
      </c>
      <c r="D42">
        <v>1</v>
      </c>
      <c r="E42" s="60" t="s">
        <v>3273</v>
      </c>
      <c r="F42">
        <v>2</v>
      </c>
      <c r="K42" s="2" t="s">
        <v>196</v>
      </c>
      <c r="L42">
        <v>2</v>
      </c>
      <c r="M42" s="60" t="s">
        <v>442</v>
      </c>
      <c r="N42">
        <v>1</v>
      </c>
    </row>
    <row r="43" spans="1:14">
      <c r="A43" s="2" t="s">
        <v>3274</v>
      </c>
      <c r="B43">
        <v>3</v>
      </c>
      <c r="C43" s="60" t="s">
        <v>3275</v>
      </c>
      <c r="D43">
        <v>1</v>
      </c>
      <c r="E43" s="60" t="s">
        <v>3276</v>
      </c>
      <c r="F43">
        <v>1</v>
      </c>
      <c r="K43" s="2" t="s">
        <v>287</v>
      </c>
      <c r="L43">
        <v>1</v>
      </c>
      <c r="M43" s="2" t="s">
        <v>581</v>
      </c>
      <c r="N43">
        <v>5</v>
      </c>
    </row>
    <row r="44" spans="1:14">
      <c r="A44" s="2" t="s">
        <v>2536</v>
      </c>
      <c r="B44">
        <v>4</v>
      </c>
      <c r="C44" s="2" t="s">
        <v>3277</v>
      </c>
      <c r="D44">
        <v>1</v>
      </c>
      <c r="E44" s="60" t="s">
        <v>3278</v>
      </c>
      <c r="F44">
        <v>1</v>
      </c>
      <c r="K44" s="2" t="s">
        <v>3279</v>
      </c>
      <c r="L44">
        <v>2</v>
      </c>
      <c r="M44" s="2" t="s">
        <v>3280</v>
      </c>
      <c r="N44">
        <v>3</v>
      </c>
    </row>
    <row r="45" spans="1:14">
      <c r="A45" s="2" t="s">
        <v>3281</v>
      </c>
      <c r="B45">
        <v>1</v>
      </c>
      <c r="C45" s="60" t="s">
        <v>3282</v>
      </c>
      <c r="D45">
        <v>1</v>
      </c>
      <c r="E45" s="60" t="s">
        <v>3283</v>
      </c>
      <c r="F45">
        <v>1</v>
      </c>
      <c r="K45" s="2" t="s">
        <v>747</v>
      </c>
      <c r="L45">
        <v>4</v>
      </c>
      <c r="M45" s="2" t="s">
        <v>506</v>
      </c>
      <c r="N45">
        <v>3</v>
      </c>
    </row>
    <row r="46" spans="1:14">
      <c r="A46" s="2" t="s">
        <v>3284</v>
      </c>
      <c r="B46">
        <v>2</v>
      </c>
      <c r="C46" s="2" t="s">
        <v>3285</v>
      </c>
      <c r="D46">
        <v>1</v>
      </c>
      <c r="E46" s="60" t="s">
        <v>3286</v>
      </c>
      <c r="F46">
        <v>1</v>
      </c>
      <c r="K46" s="2" t="s">
        <v>170</v>
      </c>
      <c r="L46">
        <v>1</v>
      </c>
      <c r="M46" s="2" t="s">
        <v>937</v>
      </c>
      <c r="N46">
        <v>2</v>
      </c>
    </row>
    <row r="47" spans="1:14">
      <c r="A47" s="2" t="s">
        <v>2862</v>
      </c>
      <c r="B47">
        <v>1</v>
      </c>
      <c r="C47" s="60" t="s">
        <v>1708</v>
      </c>
      <c r="D47">
        <v>1</v>
      </c>
      <c r="E47" s="60" t="s">
        <v>3287</v>
      </c>
      <c r="F47">
        <v>1</v>
      </c>
      <c r="K47" s="2" t="s">
        <v>3288</v>
      </c>
      <c r="L47">
        <v>1</v>
      </c>
      <c r="M47" s="2" t="s">
        <v>3289</v>
      </c>
      <c r="N47">
        <v>1</v>
      </c>
    </row>
    <row r="48" spans="1:14">
      <c r="A48" s="2" t="s">
        <v>2575</v>
      </c>
      <c r="B48">
        <v>1</v>
      </c>
      <c r="C48" s="2" t="s">
        <v>3290</v>
      </c>
      <c r="D48">
        <v>2</v>
      </c>
      <c r="E48" s="60" t="s">
        <v>3291</v>
      </c>
      <c r="F48">
        <v>1</v>
      </c>
      <c r="K48" s="2" t="s">
        <v>341</v>
      </c>
      <c r="L48">
        <v>4</v>
      </c>
      <c r="M48" s="2" t="s">
        <v>956</v>
      </c>
      <c r="N48">
        <v>6</v>
      </c>
    </row>
    <row r="49" spans="1:14">
      <c r="A49" s="2" t="s">
        <v>2594</v>
      </c>
      <c r="B49">
        <v>2</v>
      </c>
      <c r="C49" s="60" t="s">
        <v>1909</v>
      </c>
      <c r="D49">
        <v>2</v>
      </c>
      <c r="E49" s="60" t="s">
        <v>3292</v>
      </c>
      <c r="F49">
        <v>1</v>
      </c>
      <c r="K49" s="2" t="s">
        <v>811</v>
      </c>
      <c r="L49">
        <v>1</v>
      </c>
      <c r="M49" s="2" t="s">
        <v>3293</v>
      </c>
      <c r="N49">
        <v>1</v>
      </c>
    </row>
    <row r="50" spans="1:14">
      <c r="A50" s="2" t="s">
        <v>2725</v>
      </c>
      <c r="B50">
        <v>3</v>
      </c>
      <c r="C50" s="2" t="s">
        <v>3294</v>
      </c>
      <c r="D50">
        <v>1</v>
      </c>
      <c r="E50" s="60" t="s">
        <v>3295</v>
      </c>
      <c r="F50">
        <v>1</v>
      </c>
      <c r="K50" s="2" t="s">
        <v>3296</v>
      </c>
      <c r="M50" s="2" t="s">
        <v>598</v>
      </c>
      <c r="N50">
        <v>1</v>
      </c>
    </row>
    <row r="51" spans="1:14">
      <c r="A51" s="2" t="s">
        <v>2815</v>
      </c>
      <c r="B51">
        <v>2</v>
      </c>
      <c r="C51" s="60" t="s">
        <v>3297</v>
      </c>
      <c r="D51">
        <v>1</v>
      </c>
      <c r="E51" s="60" t="s">
        <v>3298</v>
      </c>
      <c r="F51">
        <v>1</v>
      </c>
      <c r="K51" s="60" t="s">
        <v>3299</v>
      </c>
      <c r="L51">
        <v>1</v>
      </c>
      <c r="M51" s="2" t="s">
        <v>3300</v>
      </c>
      <c r="N51">
        <v>1</v>
      </c>
    </row>
    <row r="52" spans="1:14">
      <c r="A52" s="2" t="s">
        <v>2812</v>
      </c>
      <c r="B52">
        <v>2</v>
      </c>
      <c r="C52" s="2" t="s">
        <v>3301</v>
      </c>
      <c r="D52">
        <v>1</v>
      </c>
      <c r="E52" s="60" t="s">
        <v>3302</v>
      </c>
      <c r="F52">
        <v>1</v>
      </c>
      <c r="K52" s="2" t="s">
        <v>283</v>
      </c>
      <c r="L52">
        <v>3</v>
      </c>
      <c r="M52" s="2" t="s">
        <v>3303</v>
      </c>
      <c r="N52">
        <v>1</v>
      </c>
    </row>
    <row r="53" spans="1:14">
      <c r="A53" s="2" t="s">
        <v>2665</v>
      </c>
      <c r="B53">
        <v>1</v>
      </c>
      <c r="C53" s="60" t="s">
        <v>3304</v>
      </c>
      <c r="D53">
        <v>1</v>
      </c>
      <c r="E53" s="60" t="s">
        <v>3305</v>
      </c>
      <c r="F53">
        <v>2</v>
      </c>
      <c r="K53" s="2" t="s">
        <v>666</v>
      </c>
      <c r="L53">
        <v>2</v>
      </c>
      <c r="M53" s="2" t="s">
        <v>1293</v>
      </c>
      <c r="N53">
        <v>1</v>
      </c>
    </row>
    <row r="54" spans="1:14">
      <c r="A54" s="2" t="s">
        <v>3306</v>
      </c>
      <c r="B54">
        <v>2</v>
      </c>
      <c r="C54" s="2" t="s">
        <v>3307</v>
      </c>
      <c r="D54">
        <v>1</v>
      </c>
      <c r="E54" s="60" t="s">
        <v>3308</v>
      </c>
      <c r="F54">
        <v>1</v>
      </c>
      <c r="K54" s="2" t="s">
        <v>821</v>
      </c>
      <c r="L54">
        <v>2</v>
      </c>
      <c r="M54" s="2" t="s">
        <v>462</v>
      </c>
      <c r="N54">
        <v>1</v>
      </c>
    </row>
    <row r="55" spans="1:14">
      <c r="A55" s="2" t="s">
        <v>3309</v>
      </c>
      <c r="B55">
        <v>1</v>
      </c>
      <c r="C55" s="60" t="s">
        <v>3310</v>
      </c>
      <c r="D55">
        <v>1</v>
      </c>
      <c r="E55" s="60" t="s">
        <v>3311</v>
      </c>
      <c r="F55">
        <v>1</v>
      </c>
      <c r="K55" s="2" t="s">
        <v>192</v>
      </c>
      <c r="L55">
        <v>1</v>
      </c>
      <c r="M55" s="2" t="s">
        <v>487</v>
      </c>
      <c r="N55">
        <v>7</v>
      </c>
    </row>
    <row r="56" spans="1:14">
      <c r="A56" s="2" t="s">
        <v>2997</v>
      </c>
      <c r="B56">
        <v>1</v>
      </c>
      <c r="C56" s="2" t="s">
        <v>3206</v>
      </c>
      <c r="D56">
        <v>1</v>
      </c>
      <c r="E56" s="60" t="s">
        <v>3312</v>
      </c>
      <c r="F56">
        <v>4</v>
      </c>
      <c r="K56" s="2" t="s">
        <v>174</v>
      </c>
      <c r="L56">
        <v>4</v>
      </c>
      <c r="M56" s="2" t="s">
        <v>3313</v>
      </c>
      <c r="N56">
        <v>1</v>
      </c>
    </row>
    <row r="57" spans="1:14">
      <c r="A57" s="2" t="s">
        <v>2832</v>
      </c>
      <c r="B57">
        <v>1</v>
      </c>
      <c r="C57" s="60" t="s">
        <v>3314</v>
      </c>
      <c r="D57">
        <v>1</v>
      </c>
      <c r="E57" s="60" t="s">
        <v>3315</v>
      </c>
      <c r="F57">
        <v>2</v>
      </c>
      <c r="K57" s="2" t="s">
        <v>3316</v>
      </c>
      <c r="L57">
        <v>2</v>
      </c>
      <c r="M57" s="2" t="s">
        <v>3317</v>
      </c>
      <c r="N57">
        <v>1</v>
      </c>
    </row>
    <row r="58" spans="1:14">
      <c r="A58" s="2" t="s">
        <v>2616</v>
      </c>
      <c r="B58">
        <v>2</v>
      </c>
      <c r="C58" s="2" t="s">
        <v>3318</v>
      </c>
      <c r="D58">
        <v>1</v>
      </c>
      <c r="E58" s="60" t="s">
        <v>3319</v>
      </c>
      <c r="F58">
        <v>1</v>
      </c>
      <c r="K58" s="2" t="s">
        <v>3320</v>
      </c>
      <c r="L58">
        <v>1</v>
      </c>
      <c r="M58" s="2" t="s">
        <v>916</v>
      </c>
      <c r="N58">
        <v>2</v>
      </c>
    </row>
    <row r="59" spans="1:14">
      <c r="A59" s="2" t="s">
        <v>3321</v>
      </c>
      <c r="B59">
        <v>1</v>
      </c>
      <c r="C59" s="60" t="s">
        <v>3322</v>
      </c>
      <c r="D59">
        <v>1</v>
      </c>
      <c r="E59" s="60" t="s">
        <v>3323</v>
      </c>
      <c r="F59">
        <v>1</v>
      </c>
      <c r="K59" s="2" t="s">
        <v>407</v>
      </c>
      <c r="L59">
        <v>1</v>
      </c>
      <c r="M59" s="2" t="s">
        <v>692</v>
      </c>
      <c r="N59">
        <v>3</v>
      </c>
    </row>
    <row r="60" spans="1:14">
      <c r="A60" s="2" t="s">
        <v>3324</v>
      </c>
      <c r="B60">
        <v>1</v>
      </c>
      <c r="C60" s="2" t="s">
        <v>3325</v>
      </c>
      <c r="D60">
        <v>2</v>
      </c>
      <c r="E60" s="60" t="s">
        <v>3326</v>
      </c>
      <c r="F60">
        <v>1</v>
      </c>
      <c r="K60" s="2" t="s">
        <v>3327</v>
      </c>
      <c r="L60">
        <v>1</v>
      </c>
      <c r="M60" s="2" t="s">
        <v>1179</v>
      </c>
      <c r="N60">
        <v>1</v>
      </c>
    </row>
    <row r="61" spans="1:14">
      <c r="A61" s="2" t="s">
        <v>2741</v>
      </c>
      <c r="B61">
        <v>1</v>
      </c>
      <c r="C61" s="60" t="s">
        <v>2079</v>
      </c>
      <c r="D61">
        <v>1</v>
      </c>
      <c r="E61" s="60" t="s">
        <v>3328</v>
      </c>
      <c r="F61">
        <v>1</v>
      </c>
      <c r="K61" s="2" t="s">
        <v>278</v>
      </c>
      <c r="L61">
        <v>7</v>
      </c>
      <c r="M61" s="2" t="s">
        <v>540</v>
      </c>
      <c r="N61">
        <v>6</v>
      </c>
    </row>
    <row r="62" spans="1:14">
      <c r="A62" s="2" t="s">
        <v>2921</v>
      </c>
      <c r="B62">
        <v>7</v>
      </c>
      <c r="C62" s="60" t="s">
        <v>2134</v>
      </c>
      <c r="D62">
        <v>1</v>
      </c>
      <c r="E62" s="60" t="s">
        <v>3329</v>
      </c>
      <c r="F62">
        <v>1</v>
      </c>
      <c r="K62" s="2" t="s">
        <v>206</v>
      </c>
      <c r="L62">
        <v>2</v>
      </c>
      <c r="M62" s="2" t="s">
        <v>500</v>
      </c>
      <c r="N62">
        <v>3</v>
      </c>
    </row>
    <row r="63" spans="1:14">
      <c r="A63" s="2" t="s">
        <v>2972</v>
      </c>
      <c r="B63">
        <v>1</v>
      </c>
      <c r="C63" s="2" t="s">
        <v>2318</v>
      </c>
      <c r="D63">
        <v>1</v>
      </c>
      <c r="E63" s="60" t="s">
        <v>3330</v>
      </c>
      <c r="F63">
        <v>1</v>
      </c>
      <c r="K63" s="2" t="s">
        <v>1367</v>
      </c>
      <c r="L63">
        <v>3</v>
      </c>
      <c r="M63" s="2" t="s">
        <v>1224</v>
      </c>
      <c r="N63">
        <v>6</v>
      </c>
    </row>
    <row r="64" spans="1:14">
      <c r="A64" s="2" t="s">
        <v>3331</v>
      </c>
      <c r="B64">
        <v>1</v>
      </c>
      <c r="C64" s="60" t="s">
        <v>1796</v>
      </c>
      <c r="D64">
        <v>1</v>
      </c>
      <c r="E64" s="60" t="s">
        <v>3332</v>
      </c>
      <c r="F64">
        <v>1</v>
      </c>
      <c r="K64" s="2" t="s">
        <v>3333</v>
      </c>
      <c r="L64">
        <v>2</v>
      </c>
      <c r="M64" s="2" t="s">
        <v>618</v>
      </c>
      <c r="N64">
        <v>2</v>
      </c>
    </row>
    <row r="65" spans="1:14">
      <c r="A65" s="2" t="s">
        <v>3334</v>
      </c>
      <c r="B65">
        <v>2</v>
      </c>
      <c r="C65" s="2" t="s">
        <v>3335</v>
      </c>
      <c r="D65">
        <v>1</v>
      </c>
      <c r="E65" s="60" t="s">
        <v>3336</v>
      </c>
      <c r="F65">
        <v>1</v>
      </c>
      <c r="K65" s="2" t="s">
        <v>1006</v>
      </c>
      <c r="L65">
        <v>1</v>
      </c>
      <c r="M65" s="2" t="s">
        <v>564</v>
      </c>
      <c r="N65">
        <v>2</v>
      </c>
    </row>
    <row r="66" spans="1:14">
      <c r="A66" s="2" t="s">
        <v>3337</v>
      </c>
      <c r="B66">
        <v>1</v>
      </c>
      <c r="C66" s="60" t="s">
        <v>2087</v>
      </c>
      <c r="D66">
        <v>1</v>
      </c>
      <c r="E66" s="60" t="s">
        <v>3338</v>
      </c>
      <c r="F66">
        <v>1</v>
      </c>
      <c r="K66" s="2" t="s">
        <v>714</v>
      </c>
      <c r="L66">
        <v>1</v>
      </c>
      <c r="M66" s="2" t="s">
        <v>429</v>
      </c>
      <c r="N66">
        <v>3</v>
      </c>
    </row>
    <row r="67" spans="1:14">
      <c r="A67" s="2" t="s">
        <v>3042</v>
      </c>
      <c r="B67">
        <v>2</v>
      </c>
      <c r="C67" s="2" t="s">
        <v>2299</v>
      </c>
      <c r="D67">
        <v>3</v>
      </c>
      <c r="E67" s="60" t="s">
        <v>3270</v>
      </c>
      <c r="F67">
        <v>1</v>
      </c>
      <c r="K67" s="2" t="s">
        <v>3339</v>
      </c>
      <c r="L67">
        <v>1</v>
      </c>
      <c r="M67" s="2" t="s">
        <v>531</v>
      </c>
      <c r="N67">
        <v>4</v>
      </c>
    </row>
    <row r="68" spans="1:14">
      <c r="A68" s="2" t="s">
        <v>3340</v>
      </c>
      <c r="B68">
        <v>1</v>
      </c>
      <c r="C68" s="60" t="s">
        <v>2385</v>
      </c>
      <c r="D68">
        <v>1</v>
      </c>
      <c r="E68" s="60" t="s">
        <v>3341</v>
      </c>
      <c r="F68">
        <v>1</v>
      </c>
      <c r="K68" s="2" t="s">
        <v>91</v>
      </c>
      <c r="L68">
        <v>1</v>
      </c>
      <c r="M68" s="2" t="s">
        <v>634</v>
      </c>
      <c r="N68">
        <v>2</v>
      </c>
    </row>
    <row r="69" spans="1:14">
      <c r="A69" s="2" t="s">
        <v>2743</v>
      </c>
      <c r="B69">
        <v>3</v>
      </c>
      <c r="C69" s="60" t="s">
        <v>3342</v>
      </c>
      <c r="D69">
        <v>1</v>
      </c>
      <c r="E69" s="60" t="s">
        <v>3343</v>
      </c>
      <c r="F69">
        <v>1</v>
      </c>
      <c r="K69" s="2" t="s">
        <v>3344</v>
      </c>
      <c r="L69">
        <v>2</v>
      </c>
      <c r="M69" s="2" t="s">
        <v>590</v>
      </c>
      <c r="N69">
        <v>2</v>
      </c>
    </row>
    <row r="70" spans="1:14">
      <c r="A70" s="2" t="s">
        <v>2959</v>
      </c>
      <c r="B70">
        <v>1</v>
      </c>
      <c r="C70" s="60" t="s">
        <v>2388</v>
      </c>
      <c r="D70">
        <v>1</v>
      </c>
      <c r="E70" s="60" t="s">
        <v>738</v>
      </c>
      <c r="F70">
        <v>1</v>
      </c>
      <c r="K70" s="2" t="s">
        <v>975</v>
      </c>
      <c r="L70">
        <v>1</v>
      </c>
      <c r="M70" s="2" t="s">
        <v>652</v>
      </c>
      <c r="N70">
        <v>2</v>
      </c>
    </row>
    <row r="71" spans="1:14">
      <c r="A71" s="2" t="s">
        <v>2808</v>
      </c>
      <c r="B71">
        <v>1</v>
      </c>
      <c r="C71" s="2" t="s">
        <v>3345</v>
      </c>
      <c r="D71">
        <v>2</v>
      </c>
      <c r="E71" s="60" t="s">
        <v>3346</v>
      </c>
      <c r="F71">
        <v>1</v>
      </c>
      <c r="K71" s="2" t="s">
        <v>3347</v>
      </c>
      <c r="L71">
        <v>1</v>
      </c>
      <c r="M71" s="2" t="s">
        <v>641</v>
      </c>
      <c r="N71">
        <v>13</v>
      </c>
    </row>
    <row r="72" spans="1:14">
      <c r="A72" s="2" t="s">
        <v>3348</v>
      </c>
      <c r="B72">
        <v>1</v>
      </c>
      <c r="C72" s="60" t="s">
        <v>2049</v>
      </c>
      <c r="D72">
        <v>1</v>
      </c>
      <c r="E72" s="60" t="s">
        <v>3349</v>
      </c>
      <c r="F72">
        <v>1</v>
      </c>
      <c r="K72" s="2" t="s">
        <v>249</v>
      </c>
      <c r="L72">
        <v>1</v>
      </c>
      <c r="M72" s="2" t="s">
        <v>708</v>
      </c>
      <c r="N72">
        <v>2</v>
      </c>
    </row>
    <row r="73" spans="1:14">
      <c r="A73" s="2" t="s">
        <v>3350</v>
      </c>
      <c r="B73">
        <v>1</v>
      </c>
      <c r="C73" s="60" t="s">
        <v>1829</v>
      </c>
      <c r="D73">
        <v>1</v>
      </c>
      <c r="E73" s="60" t="s">
        <v>3351</v>
      </c>
      <c r="F73">
        <v>1</v>
      </c>
      <c r="K73" s="2" t="s">
        <v>123</v>
      </c>
      <c r="L73">
        <v>1</v>
      </c>
      <c r="M73" s="2" t="s">
        <v>3352</v>
      </c>
      <c r="N73">
        <v>1</v>
      </c>
    </row>
    <row r="74" spans="1:14">
      <c r="A74" s="2" t="s">
        <v>3353</v>
      </c>
      <c r="B74">
        <v>1</v>
      </c>
      <c r="C74" s="2" t="s">
        <v>2306</v>
      </c>
      <c r="D74">
        <v>1</v>
      </c>
      <c r="E74" s="60" t="s">
        <v>3354</v>
      </c>
      <c r="F74">
        <v>1</v>
      </c>
      <c r="K74" s="2" t="s">
        <v>887</v>
      </c>
      <c r="L74">
        <v>1</v>
      </c>
      <c r="M74" s="2" t="s">
        <v>553</v>
      </c>
      <c r="N74">
        <v>4</v>
      </c>
    </row>
    <row r="75" spans="1:14">
      <c r="A75" s="2" t="s">
        <v>3355</v>
      </c>
      <c r="B75">
        <v>1</v>
      </c>
      <c r="C75" s="60" t="s">
        <v>2307</v>
      </c>
      <c r="D75">
        <v>1</v>
      </c>
      <c r="E75" s="60" t="s">
        <v>3356</v>
      </c>
      <c r="F75">
        <v>1</v>
      </c>
      <c r="K75" s="2" t="s">
        <v>3357</v>
      </c>
      <c r="L75">
        <v>3</v>
      </c>
      <c r="M75" s="2" t="s">
        <v>548</v>
      </c>
      <c r="N75">
        <v>1</v>
      </c>
    </row>
    <row r="76" spans="1:14">
      <c r="A76" s="2" t="s">
        <v>2721</v>
      </c>
      <c r="B76">
        <v>1</v>
      </c>
      <c r="C76" s="2" t="s">
        <v>3358</v>
      </c>
      <c r="D76">
        <v>1</v>
      </c>
      <c r="E76" s="60" t="s">
        <v>3359</v>
      </c>
      <c r="F76">
        <v>1</v>
      </c>
      <c r="K76" s="2" t="s">
        <v>794</v>
      </c>
      <c r="L76">
        <v>1</v>
      </c>
      <c r="M76" s="2" t="s">
        <v>576</v>
      </c>
      <c r="N76">
        <v>3</v>
      </c>
    </row>
    <row r="77" spans="1:14">
      <c r="A77" s="2" t="s">
        <v>3167</v>
      </c>
      <c r="C77" s="60" t="s">
        <v>1957</v>
      </c>
      <c r="D77">
        <v>1</v>
      </c>
      <c r="E77" s="60" t="s">
        <v>3360</v>
      </c>
      <c r="F77">
        <v>1</v>
      </c>
      <c r="K77" s="2" t="s">
        <v>142</v>
      </c>
      <c r="L77">
        <v>1</v>
      </c>
      <c r="M77" s="2" t="s">
        <v>1298</v>
      </c>
      <c r="N77">
        <v>2</v>
      </c>
    </row>
    <row r="78" spans="1:14">
      <c r="A78" s="2" t="s">
        <v>2795</v>
      </c>
      <c r="B78">
        <v>1</v>
      </c>
      <c r="C78" s="2" t="s">
        <v>3361</v>
      </c>
      <c r="D78">
        <v>1</v>
      </c>
      <c r="E78" s="60" t="s">
        <v>3362</v>
      </c>
      <c r="F78">
        <v>1</v>
      </c>
      <c r="K78" s="2" t="s">
        <v>1000</v>
      </c>
      <c r="L78">
        <v>1</v>
      </c>
      <c r="M78" s="2" t="s">
        <v>911</v>
      </c>
      <c r="N78">
        <v>2</v>
      </c>
    </row>
    <row r="79" spans="1:14">
      <c r="A79" s="2" t="s">
        <v>3168</v>
      </c>
      <c r="B79">
        <v>124</v>
      </c>
      <c r="C79" s="60" t="s">
        <v>1695</v>
      </c>
      <c r="D79">
        <v>1</v>
      </c>
      <c r="E79" s="60" t="s">
        <v>3363</v>
      </c>
      <c r="F79">
        <v>1</v>
      </c>
      <c r="K79" s="2" t="s">
        <v>717</v>
      </c>
      <c r="L79">
        <v>1</v>
      </c>
      <c r="M79" s="2" t="s">
        <v>959</v>
      </c>
      <c r="N79">
        <v>2</v>
      </c>
    </row>
    <row r="80" spans="1:14">
      <c r="C80" s="2" t="s">
        <v>3364</v>
      </c>
      <c r="D80">
        <v>2</v>
      </c>
      <c r="E80" s="60" t="s">
        <v>3365</v>
      </c>
      <c r="F80">
        <v>1</v>
      </c>
      <c r="K80" s="2" t="s">
        <v>3366</v>
      </c>
      <c r="L80">
        <v>1</v>
      </c>
      <c r="M80" s="2" t="s">
        <v>3367</v>
      </c>
      <c r="N80">
        <v>1</v>
      </c>
    </row>
    <row r="81" spans="3:14">
      <c r="C81" s="60" t="s">
        <v>2322</v>
      </c>
      <c r="D81">
        <v>1</v>
      </c>
      <c r="E81" s="60" t="s">
        <v>1430</v>
      </c>
      <c r="F81">
        <v>1</v>
      </c>
      <c r="K81" s="2" t="s">
        <v>731</v>
      </c>
      <c r="M81" s="2" t="s">
        <v>467</v>
      </c>
      <c r="N81">
        <v>6</v>
      </c>
    </row>
    <row r="82" spans="3:14">
      <c r="C82" s="60" t="s">
        <v>3368</v>
      </c>
      <c r="D82">
        <v>1</v>
      </c>
      <c r="E82" s="60" t="s">
        <v>3369</v>
      </c>
      <c r="F82">
        <v>1</v>
      </c>
      <c r="K82" s="60" t="s">
        <v>732</v>
      </c>
      <c r="L82">
        <v>1</v>
      </c>
      <c r="M82" s="2" t="s">
        <v>483</v>
      </c>
      <c r="N82">
        <v>1</v>
      </c>
    </row>
    <row r="83" spans="3:14">
      <c r="C83" s="2" t="s">
        <v>3370</v>
      </c>
      <c r="D83">
        <v>1</v>
      </c>
      <c r="E83" s="60" t="s">
        <v>3371</v>
      </c>
      <c r="F83">
        <v>1</v>
      </c>
      <c r="K83" s="2" t="s">
        <v>1142</v>
      </c>
      <c r="L83">
        <v>1</v>
      </c>
      <c r="M83" s="2" t="s">
        <v>1201</v>
      </c>
      <c r="N83">
        <v>1</v>
      </c>
    </row>
    <row r="84" spans="3:14">
      <c r="C84" s="60" t="s">
        <v>1782</v>
      </c>
      <c r="D84">
        <v>1</v>
      </c>
      <c r="E84" s="60" t="s">
        <v>3372</v>
      </c>
      <c r="F84">
        <v>1</v>
      </c>
      <c r="K84" s="2" t="s">
        <v>3373</v>
      </c>
      <c r="L84">
        <v>1</v>
      </c>
      <c r="M84" s="2" t="s">
        <v>3374</v>
      </c>
      <c r="N84">
        <v>2</v>
      </c>
    </row>
    <row r="85" spans="3:14">
      <c r="C85" s="2" t="s">
        <v>3375</v>
      </c>
      <c r="D85">
        <v>1</v>
      </c>
      <c r="E85" s="60" t="s">
        <v>3376</v>
      </c>
      <c r="F85">
        <v>1</v>
      </c>
      <c r="K85" s="2" t="s">
        <v>299</v>
      </c>
      <c r="L85">
        <v>2</v>
      </c>
      <c r="M85" s="2" t="s">
        <v>964</v>
      </c>
      <c r="N85">
        <v>2</v>
      </c>
    </row>
    <row r="86" spans="3:14">
      <c r="C86" s="60" t="s">
        <v>3377</v>
      </c>
      <c r="D86">
        <v>1</v>
      </c>
      <c r="E86" s="60" t="s">
        <v>3378</v>
      </c>
      <c r="F86">
        <v>1</v>
      </c>
      <c r="K86" s="2" t="s">
        <v>110</v>
      </c>
      <c r="L86">
        <v>2</v>
      </c>
      <c r="M86" s="2" t="s">
        <v>1214</v>
      </c>
      <c r="N86">
        <v>1</v>
      </c>
    </row>
    <row r="87" spans="3:14">
      <c r="C87" s="2" t="s">
        <v>2421</v>
      </c>
      <c r="D87">
        <v>1</v>
      </c>
      <c r="E87" s="60" t="s">
        <v>3379</v>
      </c>
      <c r="F87">
        <v>1</v>
      </c>
      <c r="K87" s="2" t="s">
        <v>3380</v>
      </c>
      <c r="L87">
        <v>1</v>
      </c>
      <c r="M87" s="2" t="s">
        <v>3381</v>
      </c>
      <c r="N87">
        <v>1</v>
      </c>
    </row>
    <row r="88" spans="3:14">
      <c r="C88" s="60" t="s">
        <v>2251</v>
      </c>
      <c r="D88">
        <v>1</v>
      </c>
      <c r="E88" s="60" t="s">
        <v>3382</v>
      </c>
      <c r="F88">
        <v>1</v>
      </c>
      <c r="K88" s="2" t="s">
        <v>210</v>
      </c>
      <c r="L88">
        <v>1</v>
      </c>
      <c r="M88" s="2" t="s">
        <v>606</v>
      </c>
      <c r="N88">
        <v>1</v>
      </c>
    </row>
    <row r="89" spans="3:14">
      <c r="C89" s="2" t="s">
        <v>3383</v>
      </c>
      <c r="D89">
        <v>1</v>
      </c>
      <c r="E89" s="60" t="s">
        <v>3384</v>
      </c>
      <c r="F89">
        <v>2</v>
      </c>
      <c r="K89" s="2" t="s">
        <v>1325</v>
      </c>
      <c r="L89">
        <v>2</v>
      </c>
      <c r="M89" s="2" t="s">
        <v>571</v>
      </c>
      <c r="N89">
        <v>1</v>
      </c>
    </row>
    <row r="90" spans="3:14">
      <c r="C90" s="60" t="s">
        <v>1768</v>
      </c>
      <c r="D90">
        <v>1</v>
      </c>
      <c r="E90" s="60" t="s">
        <v>3385</v>
      </c>
      <c r="F90">
        <v>1</v>
      </c>
      <c r="K90" s="2" t="s">
        <v>847</v>
      </c>
      <c r="L90">
        <v>2</v>
      </c>
      <c r="M90" s="2" t="s">
        <v>477</v>
      </c>
      <c r="N90">
        <v>1</v>
      </c>
    </row>
    <row r="91" spans="3:14">
      <c r="C91" s="2" t="s">
        <v>3386</v>
      </c>
      <c r="D91">
        <v>1</v>
      </c>
      <c r="E91" s="60" t="s">
        <v>3387</v>
      </c>
      <c r="F91">
        <v>1</v>
      </c>
      <c r="K91" s="2" t="s">
        <v>1251</v>
      </c>
      <c r="M91" s="2" t="s">
        <v>3388</v>
      </c>
      <c r="N91">
        <v>1</v>
      </c>
    </row>
    <row r="92" spans="3:14">
      <c r="C92" s="60" t="s">
        <v>1743</v>
      </c>
      <c r="D92">
        <v>1</v>
      </c>
      <c r="E92" s="60" t="s">
        <v>3389</v>
      </c>
      <c r="F92">
        <v>3</v>
      </c>
      <c r="K92" s="60" t="s">
        <v>1252</v>
      </c>
      <c r="L92">
        <v>1</v>
      </c>
      <c r="M92" s="2" t="s">
        <v>925</v>
      </c>
      <c r="N92">
        <v>1</v>
      </c>
    </row>
    <row r="93" spans="3:14">
      <c r="C93" s="2" t="s">
        <v>2480</v>
      </c>
      <c r="D93">
        <v>1</v>
      </c>
      <c r="E93" s="60" t="s">
        <v>3390</v>
      </c>
      <c r="F93">
        <v>1</v>
      </c>
      <c r="K93" s="2" t="s">
        <v>154</v>
      </c>
      <c r="L93">
        <v>8</v>
      </c>
      <c r="M93" s="60" t="s">
        <v>940</v>
      </c>
      <c r="N93">
        <v>1</v>
      </c>
    </row>
    <row r="94" spans="3:14">
      <c r="C94" s="60" t="s">
        <v>1858</v>
      </c>
      <c r="D94">
        <v>1</v>
      </c>
      <c r="E94" s="60" t="s">
        <v>3391</v>
      </c>
      <c r="F94">
        <v>1</v>
      </c>
      <c r="K94" s="2" t="s">
        <v>1017</v>
      </c>
      <c r="L94">
        <v>1</v>
      </c>
      <c r="M94" s="2" t="s">
        <v>3392</v>
      </c>
      <c r="N94">
        <v>1</v>
      </c>
    </row>
    <row r="95" spans="3:14">
      <c r="C95" s="2" t="s">
        <v>3168</v>
      </c>
      <c r="D95">
        <v>67</v>
      </c>
      <c r="E95" s="60" t="s">
        <v>3393</v>
      </c>
      <c r="F95">
        <v>3</v>
      </c>
      <c r="K95" s="2" t="s">
        <v>131</v>
      </c>
      <c r="L95">
        <v>3</v>
      </c>
      <c r="M95" s="2" t="s">
        <v>518</v>
      </c>
      <c r="N95">
        <v>2</v>
      </c>
    </row>
    <row r="96" spans="3:14">
      <c r="E96" s="60" t="s">
        <v>3394</v>
      </c>
      <c r="F96">
        <v>1</v>
      </c>
      <c r="K96" s="2" t="s">
        <v>3395</v>
      </c>
      <c r="L96">
        <v>1</v>
      </c>
      <c r="M96" s="2" t="s">
        <v>3396</v>
      </c>
      <c r="N96">
        <v>1</v>
      </c>
    </row>
    <row r="97" spans="5:14">
      <c r="E97" s="60" t="s">
        <v>3397</v>
      </c>
      <c r="F97">
        <v>1</v>
      </c>
      <c r="K97" s="2" t="s">
        <v>790</v>
      </c>
      <c r="L97">
        <v>1</v>
      </c>
      <c r="M97" s="2" t="s">
        <v>552</v>
      </c>
      <c r="N97">
        <v>1</v>
      </c>
    </row>
    <row r="98" spans="5:14">
      <c r="E98" s="2" t="s">
        <v>3398</v>
      </c>
      <c r="F98">
        <v>2</v>
      </c>
      <c r="K98" s="2" t="s">
        <v>3399</v>
      </c>
      <c r="L98">
        <v>1</v>
      </c>
      <c r="M98" s="2" t="s">
        <v>1182</v>
      </c>
      <c r="N98">
        <v>2</v>
      </c>
    </row>
    <row r="99" spans="5:14">
      <c r="E99" s="2" t="s">
        <v>3400</v>
      </c>
      <c r="F99">
        <v>1</v>
      </c>
      <c r="K99" s="2" t="s">
        <v>224</v>
      </c>
      <c r="L99">
        <v>1</v>
      </c>
      <c r="M99" s="2" t="s">
        <v>1163</v>
      </c>
      <c r="N99">
        <v>3</v>
      </c>
    </row>
    <row r="100" spans="5:14">
      <c r="E100" s="2" t="s">
        <v>1897</v>
      </c>
      <c r="F100">
        <v>1</v>
      </c>
      <c r="K100" s="2" t="s">
        <v>1320</v>
      </c>
      <c r="L100">
        <v>2</v>
      </c>
      <c r="M100" s="2" t="s">
        <v>594</v>
      </c>
      <c r="N100">
        <v>2</v>
      </c>
    </row>
    <row r="101" spans="5:14">
      <c r="E101" s="2" t="s">
        <v>3401</v>
      </c>
      <c r="F101">
        <v>1</v>
      </c>
      <c r="K101" s="2" t="s">
        <v>3402</v>
      </c>
      <c r="L101">
        <v>1</v>
      </c>
      <c r="M101" s="2" t="s">
        <v>1219</v>
      </c>
      <c r="N101">
        <v>1</v>
      </c>
    </row>
    <row r="102" spans="5:14">
      <c r="E102" s="2" t="s">
        <v>2410</v>
      </c>
      <c r="F102">
        <v>7</v>
      </c>
      <c r="K102" s="2" t="s">
        <v>3403</v>
      </c>
      <c r="M102" s="2" t="s">
        <v>1242</v>
      </c>
      <c r="N102">
        <v>1</v>
      </c>
    </row>
    <row r="103" spans="5:14">
      <c r="E103" s="2" t="s">
        <v>3168</v>
      </c>
      <c r="F103">
        <v>138</v>
      </c>
      <c r="K103" s="60" t="s">
        <v>3404</v>
      </c>
      <c r="L103">
        <v>1</v>
      </c>
      <c r="M103" s="60" t="s">
        <v>1243</v>
      </c>
      <c r="N103">
        <v>1</v>
      </c>
    </row>
    <row r="104" spans="5:14">
      <c r="K104" s="2" t="s">
        <v>119</v>
      </c>
      <c r="L104">
        <v>1</v>
      </c>
      <c r="M104" s="2" t="s">
        <v>3167</v>
      </c>
    </row>
    <row r="105" spans="5:14">
      <c r="K105" s="2" t="s">
        <v>814</v>
      </c>
      <c r="L105">
        <v>3</v>
      </c>
      <c r="M105" s="2" t="s">
        <v>3168</v>
      </c>
      <c r="N105">
        <v>194</v>
      </c>
    </row>
    <row r="106" spans="5:14">
      <c r="K106" s="2" t="s">
        <v>741</v>
      </c>
    </row>
    <row r="107" spans="5:14">
      <c r="K107" s="60" t="s">
        <v>742</v>
      </c>
      <c r="L107">
        <v>1</v>
      </c>
    </row>
    <row r="108" spans="5:14">
      <c r="K108" s="2" t="s">
        <v>3405</v>
      </c>
    </row>
    <row r="109" spans="5:14">
      <c r="K109" s="60" t="s">
        <v>3406</v>
      </c>
      <c r="L109">
        <v>1</v>
      </c>
    </row>
    <row r="110" spans="5:14">
      <c r="K110" s="2" t="s">
        <v>3407</v>
      </c>
      <c r="L110">
        <v>1</v>
      </c>
    </row>
    <row r="111" spans="5:14">
      <c r="K111" s="2" t="s">
        <v>3408</v>
      </c>
    </row>
    <row r="112" spans="5:14">
      <c r="K112" s="60" t="s">
        <v>3409</v>
      </c>
      <c r="L112">
        <v>1</v>
      </c>
    </row>
    <row r="113" spans="11:12">
      <c r="K113" s="2" t="s">
        <v>708</v>
      </c>
    </row>
    <row r="114" spans="11:12">
      <c r="K114" s="60" t="s">
        <v>3410</v>
      </c>
      <c r="L114">
        <v>1</v>
      </c>
    </row>
    <row r="115" spans="11:12">
      <c r="K115" s="2" t="s">
        <v>67</v>
      </c>
      <c r="L115">
        <v>3</v>
      </c>
    </row>
    <row r="116" spans="11:12">
      <c r="K116" s="2" t="s">
        <v>1239</v>
      </c>
      <c r="L116">
        <v>1</v>
      </c>
    </row>
    <row r="117" spans="11:12">
      <c r="K117" s="2" t="s">
        <v>1013</v>
      </c>
      <c r="L117">
        <v>1</v>
      </c>
    </row>
    <row r="118" spans="11:12">
      <c r="K118" s="2" t="s">
        <v>896</v>
      </c>
      <c r="L118">
        <v>2</v>
      </c>
    </row>
    <row r="119" spans="11:12">
      <c r="K119" s="2" t="s">
        <v>3411</v>
      </c>
      <c r="L119">
        <v>2</v>
      </c>
    </row>
    <row r="120" spans="11:12">
      <c r="K120" s="2" t="s">
        <v>841</v>
      </c>
      <c r="L120">
        <v>1</v>
      </c>
    </row>
    <row r="121" spans="11:12">
      <c r="K121" s="2" t="s">
        <v>325</v>
      </c>
      <c r="L121">
        <v>1</v>
      </c>
    </row>
    <row r="122" spans="11:12">
      <c r="K122" s="2" t="s">
        <v>392</v>
      </c>
      <c r="L122">
        <v>5</v>
      </c>
    </row>
    <row r="123" spans="11:12">
      <c r="K123" s="2" t="s">
        <v>53</v>
      </c>
      <c r="L123">
        <v>3</v>
      </c>
    </row>
    <row r="124" spans="11:12">
      <c r="K124" s="2" t="s">
        <v>3412</v>
      </c>
      <c r="L124">
        <v>1</v>
      </c>
    </row>
    <row r="125" spans="11:12">
      <c r="K125" s="2" t="s">
        <v>158</v>
      </c>
      <c r="L125">
        <v>8</v>
      </c>
    </row>
    <row r="126" spans="11:12">
      <c r="K126" s="2" t="s">
        <v>1322</v>
      </c>
      <c r="L126">
        <v>2</v>
      </c>
    </row>
    <row r="127" spans="11:12">
      <c r="K127" s="2" t="s">
        <v>1038</v>
      </c>
      <c r="L127">
        <v>2</v>
      </c>
    </row>
    <row r="128" spans="11:12">
      <c r="K128" s="2" t="s">
        <v>879</v>
      </c>
    </row>
    <row r="129" spans="11:12">
      <c r="K129" s="60" t="s">
        <v>1003</v>
      </c>
      <c r="L129">
        <v>1</v>
      </c>
    </row>
    <row r="130" spans="11:12">
      <c r="K130" s="2" t="s">
        <v>3413</v>
      </c>
      <c r="L130">
        <v>1</v>
      </c>
    </row>
    <row r="131" spans="11:12">
      <c r="K131" s="2" t="s">
        <v>201</v>
      </c>
      <c r="L131">
        <v>3</v>
      </c>
    </row>
    <row r="132" spans="11:12">
      <c r="K132" s="2" t="s">
        <v>3414</v>
      </c>
      <c r="L132">
        <v>1</v>
      </c>
    </row>
    <row r="133" spans="11:12">
      <c r="K133" s="2" t="s">
        <v>304</v>
      </c>
      <c r="L133">
        <v>3</v>
      </c>
    </row>
    <row r="134" spans="11:12">
      <c r="K134" s="2" t="s">
        <v>3415</v>
      </c>
      <c r="L134">
        <v>1</v>
      </c>
    </row>
    <row r="135" spans="11:12">
      <c r="K135" s="2" t="s">
        <v>3416</v>
      </c>
      <c r="L135">
        <v>1</v>
      </c>
    </row>
    <row r="136" spans="11:12">
      <c r="K136" s="2" t="s">
        <v>58</v>
      </c>
      <c r="L136">
        <v>2</v>
      </c>
    </row>
    <row r="137" spans="11:12">
      <c r="K137" s="2" t="s">
        <v>137</v>
      </c>
      <c r="L137">
        <v>3</v>
      </c>
    </row>
    <row r="138" spans="11:12">
      <c r="K138" s="2" t="s">
        <v>3417</v>
      </c>
      <c r="L138">
        <v>1</v>
      </c>
    </row>
    <row r="139" spans="11:12">
      <c r="K139" s="2" t="s">
        <v>1097</v>
      </c>
      <c r="L139">
        <v>1</v>
      </c>
    </row>
    <row r="140" spans="11:12">
      <c r="K140" s="2" t="s">
        <v>1009</v>
      </c>
      <c r="L140">
        <v>1</v>
      </c>
    </row>
    <row r="141" spans="11:12">
      <c r="K141" s="2" t="s">
        <v>751</v>
      </c>
      <c r="L141">
        <v>2</v>
      </c>
    </row>
    <row r="142" spans="11:12">
      <c r="K142" s="2" t="s">
        <v>254</v>
      </c>
      <c r="L142">
        <v>2</v>
      </c>
    </row>
    <row r="143" spans="11:12">
      <c r="K143" s="2" t="s">
        <v>3418</v>
      </c>
      <c r="L143">
        <v>2</v>
      </c>
    </row>
    <row r="144" spans="11:12">
      <c r="K144" s="2" t="s">
        <v>3419</v>
      </c>
    </row>
    <row r="145" spans="11:12">
      <c r="K145" s="60" t="s">
        <v>3420</v>
      </c>
      <c r="L145">
        <v>1</v>
      </c>
    </row>
    <row r="146" spans="11:12">
      <c r="K146" s="2" t="s">
        <v>1234</v>
      </c>
      <c r="L146">
        <v>1</v>
      </c>
    </row>
    <row r="147" spans="11:12">
      <c r="K147" s="2" t="s">
        <v>1059</v>
      </c>
      <c r="L147">
        <v>1</v>
      </c>
    </row>
    <row r="148" spans="11:12">
      <c r="K148" s="2" t="s">
        <v>336</v>
      </c>
    </row>
    <row r="149" spans="11:12">
      <c r="K149" s="60" t="s">
        <v>337</v>
      </c>
      <c r="L149">
        <v>1</v>
      </c>
    </row>
    <row r="150" spans="11:12">
      <c r="K150" s="2" t="s">
        <v>47</v>
      </c>
      <c r="L150">
        <v>3</v>
      </c>
    </row>
    <row r="151" spans="11:12">
      <c r="K151" s="2" t="s">
        <v>383</v>
      </c>
      <c r="L151">
        <v>3</v>
      </c>
    </row>
    <row r="152" spans="11:12">
      <c r="K152" s="2" t="s">
        <v>1051</v>
      </c>
      <c r="L152">
        <v>2</v>
      </c>
    </row>
    <row r="153" spans="11:12">
      <c r="K153" s="2" t="s">
        <v>3421</v>
      </c>
      <c r="L153">
        <v>1</v>
      </c>
    </row>
    <row r="154" spans="11:12">
      <c r="K154" s="2" t="s">
        <v>127</v>
      </c>
      <c r="L154">
        <v>5</v>
      </c>
    </row>
    <row r="155" spans="11:12">
      <c r="K155" s="2" t="s">
        <v>3422</v>
      </c>
      <c r="L155">
        <v>2</v>
      </c>
    </row>
    <row r="156" spans="11:12">
      <c r="K156" s="2" t="s">
        <v>3423</v>
      </c>
      <c r="L156">
        <v>1</v>
      </c>
    </row>
    <row r="157" spans="11:12">
      <c r="K157" s="2" t="s">
        <v>817</v>
      </c>
    </row>
    <row r="158" spans="11:12">
      <c r="K158" s="60" t="s">
        <v>3424</v>
      </c>
      <c r="L158">
        <v>1</v>
      </c>
    </row>
    <row r="159" spans="11:12">
      <c r="K159" s="2" t="s">
        <v>96</v>
      </c>
      <c r="L159">
        <v>3</v>
      </c>
    </row>
    <row r="160" spans="11:12">
      <c r="K160" s="2" t="s">
        <v>1333</v>
      </c>
      <c r="L160">
        <v>2</v>
      </c>
    </row>
    <row r="161" spans="11:12">
      <c r="K161" s="2" t="s">
        <v>808</v>
      </c>
      <c r="L161">
        <v>2</v>
      </c>
    </row>
    <row r="162" spans="11:12">
      <c r="K162" s="2" t="s">
        <v>839</v>
      </c>
      <c r="L162">
        <v>1</v>
      </c>
    </row>
    <row r="163" spans="11:12">
      <c r="K163" s="2" t="s">
        <v>115</v>
      </c>
      <c r="L163">
        <v>3</v>
      </c>
    </row>
    <row r="164" spans="11:12">
      <c r="K164" s="2" t="s">
        <v>861</v>
      </c>
      <c r="L164">
        <v>1</v>
      </c>
    </row>
    <row r="165" spans="11:12">
      <c r="K165" s="2" t="s">
        <v>1288</v>
      </c>
    </row>
    <row r="166" spans="11:12">
      <c r="K166" s="60" t="s">
        <v>1289</v>
      </c>
      <c r="L166">
        <v>1</v>
      </c>
    </row>
    <row r="167" spans="11:12">
      <c r="K167" s="2" t="s">
        <v>3425</v>
      </c>
      <c r="L167">
        <v>2</v>
      </c>
    </row>
    <row r="168" spans="11:12">
      <c r="K168" s="2" t="s">
        <v>82</v>
      </c>
      <c r="L168">
        <v>4</v>
      </c>
    </row>
    <row r="169" spans="11:12">
      <c r="K169" s="2" t="s">
        <v>3167</v>
      </c>
    </row>
    <row r="170" spans="11:12">
      <c r="K170" s="2" t="s">
        <v>3168</v>
      </c>
      <c r="L170">
        <v>255</v>
      </c>
    </row>
  </sheetData>
  <sheetProtection pivotTables="0"/>
  <mergeCells count="7">
    <mergeCell ref="A1:B1"/>
    <mergeCell ref="M1:N1"/>
    <mergeCell ref="C1:D1"/>
    <mergeCell ref="G1:H1"/>
    <mergeCell ref="I1:J1"/>
    <mergeCell ref="K1:L1"/>
    <mergeCell ref="E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EF29-22DC-47E4-A387-E2D526D9B194}">
  <dimension ref="A1:M21"/>
  <sheetViews>
    <sheetView workbookViewId="0">
      <selection activeCell="E10" sqref="E10"/>
    </sheetView>
  </sheetViews>
  <sheetFormatPr defaultColWidth="9.140625" defaultRowHeight="15"/>
  <cols>
    <col min="1" max="1" width="25.85546875" bestFit="1" customWidth="1"/>
    <col min="4" max="4" width="25.85546875" bestFit="1" customWidth="1"/>
    <col min="6" max="6" width="24.5703125" bestFit="1" customWidth="1"/>
    <col min="13" max="13" width="25.85546875" style="20" customWidth="1"/>
  </cols>
  <sheetData>
    <row r="1" spans="1:6">
      <c r="A1" s="70" t="s">
        <v>1387</v>
      </c>
      <c r="D1" s="70" t="s">
        <v>3096</v>
      </c>
      <c r="F1" s="70" t="s">
        <v>3152</v>
      </c>
    </row>
    <row r="2" spans="1:6">
      <c r="A2" s="70" t="s">
        <v>1372</v>
      </c>
      <c r="D2" s="70" t="s">
        <v>1372</v>
      </c>
      <c r="F2" s="70" t="s">
        <v>3426</v>
      </c>
    </row>
    <row r="3" spans="1:6">
      <c r="A3" s="70" t="s">
        <v>1319</v>
      </c>
      <c r="D3" t="s">
        <v>1319</v>
      </c>
      <c r="F3" t="s">
        <v>3427</v>
      </c>
    </row>
    <row r="4" spans="1:6">
      <c r="A4" s="70" t="s">
        <v>1306</v>
      </c>
      <c r="D4" t="s">
        <v>1306</v>
      </c>
      <c r="F4" t="s">
        <v>3135</v>
      </c>
    </row>
    <row r="5" spans="1:6">
      <c r="A5" s="70" t="s">
        <v>1286</v>
      </c>
      <c r="D5" t="s">
        <v>1286</v>
      </c>
      <c r="F5" t="s">
        <v>3119</v>
      </c>
    </row>
    <row r="6" spans="1:6">
      <c r="A6" s="70" t="s">
        <v>1244</v>
      </c>
      <c r="D6" t="s">
        <v>3059</v>
      </c>
    </row>
    <row r="7" spans="1:6">
      <c r="A7" s="70" t="s">
        <v>1238</v>
      </c>
      <c r="D7" s="70" t="s">
        <v>3035</v>
      </c>
    </row>
    <row r="8" spans="1:6">
      <c r="A8" s="70" t="s">
        <v>1206</v>
      </c>
      <c r="D8" s="70" t="s">
        <v>3428</v>
      </c>
    </row>
    <row r="9" spans="1:6">
      <c r="A9" s="70" t="s">
        <v>992</v>
      </c>
      <c r="D9" s="70" t="s">
        <v>3031</v>
      </c>
    </row>
    <row r="10" spans="1:6">
      <c r="A10" s="70" t="s">
        <v>3429</v>
      </c>
      <c r="D10" t="s">
        <v>2988</v>
      </c>
    </row>
    <row r="11" spans="1:6">
      <c r="A11" s="70" t="s">
        <v>788</v>
      </c>
      <c r="D11" t="s">
        <v>2977</v>
      </c>
    </row>
    <row r="12" spans="1:6">
      <c r="A12" s="70" t="s">
        <v>729</v>
      </c>
      <c r="D12" t="s">
        <v>2936</v>
      </c>
    </row>
    <row r="13" spans="1:6">
      <c r="A13" s="70" t="s">
        <v>724</v>
      </c>
      <c r="D13" t="s">
        <v>2910</v>
      </c>
    </row>
    <row r="14" spans="1:6">
      <c r="A14" s="70" t="s">
        <v>711</v>
      </c>
      <c r="D14" t="s">
        <v>3430</v>
      </c>
    </row>
    <row r="15" spans="1:6">
      <c r="A15" s="70" t="s">
        <v>687</v>
      </c>
      <c r="D15" t="s">
        <v>3431</v>
      </c>
    </row>
    <row r="16" spans="1:6">
      <c r="A16" s="70" t="s">
        <v>665</v>
      </c>
    </row>
    <row r="17" spans="1:1">
      <c r="A17" s="70" t="s">
        <v>42</v>
      </c>
    </row>
    <row r="18" spans="1:1">
      <c r="A18" s="70" t="s">
        <v>1433</v>
      </c>
    </row>
    <row r="19" spans="1:1">
      <c r="A19" s="70" t="s">
        <v>1420</v>
      </c>
    </row>
    <row r="20" spans="1:1">
      <c r="A20" s="70" t="s">
        <v>3432</v>
      </c>
    </row>
    <row r="21" spans="1:1">
      <c r="A21" s="70"/>
    </row>
  </sheetData>
  <conditionalFormatting sqref="M13:M31">
    <cfRule type="expression" dxfId="1519" priority="6">
      <formula>$B13="06 AT MAJ SI"</formula>
    </cfRule>
  </conditionalFormatting>
  <conditionalFormatting sqref="M13:M31">
    <cfRule type="expression" dxfId="1518" priority="15">
      <formula>$B13="05 AT PV"</formula>
    </cfRule>
  </conditionalFormatting>
  <conditionalFormatting sqref="M13:M31">
    <cfRule type="expression" dxfId="1517" priority="8">
      <formula>$B13="01.2 A REMONTER"</formula>
    </cfRule>
  </conditionalFormatting>
  <conditionalFormatting sqref="M13:M31">
    <cfRule type="expression" dxfId="1516" priority="14">
      <formula>$B13="09 POI EN TRAVAUX"</formula>
    </cfRule>
  </conditionalFormatting>
  <conditionalFormatting sqref="M13:M31">
    <cfRule type="expression" dxfId="1515" priority="12">
      <formula>$B13="07 AT INFO CAF REF"</formula>
    </cfRule>
  </conditionalFormatting>
  <conditionalFormatting sqref="M13:M31">
    <cfRule type="expression" dxfId="1514" priority="11">
      <formula>$B13="04 DOSSIER A MONTER"</formula>
    </cfRule>
  </conditionalFormatting>
  <conditionalFormatting sqref="M13:M31">
    <cfRule type="expression" dxfId="1513" priority="13">
      <formula>$B13="08 AT DEVIS ORANGE/RIP"</formula>
    </cfRule>
  </conditionalFormatting>
  <conditionalFormatting sqref="M13:M31">
    <cfRule type="expression" dxfId="1512" priority="10">
      <formula>$B13="03 DOSSIER A REPRENDRE"</formula>
    </cfRule>
  </conditionalFormatting>
  <conditionalFormatting sqref="M13:M31">
    <cfRule type="expression" dxfId="1511" priority="9">
      <formula>$B13="02 RETOUR VT"</formula>
    </cfRule>
  </conditionalFormatting>
  <conditionalFormatting sqref="M13:M31">
    <cfRule type="expression" dxfId="1510" priority="7">
      <formula>$B13="09.1 ATT DOE"</formula>
    </cfRule>
  </conditionalFormatting>
  <conditionalFormatting sqref="M13:M31">
    <cfRule type="expression" dxfId="1509" priority="4">
      <formula>$B13="10 POI EN FACTU"</formula>
    </cfRule>
    <cfRule type="expression" dxfId="1508" priority="5">
      <formula>$B13="11 RECOL A FAIRE"</formula>
    </cfRule>
  </conditionalFormatting>
  <conditionalFormatting sqref="M13:M31">
    <cfRule type="duplicateValues" dxfId="1507" priority="2" stopIfTrue="1"/>
  </conditionalFormatting>
  <conditionalFormatting sqref="M13:M31">
    <cfRule type="expression" dxfId="1506" priority="1">
      <formula>$B13="05.2 ATT DT"</formula>
    </cfRule>
    <cfRule type="expression" dxfId="1505" priority="3">
      <formula>$B13="05.1 AT DTA"</formula>
    </cfRule>
  </conditionalFormatting>
  <dataValidations count="1">
    <dataValidation type="list" allowBlank="1" showInputMessage="1" showErrorMessage="1" sqref="J9" xr:uid="{DA8C3B2E-8C0C-4137-8F2E-CBF3A437D838}">
      <formula1>$A$1:$A$18</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38E9-7341-4EA5-8CE1-31D4937DEC8D}">
  <sheetPr>
    <tabColor theme="7" tint="0.59999389629810485"/>
  </sheetPr>
  <dimension ref="A1:O140"/>
  <sheetViews>
    <sheetView topLeftCell="A127" workbookViewId="0">
      <selection activeCell="J141" sqref="J141"/>
    </sheetView>
  </sheetViews>
  <sheetFormatPr defaultColWidth="9.140625" defaultRowHeight="15"/>
  <cols>
    <col min="1" max="1" width="10.85546875" style="3" bestFit="1" customWidth="1"/>
    <col min="2" max="2" width="13.7109375" style="3" customWidth="1"/>
    <col min="3" max="3" width="6.140625" style="3" bestFit="1" customWidth="1"/>
    <col min="4" max="4" width="9.28515625" style="3" bestFit="1" customWidth="1"/>
    <col min="5" max="5" width="17.7109375" style="3" customWidth="1"/>
    <col min="6" max="6" width="23.85546875" style="3" customWidth="1"/>
    <col min="7" max="7" width="15.42578125" style="3" customWidth="1"/>
    <col min="8" max="8" width="25.140625" style="3" bestFit="1" customWidth="1"/>
    <col min="9" max="9" width="11.140625" style="68" bestFit="1" customWidth="1"/>
    <col min="10" max="10" width="14" style="3" customWidth="1"/>
    <col min="11" max="11" width="11.85546875" style="3" bestFit="1" customWidth="1"/>
    <col min="12" max="12" width="54" style="3" customWidth="1"/>
    <col min="13" max="13" width="9.140625" style="3"/>
    <col min="14" max="14" width="22.140625" style="3" bestFit="1" customWidth="1"/>
    <col min="15" max="15" width="112.5703125" style="3" customWidth="1"/>
    <col min="16" max="16" width="9.28515625" style="3" bestFit="1" customWidth="1"/>
    <col min="17" max="17" width="11.7109375" style="3" bestFit="1" customWidth="1"/>
    <col min="18" max="16384" width="9.140625" style="3"/>
  </cols>
  <sheetData>
    <row r="1" spans="1:11">
      <c r="A1" s="65" t="s">
        <v>3433</v>
      </c>
      <c r="B1" s="66" t="s">
        <v>3434</v>
      </c>
      <c r="C1" s="66" t="s">
        <v>3435</v>
      </c>
      <c r="D1" s="66" t="s">
        <v>3436</v>
      </c>
      <c r="E1" s="66" t="s">
        <v>3437</v>
      </c>
      <c r="F1" s="66" t="s">
        <v>3438</v>
      </c>
      <c r="G1" s="66" t="s">
        <v>3439</v>
      </c>
      <c r="H1" s="66" t="s">
        <v>3440</v>
      </c>
      <c r="I1" s="67" t="s">
        <v>3441</v>
      </c>
      <c r="J1" s="66" t="s">
        <v>3442</v>
      </c>
      <c r="K1" s="66" t="s">
        <v>3443</v>
      </c>
    </row>
    <row r="2" spans="1:11">
      <c r="A2" s="230" t="s">
        <v>3444</v>
      </c>
      <c r="B2" s="231">
        <v>12</v>
      </c>
      <c r="C2" s="231" t="s">
        <v>3445</v>
      </c>
      <c r="D2" s="231" t="s">
        <v>3446</v>
      </c>
      <c r="E2" s="231" t="s">
        <v>3447</v>
      </c>
      <c r="F2" s="231" t="s">
        <v>3448</v>
      </c>
      <c r="G2" s="231" t="s">
        <v>3411</v>
      </c>
      <c r="H2" s="231" t="s">
        <v>3449</v>
      </c>
      <c r="I2" s="232">
        <v>45910</v>
      </c>
      <c r="J2" s="231" t="s">
        <v>3450</v>
      </c>
      <c r="K2" s="231" t="s">
        <v>3451</v>
      </c>
    </row>
    <row r="3" spans="1:11" ht="16.5">
      <c r="A3" s="230" t="s">
        <v>3444</v>
      </c>
      <c r="B3" s="231">
        <v>12</v>
      </c>
      <c r="C3" s="231" t="s">
        <v>3445</v>
      </c>
      <c r="D3" s="231" t="s">
        <v>3452</v>
      </c>
      <c r="E3" s="231" t="s">
        <v>3447</v>
      </c>
      <c r="F3" s="231" t="s">
        <v>3453</v>
      </c>
      <c r="G3" s="233"/>
      <c r="H3" s="231" t="s">
        <v>3449</v>
      </c>
      <c r="I3" s="234">
        <v>45911</v>
      </c>
      <c r="J3" s="231" t="s">
        <v>3450</v>
      </c>
      <c r="K3" s="231" t="s">
        <v>3454</v>
      </c>
    </row>
    <row r="4" spans="1:11" ht="16.5">
      <c r="A4" s="230" t="s">
        <v>3444</v>
      </c>
      <c r="B4" s="231">
        <v>12</v>
      </c>
      <c r="C4" s="231" t="s">
        <v>3445</v>
      </c>
      <c r="D4" s="231" t="s">
        <v>3455</v>
      </c>
      <c r="E4" s="231" t="s">
        <v>3447</v>
      </c>
      <c r="F4" s="231" t="s">
        <v>3456</v>
      </c>
      <c r="G4" s="233" t="s">
        <v>3457</v>
      </c>
      <c r="H4" s="231" t="s">
        <v>3449</v>
      </c>
      <c r="I4" s="234">
        <v>45912</v>
      </c>
      <c r="J4" s="231" t="s">
        <v>3450</v>
      </c>
      <c r="K4" s="231" t="s">
        <v>3458</v>
      </c>
    </row>
    <row r="5" spans="1:11">
      <c r="A5" s="230" t="s">
        <v>3444</v>
      </c>
      <c r="B5" s="231">
        <v>12</v>
      </c>
      <c r="C5" s="231" t="s">
        <v>3445</v>
      </c>
      <c r="D5" s="231" t="s">
        <v>3459</v>
      </c>
      <c r="E5" s="231" t="s">
        <v>3447</v>
      </c>
      <c r="F5" s="231" t="s">
        <v>3460</v>
      </c>
      <c r="G5" s="231" t="s">
        <v>3333</v>
      </c>
      <c r="H5" s="231" t="s">
        <v>3449</v>
      </c>
      <c r="I5" s="234">
        <v>45917</v>
      </c>
      <c r="J5" s="231" t="s">
        <v>3450</v>
      </c>
      <c r="K5" s="231" t="s">
        <v>3461</v>
      </c>
    </row>
    <row r="6" spans="1:11" ht="29.25">
      <c r="A6" s="230" t="s">
        <v>3444</v>
      </c>
      <c r="B6" s="231">
        <v>12</v>
      </c>
      <c r="C6" s="231" t="s">
        <v>3445</v>
      </c>
      <c r="D6" s="231" t="s">
        <v>3462</v>
      </c>
      <c r="E6" s="231" t="s">
        <v>3447</v>
      </c>
      <c r="F6" s="231" t="s">
        <v>3463</v>
      </c>
      <c r="G6" s="231" t="s">
        <v>244</v>
      </c>
      <c r="H6" s="231" t="s">
        <v>3449</v>
      </c>
      <c r="I6" s="234">
        <v>45918</v>
      </c>
      <c r="J6" s="231" t="s">
        <v>3450</v>
      </c>
      <c r="K6" s="231" t="s">
        <v>3464</v>
      </c>
    </row>
    <row r="7" spans="1:11" ht="29.25">
      <c r="A7" s="230" t="s">
        <v>3444</v>
      </c>
      <c r="B7" s="231">
        <v>12</v>
      </c>
      <c r="C7" s="231" t="s">
        <v>3445</v>
      </c>
      <c r="D7" s="231" t="s">
        <v>3465</v>
      </c>
      <c r="E7" s="231" t="s">
        <v>3447</v>
      </c>
      <c r="F7" s="231" t="s">
        <v>3466</v>
      </c>
      <c r="G7" s="231" t="s">
        <v>3467</v>
      </c>
      <c r="H7" s="231" t="s">
        <v>3449</v>
      </c>
      <c r="I7" s="234">
        <v>45919</v>
      </c>
      <c r="J7" s="231" t="s">
        <v>3450</v>
      </c>
      <c r="K7" s="231" t="s">
        <v>3468</v>
      </c>
    </row>
    <row r="8" spans="1:11" ht="16.5">
      <c r="A8" s="230" t="s">
        <v>3444</v>
      </c>
      <c r="B8" s="231">
        <v>12</v>
      </c>
      <c r="C8" s="231" t="s">
        <v>3445</v>
      </c>
      <c r="D8" s="231" t="s">
        <v>3469</v>
      </c>
      <c r="E8" s="231" t="s">
        <v>3447</v>
      </c>
      <c r="F8" s="231" t="s">
        <v>3470</v>
      </c>
      <c r="G8" s="233"/>
      <c r="H8" s="231" t="s">
        <v>3449</v>
      </c>
      <c r="I8" s="234">
        <v>45924</v>
      </c>
      <c r="J8" s="231" t="s">
        <v>3450</v>
      </c>
      <c r="K8" s="231" t="s">
        <v>3471</v>
      </c>
    </row>
    <row r="9" spans="1:11" ht="16.5">
      <c r="A9" s="230" t="s">
        <v>3444</v>
      </c>
      <c r="B9" s="231">
        <v>12</v>
      </c>
      <c r="C9" s="231" t="s">
        <v>3445</v>
      </c>
      <c r="D9" s="231" t="s">
        <v>3472</v>
      </c>
      <c r="E9" s="231" t="s">
        <v>3447</v>
      </c>
      <c r="F9" s="231" t="s">
        <v>3473</v>
      </c>
      <c r="G9" s="233"/>
      <c r="H9" s="231" t="s">
        <v>3449</v>
      </c>
      <c r="I9" s="234">
        <v>45925</v>
      </c>
      <c r="J9" s="231" t="s">
        <v>3450</v>
      </c>
      <c r="K9" s="231" t="s">
        <v>3474</v>
      </c>
    </row>
    <row r="10" spans="1:11" ht="16.5">
      <c r="A10" s="230" t="s">
        <v>3444</v>
      </c>
      <c r="B10" s="231">
        <v>12</v>
      </c>
      <c r="C10" s="231" t="s">
        <v>3445</v>
      </c>
      <c r="D10" s="231" t="s">
        <v>3475</v>
      </c>
      <c r="E10" s="231" t="s">
        <v>3447</v>
      </c>
      <c r="F10" s="231" t="s">
        <v>3476</v>
      </c>
      <c r="G10" s="233"/>
      <c r="H10" s="231" t="s">
        <v>3449</v>
      </c>
      <c r="I10" s="234">
        <v>45926</v>
      </c>
      <c r="J10" s="231" t="s">
        <v>3450</v>
      </c>
      <c r="K10" s="231" t="s">
        <v>3477</v>
      </c>
    </row>
    <row r="11" spans="1:11">
      <c r="A11" s="230" t="s">
        <v>3444</v>
      </c>
      <c r="B11" s="231">
        <v>12</v>
      </c>
      <c r="C11" s="231" t="s">
        <v>3445</v>
      </c>
      <c r="D11" s="231" t="s">
        <v>3459</v>
      </c>
      <c r="E11" s="231" t="s">
        <v>3447</v>
      </c>
      <c r="F11" s="231" t="s">
        <v>3478</v>
      </c>
      <c r="G11" s="231" t="s">
        <v>3333</v>
      </c>
      <c r="H11" s="231" t="s">
        <v>3449</v>
      </c>
      <c r="I11" s="234">
        <v>45931</v>
      </c>
      <c r="J11" s="231" t="s">
        <v>3450</v>
      </c>
      <c r="K11" s="231" t="s">
        <v>3479</v>
      </c>
    </row>
    <row r="12" spans="1:11">
      <c r="A12" s="230" t="s">
        <v>3444</v>
      </c>
      <c r="B12" s="231">
        <v>48</v>
      </c>
      <c r="C12" s="231" t="s">
        <v>3445</v>
      </c>
      <c r="D12" s="231" t="s">
        <v>3480</v>
      </c>
      <c r="E12" s="231" t="s">
        <v>3447</v>
      </c>
      <c r="F12" s="231" t="s">
        <v>3481</v>
      </c>
      <c r="G12" s="231"/>
      <c r="H12" s="231" t="s">
        <v>3449</v>
      </c>
      <c r="I12" s="234">
        <v>45932</v>
      </c>
      <c r="J12" s="231" t="s">
        <v>3450</v>
      </c>
      <c r="K12" s="231" t="s">
        <v>3482</v>
      </c>
    </row>
    <row r="13" spans="1:11" ht="16.5">
      <c r="A13" s="230" t="s">
        <v>3444</v>
      </c>
      <c r="B13" s="231">
        <v>12</v>
      </c>
      <c r="C13" s="231" t="s">
        <v>3445</v>
      </c>
      <c r="D13" s="231" t="s">
        <v>3483</v>
      </c>
      <c r="E13" s="231" t="s">
        <v>3447</v>
      </c>
      <c r="F13" s="231" t="s">
        <v>3484</v>
      </c>
      <c r="G13" s="233"/>
      <c r="H13" s="231" t="s">
        <v>3449</v>
      </c>
      <c r="I13" s="234">
        <v>45932</v>
      </c>
      <c r="J13" s="231" t="s">
        <v>3450</v>
      </c>
      <c r="K13" s="231" t="s">
        <v>3485</v>
      </c>
    </row>
    <row r="14" spans="1:11" ht="16.5">
      <c r="A14" s="230" t="s">
        <v>3444</v>
      </c>
      <c r="B14" s="231">
        <v>12</v>
      </c>
      <c r="C14" s="231" t="s">
        <v>3445</v>
      </c>
      <c r="D14" s="231" t="s">
        <v>3486</v>
      </c>
      <c r="E14" s="231" t="s">
        <v>3447</v>
      </c>
      <c r="F14" s="231" t="s">
        <v>3487</v>
      </c>
      <c r="G14" s="233"/>
      <c r="H14" s="231" t="s">
        <v>3449</v>
      </c>
      <c r="I14" s="234">
        <v>45933</v>
      </c>
      <c r="J14" s="231" t="s">
        <v>3450</v>
      </c>
      <c r="K14" s="231" t="s">
        <v>3488</v>
      </c>
    </row>
    <row r="15" spans="1:11" ht="16.5">
      <c r="A15" s="230" t="s">
        <v>3444</v>
      </c>
      <c r="B15" s="231">
        <v>12</v>
      </c>
      <c r="C15" s="231"/>
      <c r="D15" s="231"/>
      <c r="E15" s="231"/>
      <c r="F15" s="231" t="s">
        <v>3489</v>
      </c>
      <c r="G15" s="233"/>
      <c r="H15" s="235" t="s">
        <v>3449</v>
      </c>
      <c r="I15" s="234">
        <v>45936</v>
      </c>
      <c r="J15" s="231" t="s">
        <v>3450</v>
      </c>
      <c r="K15" s="236" t="s">
        <v>3490</v>
      </c>
    </row>
    <row r="16" spans="1:11" ht="16.5">
      <c r="A16" s="230" t="s">
        <v>3444</v>
      </c>
      <c r="B16" s="231">
        <v>12</v>
      </c>
      <c r="C16" s="231" t="s">
        <v>3445</v>
      </c>
      <c r="D16" s="231"/>
      <c r="E16" s="231" t="s">
        <v>3447</v>
      </c>
      <c r="F16" s="231" t="s">
        <v>3491</v>
      </c>
      <c r="G16" s="233"/>
      <c r="H16" s="231"/>
      <c r="I16" s="234">
        <v>45937</v>
      </c>
      <c r="J16" s="231" t="s">
        <v>3450</v>
      </c>
      <c r="K16" s="231" t="s">
        <v>3492</v>
      </c>
    </row>
    <row r="17" spans="1:15">
      <c r="A17" s="230" t="s">
        <v>3493</v>
      </c>
      <c r="B17" s="231">
        <v>12</v>
      </c>
      <c r="C17" s="231" t="s">
        <v>3445</v>
      </c>
      <c r="D17" s="231" t="s">
        <v>3494</v>
      </c>
      <c r="E17" s="231" t="s">
        <v>3447</v>
      </c>
      <c r="F17" s="231" t="s">
        <v>3495</v>
      </c>
      <c r="G17" s="231"/>
      <c r="H17" s="231" t="s">
        <v>3449</v>
      </c>
      <c r="I17" s="234">
        <v>45938</v>
      </c>
      <c r="J17" s="231" t="s">
        <v>3450</v>
      </c>
      <c r="K17" s="231" t="s">
        <v>3496</v>
      </c>
    </row>
    <row r="18" spans="1:15" ht="16.5">
      <c r="A18" s="230" t="s">
        <v>3444</v>
      </c>
      <c r="B18" s="231">
        <v>12</v>
      </c>
      <c r="C18" s="231" t="s">
        <v>3445</v>
      </c>
      <c r="D18" s="231" t="s">
        <v>3497</v>
      </c>
      <c r="E18" s="231" t="s">
        <v>3447</v>
      </c>
      <c r="F18" s="231" t="s">
        <v>3498</v>
      </c>
      <c r="G18" s="233" t="s">
        <v>192</v>
      </c>
      <c r="H18" s="231" t="s">
        <v>3449</v>
      </c>
      <c r="I18" s="234">
        <v>45939</v>
      </c>
      <c r="J18" s="231" t="s">
        <v>3450</v>
      </c>
      <c r="K18" s="231" t="s">
        <v>3499</v>
      </c>
    </row>
    <row r="19" spans="1:15" ht="16.5">
      <c r="A19" s="230"/>
      <c r="B19" s="236">
        <v>12</v>
      </c>
      <c r="C19" s="236" t="s">
        <v>3445</v>
      </c>
      <c r="D19" s="236" t="s">
        <v>3500</v>
      </c>
      <c r="E19" s="236" t="s">
        <v>3447</v>
      </c>
      <c r="F19" s="237" t="s">
        <v>3501</v>
      </c>
      <c r="G19" s="238"/>
      <c r="H19" s="235" t="s">
        <v>3449</v>
      </c>
      <c r="I19" s="239">
        <v>45940</v>
      </c>
      <c r="J19" s="231" t="s">
        <v>3450</v>
      </c>
      <c r="K19" s="231" t="s">
        <v>3502</v>
      </c>
    </row>
    <row r="20" spans="1:15">
      <c r="A20" s="230"/>
      <c r="B20" s="231"/>
      <c r="C20" s="231"/>
      <c r="D20" s="231"/>
      <c r="E20" s="231"/>
      <c r="F20" s="236" t="s">
        <v>3503</v>
      </c>
      <c r="G20" s="236"/>
      <c r="H20" s="235" t="s">
        <v>3449</v>
      </c>
      <c r="I20" s="239">
        <v>45943</v>
      </c>
      <c r="J20" s="231" t="s">
        <v>3450</v>
      </c>
      <c r="K20" s="231" t="s">
        <v>3504</v>
      </c>
    </row>
    <row r="21" spans="1:15">
      <c r="A21" s="230"/>
      <c r="B21" s="240">
        <v>12</v>
      </c>
      <c r="C21" s="236" t="s">
        <v>3445</v>
      </c>
      <c r="D21" s="236" t="s">
        <v>3505</v>
      </c>
      <c r="E21" s="236" t="s">
        <v>3447</v>
      </c>
      <c r="F21" s="236" t="s">
        <v>3506</v>
      </c>
      <c r="G21" s="241"/>
      <c r="H21" s="235" t="s">
        <v>3449</v>
      </c>
      <c r="I21" s="239">
        <v>45944</v>
      </c>
      <c r="J21" s="231" t="s">
        <v>3450</v>
      </c>
      <c r="K21" s="231" t="s">
        <v>3507</v>
      </c>
    </row>
    <row r="22" spans="1:15" ht="49.5">
      <c r="A22" s="230" t="s">
        <v>3444</v>
      </c>
      <c r="B22" s="231">
        <v>12</v>
      </c>
      <c r="C22" s="231" t="s">
        <v>3445</v>
      </c>
      <c r="D22" s="231" t="s">
        <v>3508</v>
      </c>
      <c r="E22" s="231" t="s">
        <v>3447</v>
      </c>
      <c r="F22" s="231" t="s">
        <v>3509</v>
      </c>
      <c r="G22" s="233" t="s">
        <v>3510</v>
      </c>
      <c r="H22" s="231" t="s">
        <v>3449</v>
      </c>
      <c r="I22" s="234">
        <v>45945</v>
      </c>
      <c r="J22" s="231" t="s">
        <v>3511</v>
      </c>
      <c r="K22" s="231" t="s">
        <v>3512</v>
      </c>
      <c r="L22" s="3" t="s">
        <v>3513</v>
      </c>
    </row>
    <row r="23" spans="1:15">
      <c r="A23" s="230" t="s">
        <v>3444</v>
      </c>
      <c r="B23" s="231">
        <v>12</v>
      </c>
      <c r="C23" s="231" t="s">
        <v>3445</v>
      </c>
      <c r="D23" s="231" t="s">
        <v>3514</v>
      </c>
      <c r="E23" s="231" t="s">
        <v>3447</v>
      </c>
      <c r="F23" s="231" t="s">
        <v>3515</v>
      </c>
      <c r="G23" s="231" t="s">
        <v>77</v>
      </c>
      <c r="H23" s="231" t="s">
        <v>3449</v>
      </c>
      <c r="I23" s="234">
        <v>45946</v>
      </c>
      <c r="J23" s="231" t="s">
        <v>3450</v>
      </c>
      <c r="K23" s="231" t="s">
        <v>3516</v>
      </c>
    </row>
    <row r="24" spans="1:15">
      <c r="A24" s="230" t="s">
        <v>3444</v>
      </c>
      <c r="B24" s="231">
        <v>12</v>
      </c>
      <c r="C24" s="231" t="s">
        <v>3445</v>
      </c>
      <c r="D24" s="231" t="s">
        <v>3517</v>
      </c>
      <c r="E24" s="231" t="s">
        <v>3447</v>
      </c>
      <c r="F24" s="231" t="s">
        <v>3518</v>
      </c>
      <c r="G24" s="231" t="s">
        <v>3357</v>
      </c>
      <c r="H24" s="231" t="s">
        <v>3449</v>
      </c>
      <c r="I24" s="242">
        <v>45947</v>
      </c>
      <c r="J24" s="231" t="s">
        <v>3450</v>
      </c>
      <c r="K24" s="231" t="s">
        <v>3519</v>
      </c>
    </row>
    <row r="25" spans="1:15">
      <c r="A25" s="230"/>
      <c r="B25" s="231"/>
      <c r="C25" s="243" t="s">
        <v>3445</v>
      </c>
      <c r="D25" s="243" t="s">
        <v>3520</v>
      </c>
      <c r="E25" s="243" t="s">
        <v>3447</v>
      </c>
      <c r="F25" s="243" t="s">
        <v>3521</v>
      </c>
      <c r="G25" s="235" t="s">
        <v>3522</v>
      </c>
      <c r="H25" s="235" t="s">
        <v>3449</v>
      </c>
      <c r="I25" s="244">
        <v>45950</v>
      </c>
      <c r="J25" s="245" t="s">
        <v>3450</v>
      </c>
      <c r="K25" s="246" t="s">
        <v>3523</v>
      </c>
    </row>
    <row r="26" spans="1:15">
      <c r="A26" s="230" t="s">
        <v>3444</v>
      </c>
      <c r="B26" s="231">
        <v>12</v>
      </c>
      <c r="C26" s="231" t="s">
        <v>3445</v>
      </c>
      <c r="D26" s="231" t="s">
        <v>3524</v>
      </c>
      <c r="E26" s="231" t="s">
        <v>3447</v>
      </c>
      <c r="F26" s="231" t="s">
        <v>3525</v>
      </c>
      <c r="G26" s="231"/>
      <c r="H26" s="231" t="s">
        <v>3449</v>
      </c>
      <c r="I26" s="242">
        <v>45950</v>
      </c>
      <c r="J26" s="231" t="s">
        <v>3450</v>
      </c>
      <c r="K26" s="231" t="s">
        <v>3526</v>
      </c>
      <c r="L26" s="3" t="s">
        <v>3527</v>
      </c>
    </row>
    <row r="27" spans="1:15">
      <c r="A27" s="230" t="s">
        <v>3444</v>
      </c>
      <c r="B27" s="231">
        <v>12</v>
      </c>
      <c r="C27" s="231" t="s">
        <v>3445</v>
      </c>
      <c r="D27" s="231" t="s">
        <v>3528</v>
      </c>
      <c r="E27" s="231" t="s">
        <v>3447</v>
      </c>
      <c r="F27" s="231" t="s">
        <v>3529</v>
      </c>
      <c r="G27" s="231"/>
      <c r="H27" s="231" t="s">
        <v>3449</v>
      </c>
      <c r="I27" s="242">
        <v>45951</v>
      </c>
      <c r="J27" s="231" t="s">
        <v>3450</v>
      </c>
      <c r="K27" s="231" t="s">
        <v>3530</v>
      </c>
      <c r="L27" s="3" t="s">
        <v>3531</v>
      </c>
    </row>
    <row r="28" spans="1:15">
      <c r="A28" s="230" t="s">
        <v>3444</v>
      </c>
      <c r="B28" s="231">
        <v>12</v>
      </c>
      <c r="C28" s="231" t="s">
        <v>3445</v>
      </c>
      <c r="D28" s="231" t="s">
        <v>3532</v>
      </c>
      <c r="E28" s="231" t="s">
        <v>3447</v>
      </c>
      <c r="F28" s="231" t="s">
        <v>3533</v>
      </c>
      <c r="G28" s="231" t="s">
        <v>3534</v>
      </c>
      <c r="H28" s="231" t="s">
        <v>3449</v>
      </c>
      <c r="I28" s="242">
        <v>45951</v>
      </c>
      <c r="J28" s="231" t="s">
        <v>3450</v>
      </c>
      <c r="K28" s="231" t="s">
        <v>3535</v>
      </c>
      <c r="L28" s="3" t="s">
        <v>3536</v>
      </c>
    </row>
    <row r="29" spans="1:15" ht="16.5">
      <c r="A29" s="230" t="s">
        <v>3444</v>
      </c>
      <c r="B29" s="231">
        <v>12</v>
      </c>
      <c r="C29" s="231" t="s">
        <v>3445</v>
      </c>
      <c r="D29" s="231" t="s">
        <v>3537</v>
      </c>
      <c r="E29" s="231" t="s">
        <v>3447</v>
      </c>
      <c r="F29" s="231" t="s">
        <v>3538</v>
      </c>
      <c r="G29" s="233"/>
      <c r="H29" s="231" t="s">
        <v>3449</v>
      </c>
      <c r="I29" s="234">
        <v>45952</v>
      </c>
      <c r="J29" s="231" t="s">
        <v>3450</v>
      </c>
      <c r="K29" s="231" t="s">
        <v>3539</v>
      </c>
    </row>
    <row r="30" spans="1:15" ht="16.5">
      <c r="A30" s="230" t="s">
        <v>3444</v>
      </c>
      <c r="B30" s="231">
        <v>12</v>
      </c>
      <c r="C30" s="231" t="s">
        <v>3445</v>
      </c>
      <c r="D30" s="231" t="s">
        <v>3540</v>
      </c>
      <c r="E30" s="231" t="s">
        <v>3447</v>
      </c>
      <c r="F30" s="231" t="s">
        <v>3541</v>
      </c>
      <c r="G30" s="233"/>
      <c r="H30" s="231" t="s">
        <v>3449</v>
      </c>
      <c r="I30" s="234">
        <v>45952</v>
      </c>
      <c r="J30" s="231" t="s">
        <v>3450</v>
      </c>
      <c r="K30" s="231" t="s">
        <v>3542</v>
      </c>
      <c r="L30" s="3" t="s">
        <v>3543</v>
      </c>
    </row>
    <row r="31" spans="1:15" ht="16.5">
      <c r="A31" s="230" t="s">
        <v>3444</v>
      </c>
      <c r="B31" s="231">
        <v>12</v>
      </c>
      <c r="C31" s="231" t="s">
        <v>3445</v>
      </c>
      <c r="D31" s="231" t="s">
        <v>3544</v>
      </c>
      <c r="E31" s="231" t="s">
        <v>3447</v>
      </c>
      <c r="F31" s="231" t="s">
        <v>3545</v>
      </c>
      <c r="G31" s="233"/>
      <c r="H31" s="231" t="s">
        <v>3449</v>
      </c>
      <c r="I31" s="234">
        <v>45953</v>
      </c>
      <c r="J31" s="231" t="s">
        <v>3450</v>
      </c>
      <c r="K31" s="231" t="s">
        <v>3546</v>
      </c>
      <c r="L31" s="3" t="s">
        <v>3547</v>
      </c>
    </row>
    <row r="32" spans="1:15" ht="16.5">
      <c r="A32" s="230" t="s">
        <v>3444</v>
      </c>
      <c r="B32" s="231">
        <v>12</v>
      </c>
      <c r="C32" s="231" t="s">
        <v>3445</v>
      </c>
      <c r="D32" s="231" t="s">
        <v>3548</v>
      </c>
      <c r="E32" s="231" t="s">
        <v>3447</v>
      </c>
      <c r="F32" s="231" t="s">
        <v>3549</v>
      </c>
      <c r="G32" s="233" t="s">
        <v>3550</v>
      </c>
      <c r="H32" s="231" t="s">
        <v>3449</v>
      </c>
      <c r="I32" s="234">
        <v>45953</v>
      </c>
      <c r="J32" s="231" t="s">
        <v>3450</v>
      </c>
      <c r="K32" s="231" t="s">
        <v>3551</v>
      </c>
      <c r="L32" s="3" t="s">
        <v>3552</v>
      </c>
      <c r="O32" s="3" t="s">
        <v>3552</v>
      </c>
    </row>
    <row r="33" spans="1:12" ht="16.5">
      <c r="A33" s="230" t="s">
        <v>3444</v>
      </c>
      <c r="B33" s="231">
        <v>12</v>
      </c>
      <c r="C33" s="231" t="s">
        <v>3445</v>
      </c>
      <c r="D33" s="231" t="s">
        <v>3455</v>
      </c>
      <c r="E33" s="231" t="s">
        <v>3447</v>
      </c>
      <c r="F33" s="231" t="s">
        <v>3553</v>
      </c>
      <c r="G33" s="233"/>
      <c r="H33" s="231" t="s">
        <v>3449</v>
      </c>
      <c r="I33" s="234">
        <v>45954</v>
      </c>
      <c r="J33" s="231" t="s">
        <v>3450</v>
      </c>
      <c r="K33" s="231" t="s">
        <v>3554</v>
      </c>
    </row>
    <row r="34" spans="1:12" ht="16.5">
      <c r="A34" s="230" t="s">
        <v>3444</v>
      </c>
      <c r="B34" s="231">
        <v>12</v>
      </c>
      <c r="C34" s="231" t="s">
        <v>3445</v>
      </c>
      <c r="D34" s="231" t="s">
        <v>3555</v>
      </c>
      <c r="E34" s="231" t="s">
        <v>3447</v>
      </c>
      <c r="F34" s="231" t="s">
        <v>3556</v>
      </c>
      <c r="G34" s="233"/>
      <c r="H34" s="231" t="s">
        <v>3449</v>
      </c>
      <c r="I34" s="234">
        <v>45954</v>
      </c>
      <c r="J34" s="231" t="s">
        <v>3450</v>
      </c>
      <c r="K34" s="231" t="s">
        <v>3557</v>
      </c>
      <c r="L34" s="3" t="s">
        <v>3558</v>
      </c>
    </row>
    <row r="35" spans="1:12" ht="16.5">
      <c r="A35" s="230" t="s">
        <v>3444</v>
      </c>
      <c r="B35" s="231">
        <v>12</v>
      </c>
      <c r="C35" s="231" t="s">
        <v>3445</v>
      </c>
      <c r="D35" s="231" t="s">
        <v>3559</v>
      </c>
      <c r="E35" s="231" t="s">
        <v>3447</v>
      </c>
      <c r="F35" s="231" t="s">
        <v>3560</v>
      </c>
      <c r="G35" s="233"/>
      <c r="H35" s="231" t="s">
        <v>3449</v>
      </c>
      <c r="I35" s="234">
        <v>45957</v>
      </c>
      <c r="J35" s="231" t="s">
        <v>3450</v>
      </c>
      <c r="K35" s="231" t="s">
        <v>3561</v>
      </c>
      <c r="L35" s="3" t="s">
        <v>3562</v>
      </c>
    </row>
    <row r="36" spans="1:12" ht="16.5">
      <c r="A36" s="230" t="s">
        <v>3444</v>
      </c>
      <c r="B36" s="231">
        <v>12</v>
      </c>
      <c r="C36" s="231" t="s">
        <v>3445</v>
      </c>
      <c r="D36" s="231" t="s">
        <v>3563</v>
      </c>
      <c r="E36" s="231" t="s">
        <v>3447</v>
      </c>
      <c r="F36" s="231" t="s">
        <v>3564</v>
      </c>
      <c r="G36" s="233"/>
      <c r="H36" s="231" t="s">
        <v>3449</v>
      </c>
      <c r="I36" s="234">
        <v>45957</v>
      </c>
      <c r="J36" s="231" t="s">
        <v>3450</v>
      </c>
      <c r="K36" s="231" t="s">
        <v>3565</v>
      </c>
      <c r="L36" s="3" t="s">
        <v>3566</v>
      </c>
    </row>
    <row r="37" spans="1:12" ht="16.5">
      <c r="A37" s="230" t="s">
        <v>3444</v>
      </c>
      <c r="B37" s="231">
        <v>12</v>
      </c>
      <c r="C37" s="231" t="s">
        <v>3445</v>
      </c>
      <c r="D37" s="231" t="s">
        <v>3567</v>
      </c>
      <c r="E37" s="231" t="s">
        <v>3447</v>
      </c>
      <c r="F37" s="231" t="s">
        <v>3568</v>
      </c>
      <c r="G37" s="233"/>
      <c r="H37" s="231" t="s">
        <v>3449</v>
      </c>
      <c r="I37" s="234">
        <v>45958</v>
      </c>
      <c r="J37" s="231" t="s">
        <v>3450</v>
      </c>
      <c r="K37" s="231" t="s">
        <v>3569</v>
      </c>
      <c r="L37" s="3" t="s">
        <v>3570</v>
      </c>
    </row>
    <row r="38" spans="1:12" ht="16.5">
      <c r="A38" s="230" t="s">
        <v>3444</v>
      </c>
      <c r="B38" s="231">
        <v>12</v>
      </c>
      <c r="C38" s="231" t="s">
        <v>3445</v>
      </c>
      <c r="D38" s="231" t="s">
        <v>3459</v>
      </c>
      <c r="E38" s="231" t="s">
        <v>3447</v>
      </c>
      <c r="F38" s="231" t="s">
        <v>3571</v>
      </c>
      <c r="G38" s="233" t="s">
        <v>3333</v>
      </c>
      <c r="H38" s="231" t="s">
        <v>3449</v>
      </c>
      <c r="I38" s="234">
        <v>45958</v>
      </c>
      <c r="J38" s="231" t="s">
        <v>3450</v>
      </c>
      <c r="K38" s="231" t="s">
        <v>3572</v>
      </c>
      <c r="L38" s="3" t="s">
        <v>3573</v>
      </c>
    </row>
    <row r="39" spans="1:12" ht="16.5">
      <c r="A39" s="230" t="s">
        <v>3444</v>
      </c>
      <c r="B39" s="231">
        <v>12</v>
      </c>
      <c r="C39" s="231" t="s">
        <v>3445</v>
      </c>
      <c r="D39" s="231" t="s">
        <v>3574</v>
      </c>
      <c r="E39" s="231" t="s">
        <v>3447</v>
      </c>
      <c r="F39" s="231" t="s">
        <v>3575</v>
      </c>
      <c r="G39" s="233"/>
      <c r="H39" s="231" t="s">
        <v>3449</v>
      </c>
      <c r="I39" s="234">
        <v>45959</v>
      </c>
      <c r="J39" s="231" t="s">
        <v>3450</v>
      </c>
      <c r="K39" s="231" t="s">
        <v>3576</v>
      </c>
      <c r="L39" s="3" t="s">
        <v>3577</v>
      </c>
    </row>
    <row r="40" spans="1:12" ht="16.5">
      <c r="A40" s="230" t="s">
        <v>3444</v>
      </c>
      <c r="B40" s="231">
        <v>48</v>
      </c>
      <c r="C40" s="231" t="s">
        <v>3445</v>
      </c>
      <c r="D40" s="231" t="s">
        <v>3578</v>
      </c>
      <c r="E40" s="231" t="s">
        <v>3447</v>
      </c>
      <c r="F40" s="231" t="s">
        <v>3579</v>
      </c>
      <c r="G40" s="233"/>
      <c r="H40" s="231" t="s">
        <v>3449</v>
      </c>
      <c r="I40" s="234">
        <v>45960</v>
      </c>
      <c r="J40" s="231" t="s">
        <v>3450</v>
      </c>
      <c r="K40" s="231" t="s">
        <v>3580</v>
      </c>
    </row>
    <row r="41" spans="1:12" ht="16.5">
      <c r="A41" s="230" t="s">
        <v>3444</v>
      </c>
      <c r="B41" s="231">
        <v>12</v>
      </c>
      <c r="C41" s="231" t="s">
        <v>3445</v>
      </c>
      <c r="D41" s="231" t="s">
        <v>3581</v>
      </c>
      <c r="E41" s="231" t="s">
        <v>3447</v>
      </c>
      <c r="F41" s="231" t="s">
        <v>3582</v>
      </c>
      <c r="G41" s="233"/>
      <c r="H41" s="231" t="s">
        <v>3449</v>
      </c>
      <c r="I41" s="234">
        <v>45960</v>
      </c>
      <c r="J41" s="231" t="s">
        <v>3450</v>
      </c>
      <c r="K41" s="231" t="s">
        <v>3583</v>
      </c>
      <c r="L41" s="3" t="s">
        <v>3584</v>
      </c>
    </row>
    <row r="42" spans="1:12" ht="16.5">
      <c r="A42" s="230" t="s">
        <v>3444</v>
      </c>
      <c r="B42" s="231">
        <v>12</v>
      </c>
      <c r="C42" s="231" t="s">
        <v>3445</v>
      </c>
      <c r="D42" s="231" t="s">
        <v>3585</v>
      </c>
      <c r="E42" s="231" t="s">
        <v>3447</v>
      </c>
      <c r="F42" s="231" t="s">
        <v>3586</v>
      </c>
      <c r="G42" s="233"/>
      <c r="H42" s="231" t="s">
        <v>3449</v>
      </c>
      <c r="I42" s="234">
        <v>45961</v>
      </c>
      <c r="J42" s="231" t="s">
        <v>3450</v>
      </c>
      <c r="K42" s="231" t="s">
        <v>3587</v>
      </c>
    </row>
    <row r="43" spans="1:12" ht="16.5">
      <c r="A43" s="230" t="s">
        <v>3444</v>
      </c>
      <c r="B43" s="231">
        <v>12</v>
      </c>
      <c r="C43" s="231" t="s">
        <v>3445</v>
      </c>
      <c r="D43" s="231" t="s">
        <v>3588</v>
      </c>
      <c r="E43" s="231" t="s">
        <v>3447</v>
      </c>
      <c r="F43" s="231" t="s">
        <v>3589</v>
      </c>
      <c r="G43" s="233"/>
      <c r="H43" s="231" t="s">
        <v>3449</v>
      </c>
      <c r="I43" s="234">
        <v>45961</v>
      </c>
      <c r="J43" s="231" t="s">
        <v>3450</v>
      </c>
      <c r="K43" s="231" t="s">
        <v>3590</v>
      </c>
      <c r="L43" s="3" t="s">
        <v>3591</v>
      </c>
    </row>
    <row r="44" spans="1:12" ht="16.5">
      <c r="A44" s="230" t="s">
        <v>3444</v>
      </c>
      <c r="B44" s="231">
        <v>12</v>
      </c>
      <c r="C44" s="231" t="s">
        <v>3445</v>
      </c>
      <c r="D44" s="231" t="s">
        <v>3592</v>
      </c>
      <c r="E44" s="231" t="s">
        <v>3447</v>
      </c>
      <c r="F44" s="231" t="s">
        <v>3593</v>
      </c>
      <c r="G44" s="233" t="s">
        <v>3594</v>
      </c>
      <c r="H44" s="231" t="s">
        <v>3449</v>
      </c>
      <c r="I44" s="234">
        <v>45964</v>
      </c>
      <c r="J44" s="231" t="s">
        <v>3450</v>
      </c>
      <c r="K44" s="231" t="s">
        <v>3595</v>
      </c>
      <c r="L44" s="3" t="s">
        <v>3596</v>
      </c>
    </row>
    <row r="45" spans="1:12" ht="16.5">
      <c r="A45" s="230" t="s">
        <v>3444</v>
      </c>
      <c r="B45" s="231">
        <v>12</v>
      </c>
      <c r="C45" s="231" t="s">
        <v>3445</v>
      </c>
      <c r="D45" s="231" t="s">
        <v>3597</v>
      </c>
      <c r="E45" s="231" t="s">
        <v>3447</v>
      </c>
      <c r="F45" s="231" t="s">
        <v>3598</v>
      </c>
      <c r="G45" s="233" t="s">
        <v>187</v>
      </c>
      <c r="H45" s="231" t="s">
        <v>3449</v>
      </c>
      <c r="I45" s="234">
        <v>45964</v>
      </c>
      <c r="J45" s="231" t="s">
        <v>3450</v>
      </c>
      <c r="K45" s="231" t="s">
        <v>3599</v>
      </c>
      <c r="L45" s="3" t="s">
        <v>3600</v>
      </c>
    </row>
    <row r="46" spans="1:12" ht="16.5">
      <c r="A46" s="230" t="s">
        <v>3444</v>
      </c>
      <c r="B46" s="231">
        <v>12</v>
      </c>
      <c r="C46" s="231" t="s">
        <v>3445</v>
      </c>
      <c r="D46" s="231" t="s">
        <v>3601</v>
      </c>
      <c r="E46" s="231" t="s">
        <v>3447</v>
      </c>
      <c r="F46" s="231" t="s">
        <v>3602</v>
      </c>
      <c r="G46" s="233" t="s">
        <v>3603</v>
      </c>
      <c r="H46" s="231" t="s">
        <v>3449</v>
      </c>
      <c r="I46" s="234">
        <v>45965</v>
      </c>
      <c r="J46" s="231" t="s">
        <v>3450</v>
      </c>
      <c r="K46" s="231" t="s">
        <v>3604</v>
      </c>
      <c r="L46" s="3" t="s">
        <v>3605</v>
      </c>
    </row>
    <row r="47" spans="1:12" ht="16.5">
      <c r="A47" s="230" t="s">
        <v>3444</v>
      </c>
      <c r="B47" s="231">
        <v>12</v>
      </c>
      <c r="C47" s="231" t="s">
        <v>3445</v>
      </c>
      <c r="D47" s="231" t="s">
        <v>3601</v>
      </c>
      <c r="E47" s="231" t="s">
        <v>3447</v>
      </c>
      <c r="F47" s="231" t="s">
        <v>3606</v>
      </c>
      <c r="G47" s="233" t="s">
        <v>841</v>
      </c>
      <c r="H47" s="231" t="s">
        <v>3449</v>
      </c>
      <c r="I47" s="234">
        <v>45965</v>
      </c>
      <c r="J47" s="231" t="s">
        <v>3450</v>
      </c>
      <c r="K47" s="231" t="s">
        <v>3607</v>
      </c>
      <c r="L47" t="s">
        <v>3608</v>
      </c>
    </row>
    <row r="48" spans="1:12" ht="16.5">
      <c r="A48" s="230" t="s">
        <v>3444</v>
      </c>
      <c r="B48" s="231">
        <v>48</v>
      </c>
      <c r="C48" s="231" t="s">
        <v>3445</v>
      </c>
      <c r="D48" s="231" t="s">
        <v>3609</v>
      </c>
      <c r="E48" s="231" t="s">
        <v>3447</v>
      </c>
      <c r="F48" s="231" t="s">
        <v>3610</v>
      </c>
      <c r="G48" s="233"/>
      <c r="H48" s="231" t="s">
        <v>3449</v>
      </c>
      <c r="I48" s="234">
        <v>45966</v>
      </c>
      <c r="J48" s="231" t="s">
        <v>3450</v>
      </c>
      <c r="K48" s="231" t="s">
        <v>3611</v>
      </c>
      <c r="L48" s="3" t="s">
        <v>3612</v>
      </c>
    </row>
    <row r="49" spans="1:12" ht="16.5">
      <c r="A49" s="230" t="s">
        <v>3444</v>
      </c>
      <c r="B49" s="231">
        <v>12</v>
      </c>
      <c r="C49" s="231" t="s">
        <v>3445</v>
      </c>
      <c r="D49" s="231" t="s">
        <v>3613</v>
      </c>
      <c r="E49" s="231" t="s">
        <v>3447</v>
      </c>
      <c r="F49" s="231" t="s">
        <v>3614</v>
      </c>
      <c r="G49" s="233" t="s">
        <v>3615</v>
      </c>
      <c r="H49" s="231" t="s">
        <v>3449</v>
      </c>
      <c r="I49" s="234">
        <v>45966</v>
      </c>
      <c r="J49" s="231" t="s">
        <v>3450</v>
      </c>
      <c r="K49" s="231" t="s">
        <v>3616</v>
      </c>
      <c r="L49" s="3" t="s">
        <v>3617</v>
      </c>
    </row>
    <row r="50" spans="1:12" ht="16.5">
      <c r="A50" s="281" t="s">
        <v>3444</v>
      </c>
      <c r="B50" s="282">
        <v>12</v>
      </c>
      <c r="C50" s="282" t="s">
        <v>3445</v>
      </c>
      <c r="D50" s="282" t="s">
        <v>3618</v>
      </c>
      <c r="E50" s="282" t="s">
        <v>3447</v>
      </c>
      <c r="F50" s="282" t="s">
        <v>3619</v>
      </c>
      <c r="G50" s="283"/>
      <c r="H50" s="282"/>
      <c r="I50" s="284">
        <v>45967</v>
      </c>
      <c r="J50" s="282" t="s">
        <v>3450</v>
      </c>
      <c r="K50" s="282" t="s">
        <v>3620</v>
      </c>
      <c r="L50" s="3" t="s">
        <v>3621</v>
      </c>
    </row>
    <row r="51" spans="1:12" ht="16.5">
      <c r="A51" s="281" t="s">
        <v>3444</v>
      </c>
      <c r="B51" s="282">
        <v>12</v>
      </c>
      <c r="C51" s="282" t="s">
        <v>3445</v>
      </c>
      <c r="D51" s="282" t="s">
        <v>3622</v>
      </c>
      <c r="E51" s="282" t="s">
        <v>3447</v>
      </c>
      <c r="F51" s="282" t="s">
        <v>3623</v>
      </c>
      <c r="G51" s="283"/>
      <c r="H51" s="282"/>
      <c r="I51" s="284">
        <v>45967</v>
      </c>
      <c r="J51" s="282" t="s">
        <v>3450</v>
      </c>
      <c r="K51" s="282" t="s">
        <v>3624</v>
      </c>
      <c r="L51" s="3" t="s">
        <v>3625</v>
      </c>
    </row>
    <row r="52" spans="1:12" ht="33">
      <c r="A52" s="281" t="s">
        <v>3444</v>
      </c>
      <c r="B52" s="282">
        <v>12</v>
      </c>
      <c r="C52" s="282" t="s">
        <v>3445</v>
      </c>
      <c r="D52" s="282" t="s">
        <v>3626</v>
      </c>
      <c r="E52" s="282" t="s">
        <v>3447</v>
      </c>
      <c r="F52" s="282" t="s">
        <v>3627</v>
      </c>
      <c r="G52" s="283" t="s">
        <v>158</v>
      </c>
      <c r="H52" s="282" t="s">
        <v>3449</v>
      </c>
      <c r="I52" s="284">
        <v>45988</v>
      </c>
      <c r="J52" s="282" t="s">
        <v>3450</v>
      </c>
      <c r="K52" s="282" t="s">
        <v>3628</v>
      </c>
      <c r="L52" s="3" t="s">
        <v>3617</v>
      </c>
    </row>
    <row r="53" spans="1:12" ht="16.5">
      <c r="A53" s="281" t="s">
        <v>3444</v>
      </c>
      <c r="B53" s="282">
        <v>12</v>
      </c>
      <c r="C53" s="282" t="s">
        <v>3445</v>
      </c>
      <c r="D53" s="282" t="s">
        <v>3629</v>
      </c>
      <c r="E53" s="282" t="s">
        <v>3447</v>
      </c>
      <c r="F53" s="282" t="s">
        <v>3630</v>
      </c>
      <c r="G53" s="283"/>
      <c r="H53" s="282" t="s">
        <v>3449</v>
      </c>
      <c r="I53" s="284">
        <v>45968</v>
      </c>
      <c r="J53" s="282" t="s">
        <v>3450</v>
      </c>
      <c r="K53" s="282" t="s">
        <v>3631</v>
      </c>
      <c r="L53" s="3" t="s">
        <v>3632</v>
      </c>
    </row>
    <row r="54" spans="1:12" ht="33">
      <c r="A54" s="281" t="s">
        <v>3444</v>
      </c>
      <c r="B54" s="282">
        <v>12</v>
      </c>
      <c r="C54" s="282" t="s">
        <v>3445</v>
      </c>
      <c r="D54" s="282" t="s">
        <v>3633</v>
      </c>
      <c r="E54" s="282" t="s">
        <v>3447</v>
      </c>
      <c r="F54" s="282" t="s">
        <v>3634</v>
      </c>
      <c r="G54" s="283" t="s">
        <v>3635</v>
      </c>
      <c r="H54" s="282" t="s">
        <v>3449</v>
      </c>
      <c r="I54" s="284">
        <v>45968</v>
      </c>
      <c r="J54" s="282" t="s">
        <v>3450</v>
      </c>
      <c r="K54" s="282" t="s">
        <v>3636</v>
      </c>
      <c r="L54" s="3" t="s">
        <v>3637</v>
      </c>
    </row>
    <row r="55" spans="1:12" ht="16.5">
      <c r="A55" s="281" t="s">
        <v>3444</v>
      </c>
      <c r="B55" s="282">
        <v>12</v>
      </c>
      <c r="C55" s="282" t="s">
        <v>3445</v>
      </c>
      <c r="D55" s="282" t="s">
        <v>3622</v>
      </c>
      <c r="E55" s="282" t="s">
        <v>3447</v>
      </c>
      <c r="F55" s="282" t="s">
        <v>3638</v>
      </c>
      <c r="G55" s="283" t="s">
        <v>3639</v>
      </c>
      <c r="H55" s="282" t="s">
        <v>3449</v>
      </c>
      <c r="I55" s="284">
        <v>45971</v>
      </c>
      <c r="J55" s="282" t="s">
        <v>3450</v>
      </c>
      <c r="K55" s="282" t="s">
        <v>3640</v>
      </c>
    </row>
    <row r="56" spans="1:12" ht="16.5">
      <c r="A56" s="281" t="s">
        <v>3444</v>
      </c>
      <c r="B56" s="282">
        <v>12</v>
      </c>
      <c r="C56" s="282" t="s">
        <v>3445</v>
      </c>
      <c r="D56" s="282" t="s">
        <v>3641</v>
      </c>
      <c r="E56" s="282" t="s">
        <v>3447</v>
      </c>
      <c r="F56" s="282" t="s">
        <v>3642</v>
      </c>
      <c r="G56" s="283" t="s">
        <v>3643</v>
      </c>
      <c r="H56" s="282" t="s">
        <v>3449</v>
      </c>
      <c r="I56" s="284">
        <v>45971</v>
      </c>
      <c r="J56" s="282" t="s">
        <v>3450</v>
      </c>
      <c r="K56" s="282" t="s">
        <v>3644</v>
      </c>
    </row>
    <row r="57" spans="1:12" ht="16.5">
      <c r="A57" s="281" t="s">
        <v>3444</v>
      </c>
      <c r="B57" s="282">
        <v>12</v>
      </c>
      <c r="C57" s="282" t="s">
        <v>3445</v>
      </c>
      <c r="D57" s="282" t="s">
        <v>3544</v>
      </c>
      <c r="E57" s="282" t="s">
        <v>3447</v>
      </c>
      <c r="F57" s="282" t="s">
        <v>3645</v>
      </c>
      <c r="G57" s="283"/>
      <c r="H57" s="282" t="s">
        <v>3449</v>
      </c>
      <c r="I57" s="284">
        <v>45973</v>
      </c>
      <c r="J57" s="282" t="s">
        <v>3450</v>
      </c>
      <c r="K57" s="282" t="s">
        <v>3646</v>
      </c>
    </row>
    <row r="58" spans="1:12" ht="16.5">
      <c r="A58" s="281" t="s">
        <v>3444</v>
      </c>
      <c r="B58" s="282">
        <v>12</v>
      </c>
      <c r="C58" s="282" t="s">
        <v>3445</v>
      </c>
      <c r="D58" s="282" t="s">
        <v>3647</v>
      </c>
      <c r="E58" s="282" t="s">
        <v>3447</v>
      </c>
      <c r="F58" s="282" t="s">
        <v>3648</v>
      </c>
      <c r="G58" s="283" t="s">
        <v>3649</v>
      </c>
      <c r="H58" s="282" t="s">
        <v>3449</v>
      </c>
      <c r="I58" s="284">
        <v>45973</v>
      </c>
      <c r="J58" s="282" t="s">
        <v>3450</v>
      </c>
      <c r="K58" s="282" t="s">
        <v>3650</v>
      </c>
    </row>
    <row r="59" spans="1:12" ht="16.5">
      <c r="A59" s="281" t="s">
        <v>3444</v>
      </c>
      <c r="B59" s="282">
        <v>12</v>
      </c>
      <c r="C59" s="282" t="s">
        <v>3445</v>
      </c>
      <c r="D59" s="282" t="s">
        <v>3651</v>
      </c>
      <c r="E59" s="282" t="s">
        <v>3447</v>
      </c>
      <c r="F59" s="282" t="s">
        <v>3652</v>
      </c>
      <c r="G59" s="283" t="s">
        <v>3653</v>
      </c>
      <c r="H59" s="282" t="s">
        <v>3449</v>
      </c>
      <c r="I59" s="284">
        <v>45974</v>
      </c>
      <c r="J59" s="282" t="s">
        <v>3450</v>
      </c>
      <c r="K59" s="282" t="s">
        <v>3654</v>
      </c>
    </row>
    <row r="60" spans="1:12" ht="33">
      <c r="A60" s="281" t="s">
        <v>3444</v>
      </c>
      <c r="B60" s="282">
        <v>12</v>
      </c>
      <c r="C60" s="282" t="s">
        <v>3445</v>
      </c>
      <c r="D60" s="282" t="s">
        <v>3655</v>
      </c>
      <c r="E60" s="282" t="s">
        <v>3447</v>
      </c>
      <c r="F60" s="282" t="s">
        <v>3656</v>
      </c>
      <c r="G60" s="283" t="s">
        <v>3657</v>
      </c>
      <c r="H60" s="282" t="s">
        <v>3449</v>
      </c>
      <c r="I60" s="284">
        <v>45974</v>
      </c>
      <c r="J60" s="282" t="s">
        <v>3450</v>
      </c>
      <c r="K60" s="282" t="s">
        <v>3658</v>
      </c>
    </row>
    <row r="61" spans="1:12" ht="16.5">
      <c r="A61" s="281" t="s">
        <v>3444</v>
      </c>
      <c r="B61" s="282">
        <v>12</v>
      </c>
      <c r="C61" s="282" t="s">
        <v>3445</v>
      </c>
      <c r="D61" s="282" t="s">
        <v>3613</v>
      </c>
      <c r="E61" s="282" t="s">
        <v>3447</v>
      </c>
      <c r="F61" s="282" t="s">
        <v>3659</v>
      </c>
      <c r="G61" s="283"/>
      <c r="H61" s="282" t="s">
        <v>3449</v>
      </c>
      <c r="I61" s="284">
        <v>45975</v>
      </c>
      <c r="J61" s="282" t="s">
        <v>3450</v>
      </c>
      <c r="K61" s="282" t="s">
        <v>3660</v>
      </c>
    </row>
    <row r="62" spans="1:12" ht="16.5">
      <c r="A62" s="281" t="s">
        <v>3444</v>
      </c>
      <c r="B62" s="282">
        <v>12</v>
      </c>
      <c r="C62" s="282" t="s">
        <v>3445</v>
      </c>
      <c r="D62" s="282" t="s">
        <v>3459</v>
      </c>
      <c r="E62" s="282" t="s">
        <v>3447</v>
      </c>
      <c r="F62" s="282" t="s">
        <v>3478</v>
      </c>
      <c r="G62" s="283" t="s">
        <v>3333</v>
      </c>
      <c r="H62" s="282" t="s">
        <v>3449</v>
      </c>
      <c r="I62" s="284">
        <v>45974</v>
      </c>
      <c r="J62" s="282" t="s">
        <v>3450</v>
      </c>
      <c r="K62" s="282" t="s">
        <v>3661</v>
      </c>
    </row>
    <row r="63" spans="1:12" ht="16.5">
      <c r="A63" s="281" t="s">
        <v>3444</v>
      </c>
      <c r="B63" s="282">
        <v>12</v>
      </c>
      <c r="C63" s="282" t="s">
        <v>3445</v>
      </c>
      <c r="D63" s="282" t="s">
        <v>3452</v>
      </c>
      <c r="E63" s="282" t="s">
        <v>3447</v>
      </c>
      <c r="F63" s="282" t="s">
        <v>3662</v>
      </c>
      <c r="G63" s="283" t="s">
        <v>123</v>
      </c>
      <c r="H63" s="282" t="s">
        <v>3449</v>
      </c>
      <c r="I63" s="284">
        <v>45975</v>
      </c>
      <c r="J63" s="282" t="s">
        <v>3450</v>
      </c>
      <c r="K63" s="282" t="s">
        <v>3663</v>
      </c>
    </row>
    <row r="64" spans="1:12" ht="33">
      <c r="A64" s="281" t="s">
        <v>3444</v>
      </c>
      <c r="B64" s="282">
        <v>12</v>
      </c>
      <c r="C64" s="282" t="s">
        <v>3445</v>
      </c>
      <c r="D64" s="282" t="s">
        <v>3588</v>
      </c>
      <c r="E64" s="282" t="s">
        <v>3447</v>
      </c>
      <c r="F64" s="282" t="s">
        <v>3664</v>
      </c>
      <c r="G64" s="283" t="s">
        <v>3665</v>
      </c>
      <c r="H64" s="282" t="s">
        <v>3449</v>
      </c>
      <c r="I64" s="284">
        <v>45978</v>
      </c>
      <c r="J64" s="282" t="s">
        <v>3450</v>
      </c>
      <c r="K64" s="282" t="s">
        <v>3666</v>
      </c>
    </row>
    <row r="65" spans="1:11" ht="16.5">
      <c r="A65" s="281" t="s">
        <v>3444</v>
      </c>
      <c r="B65" s="282">
        <v>12</v>
      </c>
      <c r="C65" s="282" t="s">
        <v>3445</v>
      </c>
      <c r="D65" s="282" t="s">
        <v>3667</v>
      </c>
      <c r="E65" s="282" t="s">
        <v>3447</v>
      </c>
      <c r="F65" s="282" t="s">
        <v>3668</v>
      </c>
      <c r="G65" s="283"/>
      <c r="H65" s="282" t="s">
        <v>3449</v>
      </c>
      <c r="I65" s="284">
        <v>45978</v>
      </c>
      <c r="J65" s="282" t="s">
        <v>3450</v>
      </c>
      <c r="K65" s="282" t="s">
        <v>3669</v>
      </c>
    </row>
    <row r="66" spans="1:11" ht="16.5">
      <c r="A66" s="281" t="s">
        <v>3444</v>
      </c>
      <c r="B66" s="282">
        <v>12</v>
      </c>
      <c r="C66" s="282" t="s">
        <v>3445</v>
      </c>
      <c r="D66" s="282" t="s">
        <v>3670</v>
      </c>
      <c r="E66" s="282" t="s">
        <v>3447</v>
      </c>
      <c r="F66" s="282" t="s">
        <v>3671</v>
      </c>
      <c r="G66" s="283" t="s">
        <v>3672</v>
      </c>
      <c r="H66" s="282" t="s">
        <v>3449</v>
      </c>
      <c r="I66" s="284">
        <v>45979</v>
      </c>
      <c r="J66" s="282" t="s">
        <v>3450</v>
      </c>
      <c r="K66" s="282" t="s">
        <v>3673</v>
      </c>
    </row>
    <row r="67" spans="1:11" ht="16.5">
      <c r="A67" s="281" t="s">
        <v>3444</v>
      </c>
      <c r="B67" s="282">
        <v>12</v>
      </c>
      <c r="C67" s="282" t="s">
        <v>3445</v>
      </c>
      <c r="D67" s="282" t="s">
        <v>3622</v>
      </c>
      <c r="E67" s="282" t="s">
        <v>3447</v>
      </c>
      <c r="F67" s="282" t="s">
        <v>3674</v>
      </c>
      <c r="G67" s="283" t="s">
        <v>3639</v>
      </c>
      <c r="H67" s="282" t="s">
        <v>3449</v>
      </c>
      <c r="I67" s="284">
        <v>45979</v>
      </c>
      <c r="J67" s="282" t="s">
        <v>3450</v>
      </c>
      <c r="K67" s="282" t="s">
        <v>3675</v>
      </c>
    </row>
    <row r="68" spans="1:11" ht="16.5">
      <c r="A68" s="281" t="s">
        <v>3444</v>
      </c>
      <c r="B68" s="282">
        <v>12</v>
      </c>
      <c r="C68" s="282" t="s">
        <v>3445</v>
      </c>
      <c r="D68" s="282" t="s">
        <v>3588</v>
      </c>
      <c r="E68" s="282" t="s">
        <v>3447</v>
      </c>
      <c r="F68" s="282" t="s">
        <v>3676</v>
      </c>
      <c r="G68" s="283" t="s">
        <v>3279</v>
      </c>
      <c r="H68" s="282" t="s">
        <v>3449</v>
      </c>
      <c r="I68" s="284">
        <v>45980</v>
      </c>
      <c r="J68" s="282" t="s">
        <v>3450</v>
      </c>
      <c r="K68" s="282" t="s">
        <v>3677</v>
      </c>
    </row>
    <row r="69" spans="1:11" ht="16.5">
      <c r="A69" s="281" t="s">
        <v>3444</v>
      </c>
      <c r="B69" s="282">
        <v>12</v>
      </c>
      <c r="C69" s="282" t="s">
        <v>3445</v>
      </c>
      <c r="D69" s="282" t="s">
        <v>3597</v>
      </c>
      <c r="E69" s="282" t="s">
        <v>3447</v>
      </c>
      <c r="F69" s="282" t="s">
        <v>3678</v>
      </c>
      <c r="G69" s="283" t="s">
        <v>187</v>
      </c>
      <c r="H69" s="282" t="s">
        <v>3449</v>
      </c>
      <c r="I69" s="284">
        <v>45980</v>
      </c>
      <c r="J69" s="282" t="s">
        <v>3450</v>
      </c>
      <c r="K69" s="282" t="s">
        <v>3679</v>
      </c>
    </row>
    <row r="70" spans="1:11" ht="16.5">
      <c r="A70" s="281" t="s">
        <v>3444</v>
      </c>
      <c r="B70" s="282">
        <v>12</v>
      </c>
      <c r="C70" s="282" t="s">
        <v>3445</v>
      </c>
      <c r="D70" s="282" t="s">
        <v>3680</v>
      </c>
      <c r="E70" s="282" t="s">
        <v>3447</v>
      </c>
      <c r="F70" s="282" t="s">
        <v>3681</v>
      </c>
      <c r="G70" s="283"/>
      <c r="H70" s="282" t="s">
        <v>3449</v>
      </c>
      <c r="I70" s="284">
        <v>45981</v>
      </c>
      <c r="J70" s="282" t="s">
        <v>3450</v>
      </c>
      <c r="K70" s="282" t="s">
        <v>3682</v>
      </c>
    </row>
    <row r="71" spans="1:11" ht="16.5">
      <c r="A71" s="281" t="s">
        <v>3444</v>
      </c>
      <c r="B71" s="282">
        <v>12</v>
      </c>
      <c r="C71" s="282" t="s">
        <v>3445</v>
      </c>
      <c r="D71" s="282" t="s">
        <v>3601</v>
      </c>
      <c r="E71" s="282" t="s">
        <v>3447</v>
      </c>
      <c r="F71" s="282" t="s">
        <v>3683</v>
      </c>
      <c r="G71" s="283" t="s">
        <v>3603</v>
      </c>
      <c r="H71" s="282" t="s">
        <v>3449</v>
      </c>
      <c r="I71" s="284">
        <v>45981</v>
      </c>
      <c r="J71" s="282" t="s">
        <v>3450</v>
      </c>
      <c r="K71" s="282" t="s">
        <v>3684</v>
      </c>
    </row>
    <row r="72" spans="1:11" ht="16.5">
      <c r="A72" s="281" t="s">
        <v>3444</v>
      </c>
      <c r="B72" s="282">
        <v>48</v>
      </c>
      <c r="C72" s="282" t="s">
        <v>3445</v>
      </c>
      <c r="D72" s="282" t="s">
        <v>3685</v>
      </c>
      <c r="E72" s="282" t="s">
        <v>3447</v>
      </c>
      <c r="F72" s="282" t="s">
        <v>3686</v>
      </c>
      <c r="G72" s="283" t="s">
        <v>3687</v>
      </c>
      <c r="H72" s="282" t="s">
        <v>3449</v>
      </c>
      <c r="I72" s="284">
        <v>45981</v>
      </c>
      <c r="J72" s="282" t="s">
        <v>3450</v>
      </c>
      <c r="K72" s="282" t="s">
        <v>3688</v>
      </c>
    </row>
    <row r="73" spans="1:11" ht="16.5">
      <c r="A73" s="281" t="s">
        <v>3444</v>
      </c>
      <c r="B73" s="282">
        <v>12</v>
      </c>
      <c r="C73" s="282" t="s">
        <v>3445</v>
      </c>
      <c r="D73" s="282" t="s">
        <v>3465</v>
      </c>
      <c r="E73" s="282" t="s">
        <v>3447</v>
      </c>
      <c r="F73" s="282" t="s">
        <v>3689</v>
      </c>
      <c r="G73" s="283"/>
      <c r="H73" s="282" t="s">
        <v>3449</v>
      </c>
      <c r="I73" s="284">
        <v>45982</v>
      </c>
      <c r="J73" s="282" t="s">
        <v>3450</v>
      </c>
      <c r="K73" s="282" t="s">
        <v>3690</v>
      </c>
    </row>
    <row r="74" spans="1:11" ht="16.5">
      <c r="A74" s="281" t="s">
        <v>3444</v>
      </c>
      <c r="B74" s="282">
        <v>12</v>
      </c>
      <c r="C74" s="282" t="s">
        <v>3445</v>
      </c>
      <c r="D74" s="282" t="s">
        <v>3520</v>
      </c>
      <c r="E74" s="282" t="s">
        <v>3447</v>
      </c>
      <c r="F74" s="282" t="s">
        <v>3691</v>
      </c>
      <c r="G74" s="283" t="s">
        <v>3522</v>
      </c>
      <c r="H74" s="282" t="s">
        <v>3449</v>
      </c>
      <c r="I74" s="284">
        <v>45985</v>
      </c>
      <c r="J74" s="282" t="s">
        <v>3450</v>
      </c>
      <c r="K74" s="282" t="s">
        <v>3692</v>
      </c>
    </row>
    <row r="75" spans="1:11" ht="16.5">
      <c r="A75" s="281" t="s">
        <v>3444</v>
      </c>
      <c r="B75" s="282">
        <v>12</v>
      </c>
      <c r="C75" s="282" t="s">
        <v>3445</v>
      </c>
      <c r="D75" s="282" t="s">
        <v>3693</v>
      </c>
      <c r="E75" s="282" t="s">
        <v>3447</v>
      </c>
      <c r="F75" s="282" t="s">
        <v>3694</v>
      </c>
      <c r="G75" s="283" t="s">
        <v>3695</v>
      </c>
      <c r="H75" s="282" t="s">
        <v>3449</v>
      </c>
      <c r="I75" s="284">
        <v>45985</v>
      </c>
      <c r="J75" s="282" t="s">
        <v>3450</v>
      </c>
      <c r="K75" s="282" t="s">
        <v>3696</v>
      </c>
    </row>
    <row r="76" spans="1:11" ht="16.5">
      <c r="A76" s="281" t="s">
        <v>3444</v>
      </c>
      <c r="B76" s="282">
        <v>12</v>
      </c>
      <c r="C76" s="282" t="s">
        <v>3445</v>
      </c>
      <c r="D76" s="282" t="s">
        <v>3697</v>
      </c>
      <c r="E76" s="282" t="s">
        <v>3447</v>
      </c>
      <c r="F76" s="282" t="s">
        <v>3698</v>
      </c>
      <c r="G76" s="283" t="s">
        <v>841</v>
      </c>
      <c r="H76" s="282" t="s">
        <v>3449</v>
      </c>
      <c r="I76" s="284">
        <v>45989</v>
      </c>
      <c r="J76" s="282" t="s">
        <v>3450</v>
      </c>
      <c r="K76" s="282" t="s">
        <v>3699</v>
      </c>
    </row>
    <row r="77" spans="1:11" ht="29.25">
      <c r="A77" s="281" t="s">
        <v>3444</v>
      </c>
      <c r="B77" s="282">
        <v>12</v>
      </c>
      <c r="C77" s="282" t="s">
        <v>3445</v>
      </c>
      <c r="D77" s="283" t="s">
        <v>3700</v>
      </c>
      <c r="E77" s="282" t="s">
        <v>3447</v>
      </c>
      <c r="F77" s="282" t="s">
        <v>3701</v>
      </c>
      <c r="G77" s="282" t="s">
        <v>3665</v>
      </c>
      <c r="H77" s="282" t="s">
        <v>3449</v>
      </c>
      <c r="I77" s="285">
        <v>45986</v>
      </c>
      <c r="J77" s="282" t="s">
        <v>3450</v>
      </c>
      <c r="K77" s="282" t="s">
        <v>3702</v>
      </c>
    </row>
    <row r="78" spans="1:11">
      <c r="A78" s="281" t="s">
        <v>3444</v>
      </c>
      <c r="B78" s="282">
        <v>12</v>
      </c>
      <c r="C78" s="282" t="s">
        <v>3445</v>
      </c>
      <c r="D78" s="282" t="s">
        <v>3452</v>
      </c>
      <c r="E78" s="282" t="s">
        <v>3447</v>
      </c>
      <c r="F78" s="282" t="s">
        <v>3703</v>
      </c>
      <c r="G78" s="282" t="s">
        <v>3704</v>
      </c>
      <c r="H78" s="282" t="s">
        <v>3449</v>
      </c>
      <c r="I78" s="285">
        <v>45986</v>
      </c>
      <c r="J78" s="282" t="s">
        <v>3450</v>
      </c>
      <c r="K78" s="282" t="s">
        <v>3705</v>
      </c>
    </row>
    <row r="79" spans="1:11">
      <c r="A79" s="281" t="s">
        <v>3444</v>
      </c>
      <c r="B79" s="282">
        <v>12</v>
      </c>
      <c r="C79" s="282" t="s">
        <v>3445</v>
      </c>
      <c r="D79" s="282" t="s">
        <v>3706</v>
      </c>
      <c r="E79" s="282" t="s">
        <v>3447</v>
      </c>
      <c r="F79" s="282" t="s">
        <v>3707</v>
      </c>
      <c r="G79" s="282" t="s">
        <v>3708</v>
      </c>
      <c r="H79" s="282" t="s">
        <v>3449</v>
      </c>
      <c r="I79" s="285">
        <v>45987</v>
      </c>
      <c r="J79" s="282" t="s">
        <v>3450</v>
      </c>
      <c r="K79" s="282" t="s">
        <v>3709</v>
      </c>
    </row>
    <row r="80" spans="1:11">
      <c r="A80" s="281" t="s">
        <v>3444</v>
      </c>
      <c r="B80" s="282">
        <v>12</v>
      </c>
      <c r="C80" s="282" t="s">
        <v>3445</v>
      </c>
      <c r="D80" s="282" t="s">
        <v>3455</v>
      </c>
      <c r="E80" s="282" t="s">
        <v>3447</v>
      </c>
      <c r="F80" s="282" t="s">
        <v>3710</v>
      </c>
      <c r="G80" s="282" t="s">
        <v>3711</v>
      </c>
      <c r="H80" s="282" t="s">
        <v>3449</v>
      </c>
      <c r="I80" s="285">
        <v>45988</v>
      </c>
      <c r="J80" s="282" t="s">
        <v>3450</v>
      </c>
      <c r="K80" s="282" t="s">
        <v>3712</v>
      </c>
    </row>
    <row r="81" spans="1:11">
      <c r="A81" s="281" t="s">
        <v>3444</v>
      </c>
      <c r="B81" s="282">
        <v>12</v>
      </c>
      <c r="C81" s="282" t="s">
        <v>3445</v>
      </c>
      <c r="D81" s="282" t="s">
        <v>3713</v>
      </c>
      <c r="E81" s="282" t="s">
        <v>3447</v>
      </c>
      <c r="F81" s="282" t="s">
        <v>3714</v>
      </c>
      <c r="G81" s="282" t="s">
        <v>3715</v>
      </c>
      <c r="H81" s="282" t="s">
        <v>3449</v>
      </c>
      <c r="I81" s="285">
        <v>45989</v>
      </c>
      <c r="J81" s="282" t="s">
        <v>3450</v>
      </c>
      <c r="K81" s="282" t="s">
        <v>3716</v>
      </c>
    </row>
    <row r="82" spans="1:11" ht="29.25">
      <c r="A82" s="281" t="s">
        <v>3444</v>
      </c>
      <c r="B82" s="282">
        <v>12</v>
      </c>
      <c r="C82" s="282" t="s">
        <v>3445</v>
      </c>
      <c r="D82" s="282" t="s">
        <v>3717</v>
      </c>
      <c r="E82" s="282" t="s">
        <v>3447</v>
      </c>
      <c r="F82" s="282" t="s">
        <v>3718</v>
      </c>
      <c r="G82" s="282" t="s">
        <v>3719</v>
      </c>
      <c r="H82" s="282" t="s">
        <v>3449</v>
      </c>
      <c r="I82" s="285">
        <v>45992</v>
      </c>
      <c r="J82" s="282" t="s">
        <v>3450</v>
      </c>
      <c r="K82" s="282" t="s">
        <v>3720</v>
      </c>
    </row>
    <row r="83" spans="1:11">
      <c r="A83" s="281" t="s">
        <v>3444</v>
      </c>
      <c r="B83" s="282">
        <v>12</v>
      </c>
      <c r="C83" s="282" t="s">
        <v>3445</v>
      </c>
      <c r="D83" s="282" t="s">
        <v>3721</v>
      </c>
      <c r="E83" s="282" t="s">
        <v>3447</v>
      </c>
      <c r="F83" s="282" t="s">
        <v>3722</v>
      </c>
      <c r="G83" s="282" t="s">
        <v>3723</v>
      </c>
      <c r="H83" s="282" t="s">
        <v>3449</v>
      </c>
      <c r="I83" s="285">
        <v>45992</v>
      </c>
      <c r="J83" s="282" t="s">
        <v>3450</v>
      </c>
      <c r="K83" s="282" t="s">
        <v>3724</v>
      </c>
    </row>
    <row r="84" spans="1:11" ht="29.25">
      <c r="A84" s="281" t="s">
        <v>3444</v>
      </c>
      <c r="B84" s="282">
        <v>12</v>
      </c>
      <c r="C84" s="282" t="s">
        <v>3445</v>
      </c>
      <c r="D84" s="282" t="s">
        <v>3725</v>
      </c>
      <c r="E84" s="282" t="s">
        <v>3447</v>
      </c>
      <c r="F84" s="282" t="s">
        <v>3726</v>
      </c>
      <c r="G84" s="282" t="s">
        <v>67</v>
      </c>
      <c r="H84" s="282" t="s">
        <v>3449</v>
      </c>
      <c r="I84" s="285">
        <v>45993</v>
      </c>
      <c r="J84" s="282" t="s">
        <v>3450</v>
      </c>
      <c r="K84" s="282" t="s">
        <v>3727</v>
      </c>
    </row>
    <row r="85" spans="1:11">
      <c r="A85" s="281" t="s">
        <v>3444</v>
      </c>
      <c r="B85" s="282">
        <v>30</v>
      </c>
      <c r="C85" s="282" t="s">
        <v>3445</v>
      </c>
      <c r="D85" s="282" t="s">
        <v>3469</v>
      </c>
      <c r="E85" s="282" t="s">
        <v>3728</v>
      </c>
      <c r="F85" s="282" t="s">
        <v>3729</v>
      </c>
      <c r="G85" s="282" t="s">
        <v>3730</v>
      </c>
      <c r="H85" s="282" t="s">
        <v>3449</v>
      </c>
      <c r="I85" s="285">
        <v>45971</v>
      </c>
      <c r="J85" s="282" t="s">
        <v>3450</v>
      </c>
      <c r="K85" s="282" t="s">
        <v>3731</v>
      </c>
    </row>
    <row r="86" spans="1:11">
      <c r="A86" s="281" t="s">
        <v>3444</v>
      </c>
      <c r="B86" s="282">
        <v>12</v>
      </c>
      <c r="C86" s="282" t="s">
        <v>3445</v>
      </c>
      <c r="D86" s="282" t="s">
        <v>3732</v>
      </c>
      <c r="E86" s="282" t="s">
        <v>3447</v>
      </c>
      <c r="F86" s="282" t="s">
        <v>3733</v>
      </c>
      <c r="G86" s="282" t="s">
        <v>154</v>
      </c>
      <c r="H86" s="282" t="s">
        <v>3449</v>
      </c>
      <c r="I86" s="285">
        <v>45994</v>
      </c>
      <c r="J86" s="282" t="s">
        <v>3450</v>
      </c>
      <c r="K86" s="282" t="s">
        <v>3734</v>
      </c>
    </row>
    <row r="87" spans="1:11">
      <c r="A87" s="281" t="s">
        <v>3444</v>
      </c>
      <c r="B87" s="282">
        <v>12</v>
      </c>
      <c r="C87" s="282" t="s">
        <v>3445</v>
      </c>
      <c r="D87" s="282" t="s">
        <v>3732</v>
      </c>
      <c r="E87" s="282" t="s">
        <v>3447</v>
      </c>
      <c r="F87" s="282" t="s">
        <v>3735</v>
      </c>
      <c r="G87" s="282" t="s">
        <v>154</v>
      </c>
      <c r="H87" s="282" t="s">
        <v>3449</v>
      </c>
      <c r="I87" s="285">
        <v>45994</v>
      </c>
      <c r="J87" s="282" t="s">
        <v>3450</v>
      </c>
      <c r="K87" s="282" t="s">
        <v>3736</v>
      </c>
    </row>
    <row r="88" spans="1:11">
      <c r="A88" s="281" t="s">
        <v>3444</v>
      </c>
      <c r="B88" s="282">
        <v>12</v>
      </c>
      <c r="C88" s="282" t="s">
        <v>3445</v>
      </c>
      <c r="D88" s="282" t="s">
        <v>3574</v>
      </c>
      <c r="E88" s="282" t="s">
        <v>3447</v>
      </c>
      <c r="F88" s="282" t="s">
        <v>3737</v>
      </c>
      <c r="G88" s="282" t="s">
        <v>759</v>
      </c>
      <c r="H88" s="282" t="s">
        <v>3449</v>
      </c>
      <c r="I88" s="285">
        <v>45999</v>
      </c>
      <c r="J88" s="282" t="s">
        <v>3450</v>
      </c>
      <c r="K88" s="282" t="s">
        <v>3738</v>
      </c>
    </row>
    <row r="89" spans="1:11">
      <c r="A89" s="281" t="s">
        <v>3444</v>
      </c>
      <c r="B89" s="282">
        <v>12</v>
      </c>
      <c r="C89" s="282" t="s">
        <v>3445</v>
      </c>
      <c r="D89" s="282" t="s">
        <v>3739</v>
      </c>
      <c r="E89" s="282" t="s">
        <v>3447</v>
      </c>
      <c r="F89" s="282" t="s">
        <v>3740</v>
      </c>
      <c r="G89" s="282" t="s">
        <v>3741</v>
      </c>
      <c r="H89" s="282" t="s">
        <v>3449</v>
      </c>
      <c r="I89" s="285">
        <v>45999</v>
      </c>
      <c r="J89" s="282" t="s">
        <v>3450</v>
      </c>
      <c r="K89" s="282" t="s">
        <v>3742</v>
      </c>
    </row>
    <row r="90" spans="1:11" ht="29.25">
      <c r="A90" s="281" t="s">
        <v>3444</v>
      </c>
      <c r="B90" s="282">
        <v>12</v>
      </c>
      <c r="C90" s="282" t="s">
        <v>3445</v>
      </c>
      <c r="D90" s="282" t="s">
        <v>3743</v>
      </c>
      <c r="E90" s="282" t="s">
        <v>3447</v>
      </c>
      <c r="F90" s="282" t="s">
        <v>3744</v>
      </c>
      <c r="G90" s="282" t="s">
        <v>3745</v>
      </c>
      <c r="H90" s="282" t="s">
        <v>3449</v>
      </c>
      <c r="I90" s="285">
        <v>46000</v>
      </c>
      <c r="J90" s="282" t="s">
        <v>3450</v>
      </c>
      <c r="K90" s="282" t="s">
        <v>3746</v>
      </c>
    </row>
    <row r="91" spans="1:11">
      <c r="A91" s="281" t="s">
        <v>3444</v>
      </c>
      <c r="B91" s="282">
        <v>12</v>
      </c>
      <c r="C91" s="282" t="s">
        <v>3445</v>
      </c>
      <c r="D91" s="282" t="s">
        <v>3747</v>
      </c>
      <c r="E91" s="282" t="s">
        <v>3447</v>
      </c>
      <c r="F91" s="282" t="s">
        <v>3748</v>
      </c>
      <c r="G91" s="282"/>
      <c r="H91" s="282" t="s">
        <v>3449</v>
      </c>
      <c r="I91" s="285">
        <v>46000</v>
      </c>
      <c r="J91" s="282" t="s">
        <v>3450</v>
      </c>
      <c r="K91" s="282" t="s">
        <v>3749</v>
      </c>
    </row>
    <row r="92" spans="1:11" ht="29.25">
      <c r="A92" s="281" t="s">
        <v>3444</v>
      </c>
      <c r="B92" s="282">
        <v>48</v>
      </c>
      <c r="C92" s="282" t="s">
        <v>3445</v>
      </c>
      <c r="D92" s="282" t="s">
        <v>3480</v>
      </c>
      <c r="E92" s="282" t="s">
        <v>3447</v>
      </c>
      <c r="F92" s="282" t="s">
        <v>3750</v>
      </c>
      <c r="G92" s="282" t="s">
        <v>3751</v>
      </c>
      <c r="H92" s="282" t="s">
        <v>3449</v>
      </c>
      <c r="I92" s="285">
        <v>46001</v>
      </c>
      <c r="J92" s="282" t="s">
        <v>3450</v>
      </c>
      <c r="K92" s="282" t="s">
        <v>3752</v>
      </c>
    </row>
    <row r="93" spans="1:11" ht="29.25">
      <c r="A93" s="281" t="s">
        <v>3444</v>
      </c>
      <c r="B93" s="282">
        <v>12</v>
      </c>
      <c r="C93" s="282" t="s">
        <v>3445</v>
      </c>
      <c r="D93" s="282" t="s">
        <v>3563</v>
      </c>
      <c r="E93" s="282" t="s">
        <v>3447</v>
      </c>
      <c r="F93" s="282" t="s">
        <v>3753</v>
      </c>
      <c r="G93" s="282" t="s">
        <v>879</v>
      </c>
      <c r="H93" s="282" t="s">
        <v>3449</v>
      </c>
      <c r="I93" s="285">
        <v>46001</v>
      </c>
      <c r="J93" s="282" t="s">
        <v>3450</v>
      </c>
      <c r="K93" s="282" t="s">
        <v>3754</v>
      </c>
    </row>
    <row r="94" spans="1:11">
      <c r="A94" s="281" t="s">
        <v>3444</v>
      </c>
      <c r="B94" s="282">
        <v>12</v>
      </c>
      <c r="C94" s="282" t="s">
        <v>3445</v>
      </c>
      <c r="D94" s="282" t="s">
        <v>3622</v>
      </c>
      <c r="E94" s="282" t="s">
        <v>3447</v>
      </c>
      <c r="F94" s="282" t="s">
        <v>3623</v>
      </c>
      <c r="G94" s="282"/>
      <c r="H94" s="282" t="s">
        <v>3449</v>
      </c>
      <c r="I94" s="285">
        <v>46002</v>
      </c>
      <c r="J94" s="282" t="s">
        <v>3450</v>
      </c>
      <c r="K94" s="282" t="s">
        <v>3755</v>
      </c>
    </row>
    <row r="95" spans="1:11">
      <c r="A95" s="281" t="s">
        <v>3444</v>
      </c>
      <c r="B95" s="282">
        <v>12</v>
      </c>
      <c r="C95" s="282" t="s">
        <v>3445</v>
      </c>
      <c r="D95" s="282" t="s">
        <v>3756</v>
      </c>
      <c r="E95" s="282" t="s">
        <v>3447</v>
      </c>
      <c r="F95" s="282" t="s">
        <v>3757</v>
      </c>
      <c r="G95" s="282" t="s">
        <v>3758</v>
      </c>
      <c r="H95" s="282" t="s">
        <v>3449</v>
      </c>
      <c r="I95" s="285">
        <v>46006</v>
      </c>
      <c r="J95" s="282" t="s">
        <v>3450</v>
      </c>
      <c r="K95" s="282" t="s">
        <v>3759</v>
      </c>
    </row>
    <row r="96" spans="1:11" ht="29.25">
      <c r="A96" s="281" t="s">
        <v>3444</v>
      </c>
      <c r="B96" s="282">
        <v>12</v>
      </c>
      <c r="C96" s="282" t="s">
        <v>3445</v>
      </c>
      <c r="D96" s="282" t="s">
        <v>3588</v>
      </c>
      <c r="E96" s="282" t="s">
        <v>3447</v>
      </c>
      <c r="F96" s="282" t="s">
        <v>3760</v>
      </c>
      <c r="G96" s="282" t="s">
        <v>3665</v>
      </c>
      <c r="H96" s="282" t="s">
        <v>3449</v>
      </c>
      <c r="I96" s="285">
        <v>46006</v>
      </c>
      <c r="J96" s="282" t="s">
        <v>3450</v>
      </c>
      <c r="K96" s="282" t="s">
        <v>3761</v>
      </c>
    </row>
    <row r="97" spans="1:11">
      <c r="A97" s="281" t="s">
        <v>3444</v>
      </c>
      <c r="B97" s="282">
        <v>12</v>
      </c>
      <c r="C97" s="282" t="s">
        <v>3762</v>
      </c>
      <c r="D97" s="282" t="s">
        <v>3763</v>
      </c>
      <c r="E97" s="282" t="s">
        <v>3447</v>
      </c>
      <c r="F97" s="282" t="s">
        <v>3764</v>
      </c>
      <c r="G97" s="282" t="s">
        <v>158</v>
      </c>
      <c r="H97" s="282" t="s">
        <v>3449</v>
      </c>
      <c r="I97" s="285">
        <v>46007</v>
      </c>
      <c r="J97" s="282" t="s">
        <v>3450</v>
      </c>
      <c r="K97" s="282" t="s">
        <v>3765</v>
      </c>
    </row>
    <row r="98" spans="1:11">
      <c r="A98" s="281" t="s">
        <v>3444</v>
      </c>
      <c r="B98" s="282">
        <v>12</v>
      </c>
      <c r="C98" s="282" t="s">
        <v>3445</v>
      </c>
      <c r="D98" s="282" t="s">
        <v>3766</v>
      </c>
      <c r="E98" s="282" t="s">
        <v>3447</v>
      </c>
      <c r="F98" s="282" t="s">
        <v>3767</v>
      </c>
      <c r="G98" s="282" t="s">
        <v>3635</v>
      </c>
      <c r="H98" s="282" t="s">
        <v>3449</v>
      </c>
      <c r="I98" s="285">
        <v>46007</v>
      </c>
      <c r="J98" s="282" t="s">
        <v>3450</v>
      </c>
      <c r="K98" s="282" t="s">
        <v>3768</v>
      </c>
    </row>
    <row r="99" spans="1:11">
      <c r="A99" s="272" t="s">
        <v>3444</v>
      </c>
      <c r="B99" s="271">
        <v>12</v>
      </c>
      <c r="C99" s="271" t="s">
        <v>3445</v>
      </c>
      <c r="D99" s="271" t="s">
        <v>3766</v>
      </c>
      <c r="E99" s="271" t="s">
        <v>3447</v>
      </c>
      <c r="F99" s="271" t="s">
        <v>3769</v>
      </c>
      <c r="G99" s="271" t="s">
        <v>421</v>
      </c>
      <c r="H99" s="271" t="s">
        <v>3449</v>
      </c>
      <c r="I99" s="273">
        <v>46002</v>
      </c>
      <c r="J99" s="271" t="s">
        <v>3450</v>
      </c>
      <c r="K99" s="274" t="s">
        <v>3770</v>
      </c>
    </row>
    <row r="100" spans="1:11" ht="12.75" customHeight="1">
      <c r="A100" s="272" t="s">
        <v>3444</v>
      </c>
      <c r="B100" s="271">
        <v>12</v>
      </c>
      <c r="C100" s="271" t="s">
        <v>3445</v>
      </c>
      <c r="D100" s="271" t="s">
        <v>3622</v>
      </c>
      <c r="E100" s="271" t="s">
        <v>3447</v>
      </c>
      <c r="F100" s="271" t="s">
        <v>3674</v>
      </c>
      <c r="G100" s="271" t="s">
        <v>3639</v>
      </c>
      <c r="H100" s="271" t="s">
        <v>3449</v>
      </c>
      <c r="I100" s="273">
        <v>46008</v>
      </c>
      <c r="J100" s="271" t="s">
        <v>3450</v>
      </c>
      <c r="K100" s="274" t="s">
        <v>3771</v>
      </c>
    </row>
    <row r="101" spans="1:11" ht="12.75" customHeight="1">
      <c r="A101" s="272" t="s">
        <v>3444</v>
      </c>
      <c r="B101" s="271">
        <v>12</v>
      </c>
      <c r="C101" s="271" t="s">
        <v>3445</v>
      </c>
      <c r="D101" s="271" t="s">
        <v>3597</v>
      </c>
      <c r="E101" s="271" t="s">
        <v>3447</v>
      </c>
      <c r="F101" s="271" t="s">
        <v>3772</v>
      </c>
      <c r="G101" s="271" t="s">
        <v>759</v>
      </c>
      <c r="H101" s="271" t="s">
        <v>3449</v>
      </c>
      <c r="I101" s="273">
        <v>46008</v>
      </c>
      <c r="J101" s="271" t="s">
        <v>3450</v>
      </c>
      <c r="K101" s="274" t="s">
        <v>3773</v>
      </c>
    </row>
    <row r="102" spans="1:11">
      <c r="A102" s="272" t="s">
        <v>3444</v>
      </c>
      <c r="B102" s="271">
        <v>30</v>
      </c>
      <c r="C102" s="271"/>
      <c r="D102" s="271"/>
      <c r="E102" s="271"/>
      <c r="F102" s="271">
        <v>466058389</v>
      </c>
      <c r="G102" s="271" t="s">
        <v>421</v>
      </c>
      <c r="H102" s="271" t="s">
        <v>3449</v>
      </c>
      <c r="I102" s="273">
        <v>45992</v>
      </c>
      <c r="J102" s="271" t="s">
        <v>3450</v>
      </c>
      <c r="K102" s="274" t="s">
        <v>3774</v>
      </c>
    </row>
    <row r="103" spans="1:11">
      <c r="A103" s="272" t="s">
        <v>3444</v>
      </c>
      <c r="B103" s="271">
        <v>30</v>
      </c>
      <c r="C103" s="271" t="s">
        <v>3445</v>
      </c>
      <c r="D103" s="271" t="s">
        <v>3775</v>
      </c>
      <c r="E103" s="271" t="s">
        <v>3776</v>
      </c>
      <c r="F103" s="271" t="s">
        <v>3777</v>
      </c>
      <c r="G103" s="271" t="s">
        <v>3778</v>
      </c>
      <c r="H103" s="271" t="s">
        <v>3449</v>
      </c>
      <c r="I103" s="273">
        <v>46007</v>
      </c>
      <c r="J103" s="271" t="s">
        <v>3450</v>
      </c>
      <c r="K103" s="274" t="s">
        <v>3779</v>
      </c>
    </row>
    <row r="104" spans="1:11" ht="29.25">
      <c r="A104" s="272" t="s">
        <v>3444</v>
      </c>
      <c r="B104" s="271">
        <v>12</v>
      </c>
      <c r="C104" s="271" t="s">
        <v>3445</v>
      </c>
      <c r="D104" s="271" t="s">
        <v>3725</v>
      </c>
      <c r="E104" s="271" t="s">
        <v>3447</v>
      </c>
      <c r="F104" s="271" t="s">
        <v>3726</v>
      </c>
      <c r="G104" s="271" t="s">
        <v>67</v>
      </c>
      <c r="H104" s="271" t="s">
        <v>3449</v>
      </c>
      <c r="I104" s="273">
        <v>46027</v>
      </c>
      <c r="J104" s="271" t="s">
        <v>3450</v>
      </c>
      <c r="K104" s="274" t="s">
        <v>3780</v>
      </c>
    </row>
    <row r="105" spans="1:11" ht="29.25">
      <c r="A105" s="272" t="s">
        <v>3444</v>
      </c>
      <c r="B105" s="271">
        <v>12</v>
      </c>
      <c r="C105" s="271" t="s">
        <v>3445</v>
      </c>
      <c r="D105" s="271" t="s">
        <v>3725</v>
      </c>
      <c r="E105" s="271" t="s">
        <v>3447</v>
      </c>
      <c r="F105" s="271" t="s">
        <v>3781</v>
      </c>
      <c r="G105" s="271" t="s">
        <v>3782</v>
      </c>
      <c r="H105" s="271" t="s">
        <v>3449</v>
      </c>
      <c r="I105" s="273">
        <v>46029</v>
      </c>
      <c r="J105" s="271" t="s">
        <v>3450</v>
      </c>
      <c r="K105" s="274" t="s">
        <v>3783</v>
      </c>
    </row>
    <row r="106" spans="1:11">
      <c r="A106" s="272" t="s">
        <v>3444</v>
      </c>
      <c r="B106" s="271">
        <v>12</v>
      </c>
      <c r="C106" s="271" t="s">
        <v>3445</v>
      </c>
      <c r="D106" s="271" t="s">
        <v>3725</v>
      </c>
      <c r="E106" s="271" t="s">
        <v>3447</v>
      </c>
      <c r="F106" s="271" t="s">
        <v>3784</v>
      </c>
      <c r="G106" s="271" t="s">
        <v>370</v>
      </c>
      <c r="H106" s="271" t="s">
        <v>3449</v>
      </c>
      <c r="I106" s="273">
        <v>46030</v>
      </c>
      <c r="J106" s="271" t="s">
        <v>3450</v>
      </c>
      <c r="K106" s="274" t="s">
        <v>3785</v>
      </c>
    </row>
    <row r="107" spans="1:11">
      <c r="A107" s="272" t="s">
        <v>3444</v>
      </c>
      <c r="B107" s="271">
        <v>12</v>
      </c>
      <c r="C107" s="271" t="s">
        <v>3445</v>
      </c>
      <c r="D107" s="271" t="s">
        <v>3725</v>
      </c>
      <c r="E107" s="271" t="s">
        <v>3447</v>
      </c>
      <c r="F107" s="271" t="s">
        <v>3786</v>
      </c>
      <c r="G107" s="271" t="s">
        <v>841</v>
      </c>
      <c r="H107" s="271" t="s">
        <v>3449</v>
      </c>
      <c r="I107" s="273">
        <v>46031</v>
      </c>
      <c r="J107" s="271" t="s">
        <v>3450</v>
      </c>
      <c r="K107" s="274" t="s">
        <v>3787</v>
      </c>
    </row>
    <row r="108" spans="1:11">
      <c r="A108" s="272" t="s">
        <v>3444</v>
      </c>
      <c r="B108" s="271">
        <v>12</v>
      </c>
      <c r="C108" s="271" t="s">
        <v>3445</v>
      </c>
      <c r="D108" s="271" t="s">
        <v>3725</v>
      </c>
      <c r="E108" s="271" t="s">
        <v>3447</v>
      </c>
      <c r="F108" s="271" t="s">
        <v>3788</v>
      </c>
      <c r="G108" s="271" t="s">
        <v>192</v>
      </c>
      <c r="H108" s="271" t="s">
        <v>3449</v>
      </c>
      <c r="I108" s="273">
        <v>46034</v>
      </c>
      <c r="J108" s="271" t="s">
        <v>3450</v>
      </c>
      <c r="K108" s="274" t="s">
        <v>3789</v>
      </c>
    </row>
    <row r="109" spans="1:11">
      <c r="A109" s="272" t="s">
        <v>3444</v>
      </c>
      <c r="B109" s="271">
        <v>30</v>
      </c>
      <c r="C109" s="271" t="s">
        <v>3445</v>
      </c>
      <c r="D109" s="271" t="s">
        <v>3790</v>
      </c>
      <c r="E109" s="271" t="s">
        <v>3791</v>
      </c>
      <c r="F109" s="271" t="s">
        <v>3792</v>
      </c>
      <c r="G109" s="271" t="s">
        <v>3221</v>
      </c>
      <c r="H109" s="271" t="s">
        <v>3449</v>
      </c>
      <c r="I109" s="273">
        <v>46020</v>
      </c>
      <c r="J109" s="271" t="s">
        <v>3450</v>
      </c>
      <c r="K109" s="274" t="s">
        <v>3793</v>
      </c>
    </row>
    <row r="110" spans="1:11">
      <c r="A110" s="272" t="s">
        <v>3444</v>
      </c>
      <c r="B110" s="271">
        <v>34</v>
      </c>
      <c r="C110" s="271" t="s">
        <v>3445</v>
      </c>
      <c r="D110" s="271" t="s">
        <v>3794</v>
      </c>
      <c r="E110" s="271" t="s">
        <v>3791</v>
      </c>
      <c r="F110" s="271" t="s">
        <v>3795</v>
      </c>
      <c r="G110" s="271" t="s">
        <v>3796</v>
      </c>
      <c r="H110" s="271" t="s">
        <v>3449</v>
      </c>
      <c r="I110" s="273">
        <v>46024</v>
      </c>
      <c r="J110" s="271" t="s">
        <v>3450</v>
      </c>
      <c r="K110" s="274" t="s">
        <v>3797</v>
      </c>
    </row>
    <row r="111" spans="1:11">
      <c r="A111" s="272" t="s">
        <v>3444</v>
      </c>
      <c r="B111" s="271">
        <v>34</v>
      </c>
      <c r="C111" s="271" t="s">
        <v>3445</v>
      </c>
      <c r="D111" s="271" t="s">
        <v>3794</v>
      </c>
      <c r="E111" s="271" t="s">
        <v>3791</v>
      </c>
      <c r="F111" s="271" t="s">
        <v>3795</v>
      </c>
      <c r="G111" s="271" t="s">
        <v>3796</v>
      </c>
      <c r="H111" s="271" t="s">
        <v>3449</v>
      </c>
      <c r="I111" s="273">
        <v>46036</v>
      </c>
      <c r="J111" s="271" t="s">
        <v>3450</v>
      </c>
      <c r="K111" s="274" t="s">
        <v>3798</v>
      </c>
    </row>
    <row r="112" spans="1:11" ht="29.25">
      <c r="A112" s="272" t="s">
        <v>3444</v>
      </c>
      <c r="B112" s="271">
        <v>12</v>
      </c>
      <c r="C112" s="271" t="s">
        <v>3445</v>
      </c>
      <c r="D112" s="271" t="s">
        <v>3725</v>
      </c>
      <c r="E112" s="271" t="s">
        <v>3791</v>
      </c>
      <c r="F112" s="271" t="s">
        <v>3799</v>
      </c>
      <c r="G112" s="271" t="s">
        <v>67</v>
      </c>
      <c r="H112" s="271" t="s">
        <v>3449</v>
      </c>
      <c r="I112" s="273">
        <v>46041</v>
      </c>
      <c r="J112" s="271" t="s">
        <v>3450</v>
      </c>
      <c r="K112" s="274" t="s">
        <v>3800</v>
      </c>
    </row>
    <row r="113" spans="1:11">
      <c r="A113" s="272" t="s">
        <v>3444</v>
      </c>
      <c r="B113" s="271">
        <v>12</v>
      </c>
      <c r="C113" s="271" t="s">
        <v>3445</v>
      </c>
      <c r="D113" s="271" t="s">
        <v>3725</v>
      </c>
      <c r="E113" s="271" t="s">
        <v>3791</v>
      </c>
      <c r="F113" s="271" t="s">
        <v>3801</v>
      </c>
      <c r="G113" s="271" t="s">
        <v>3327</v>
      </c>
      <c r="H113" s="271" t="s">
        <v>3449</v>
      </c>
      <c r="I113" s="273">
        <v>46042</v>
      </c>
      <c r="J113" s="271" t="s">
        <v>3450</v>
      </c>
      <c r="K113" s="274" t="s">
        <v>3802</v>
      </c>
    </row>
    <row r="114" spans="1:11">
      <c r="A114" s="272" t="s">
        <v>3444</v>
      </c>
      <c r="B114" s="271">
        <v>34</v>
      </c>
      <c r="C114" s="271" t="s">
        <v>3445</v>
      </c>
      <c r="D114" s="271" t="s">
        <v>3794</v>
      </c>
      <c r="E114" s="271" t="s">
        <v>3776</v>
      </c>
      <c r="F114" s="271">
        <v>467988917</v>
      </c>
      <c r="G114" s="271" t="s">
        <v>3803</v>
      </c>
      <c r="H114" s="271" t="s">
        <v>3449</v>
      </c>
      <c r="I114" s="273">
        <v>46050</v>
      </c>
      <c r="J114" s="271" t="s">
        <v>3450</v>
      </c>
      <c r="K114" s="274" t="s">
        <v>3804</v>
      </c>
    </row>
    <row r="115" spans="1:11" ht="29.25">
      <c r="A115" s="272" t="s">
        <v>3444</v>
      </c>
      <c r="B115" s="271">
        <v>34</v>
      </c>
      <c r="C115" s="271" t="s">
        <v>3445</v>
      </c>
      <c r="D115" s="271" t="s">
        <v>3794</v>
      </c>
      <c r="E115" s="271" t="s">
        <v>3791</v>
      </c>
      <c r="F115" s="271">
        <v>499237483</v>
      </c>
      <c r="G115" s="271" t="s">
        <v>3239</v>
      </c>
      <c r="H115" s="271" t="s">
        <v>3449</v>
      </c>
      <c r="I115" s="273">
        <v>46051</v>
      </c>
      <c r="J115" s="271" t="s">
        <v>3450</v>
      </c>
      <c r="K115" s="274" t="s">
        <v>3805</v>
      </c>
    </row>
    <row r="116" spans="1:11" ht="29.25">
      <c r="A116" s="272" t="s">
        <v>3444</v>
      </c>
      <c r="B116" s="271">
        <v>34</v>
      </c>
      <c r="C116" s="271" t="s">
        <v>3445</v>
      </c>
      <c r="D116" s="271" t="s">
        <v>3794</v>
      </c>
      <c r="E116" s="271" t="s">
        <v>3776</v>
      </c>
      <c r="F116" s="271" t="s">
        <v>3806</v>
      </c>
      <c r="G116" s="271" t="s">
        <v>3239</v>
      </c>
      <c r="H116" s="271" t="s">
        <v>3449</v>
      </c>
      <c r="I116" s="273">
        <v>46057</v>
      </c>
      <c r="J116" s="271" t="s">
        <v>3450</v>
      </c>
      <c r="K116" s="274" t="s">
        <v>3807</v>
      </c>
    </row>
    <row r="117" spans="1:11" ht="29.25">
      <c r="A117" s="272" t="s">
        <v>3444</v>
      </c>
      <c r="B117" s="271">
        <v>34</v>
      </c>
      <c r="C117" s="271" t="s">
        <v>3445</v>
      </c>
      <c r="D117" s="271" t="s">
        <v>3794</v>
      </c>
      <c r="E117" s="271" t="s">
        <v>3776</v>
      </c>
      <c r="F117" s="271" t="s">
        <v>3808</v>
      </c>
      <c r="G117" s="271" t="s">
        <v>3239</v>
      </c>
      <c r="H117" s="271" t="s">
        <v>3449</v>
      </c>
      <c r="I117" s="273">
        <v>46055</v>
      </c>
      <c r="J117" s="271" t="s">
        <v>3450</v>
      </c>
      <c r="K117" s="274" t="s">
        <v>3809</v>
      </c>
    </row>
    <row r="118" spans="1:11">
      <c r="A118" s="272" t="s">
        <v>3444</v>
      </c>
      <c r="B118" s="271">
        <v>12</v>
      </c>
      <c r="C118" s="271" t="s">
        <v>3445</v>
      </c>
      <c r="D118" s="271" t="s">
        <v>3725</v>
      </c>
      <c r="E118" s="271" t="s">
        <v>3447</v>
      </c>
      <c r="F118" s="271" t="s">
        <v>3784</v>
      </c>
      <c r="G118" s="271" t="s">
        <v>370</v>
      </c>
      <c r="H118" s="271" t="s">
        <v>3449</v>
      </c>
      <c r="I118" s="273">
        <v>46062</v>
      </c>
      <c r="J118" s="271" t="s">
        <v>3450</v>
      </c>
      <c r="K118" s="274" t="s">
        <v>3810</v>
      </c>
    </row>
    <row r="119" spans="1:11">
      <c r="A119" s="272" t="s">
        <v>3444</v>
      </c>
      <c r="B119" s="271">
        <v>34</v>
      </c>
      <c r="C119" s="271" t="s">
        <v>3445</v>
      </c>
      <c r="D119" s="271" t="s">
        <v>3794</v>
      </c>
      <c r="E119" s="271" t="s">
        <v>3776</v>
      </c>
      <c r="F119" s="271" t="s">
        <v>3811</v>
      </c>
      <c r="G119" s="271" t="s">
        <v>3796</v>
      </c>
      <c r="H119" s="271" t="s">
        <v>3449</v>
      </c>
      <c r="I119" s="273">
        <v>46079</v>
      </c>
      <c r="J119" s="271" t="s">
        <v>3450</v>
      </c>
      <c r="K119" s="274" t="s">
        <v>3811</v>
      </c>
    </row>
    <row r="120" spans="1:11">
      <c r="A120" s="272" t="s">
        <v>3444</v>
      </c>
      <c r="B120" s="271">
        <v>34</v>
      </c>
      <c r="C120" s="271" t="s">
        <v>3445</v>
      </c>
      <c r="D120" s="271" t="s">
        <v>3794</v>
      </c>
      <c r="E120" s="271" t="s">
        <v>3791</v>
      </c>
      <c r="F120" s="271" t="s">
        <v>3795</v>
      </c>
      <c r="G120" s="271" t="s">
        <v>3796</v>
      </c>
      <c r="H120" s="271" t="s">
        <v>3449</v>
      </c>
      <c r="I120" s="273">
        <v>46050</v>
      </c>
      <c r="J120" s="271" t="s">
        <v>3450</v>
      </c>
      <c r="K120" s="274" t="s">
        <v>3812</v>
      </c>
    </row>
    <row r="121" spans="1:11">
      <c r="A121" s="272" t="s">
        <v>3444</v>
      </c>
      <c r="B121" s="271">
        <v>12</v>
      </c>
      <c r="C121" s="271" t="s">
        <v>3445</v>
      </c>
      <c r="D121" s="271" t="s">
        <v>3725</v>
      </c>
      <c r="E121" s="271" t="s">
        <v>3447</v>
      </c>
      <c r="F121" s="271" t="s">
        <v>3813</v>
      </c>
      <c r="G121" s="271" t="s">
        <v>865</v>
      </c>
      <c r="H121" s="271" t="s">
        <v>3449</v>
      </c>
      <c r="I121" s="273">
        <v>46094</v>
      </c>
      <c r="J121" s="271" t="s">
        <v>3450</v>
      </c>
      <c r="K121" s="274" t="s">
        <v>3814</v>
      </c>
    </row>
    <row r="122" spans="1:11">
      <c r="A122" s="272" t="s">
        <v>3444</v>
      </c>
      <c r="B122" s="271">
        <v>12</v>
      </c>
      <c r="C122" s="271" t="s">
        <v>3445</v>
      </c>
      <c r="D122" s="271" t="s">
        <v>3725</v>
      </c>
      <c r="E122" s="271" t="s">
        <v>3447</v>
      </c>
      <c r="F122" s="271" t="s">
        <v>3815</v>
      </c>
      <c r="G122" s="271" t="s">
        <v>865</v>
      </c>
      <c r="H122" s="271" t="s">
        <v>3449</v>
      </c>
      <c r="I122" s="273">
        <v>46100</v>
      </c>
      <c r="J122" s="271" t="s">
        <v>3450</v>
      </c>
      <c r="K122" s="274" t="s">
        <v>3816</v>
      </c>
    </row>
    <row r="123" spans="1:11">
      <c r="A123" s="272" t="s">
        <v>3444</v>
      </c>
      <c r="B123" s="271">
        <v>12</v>
      </c>
      <c r="C123" s="271" t="s">
        <v>3445</v>
      </c>
      <c r="D123" s="271" t="s">
        <v>3725</v>
      </c>
      <c r="E123" s="271" t="s">
        <v>3447</v>
      </c>
      <c r="F123" s="271" t="s">
        <v>3788</v>
      </c>
      <c r="G123" s="271" t="s">
        <v>192</v>
      </c>
      <c r="H123" s="271" t="s">
        <v>3449</v>
      </c>
      <c r="I123" s="273">
        <v>46065</v>
      </c>
      <c r="J123" s="271" t="s">
        <v>3450</v>
      </c>
      <c r="K123" s="274" t="s">
        <v>3817</v>
      </c>
    </row>
    <row r="124" spans="1:11">
      <c r="A124" s="272" t="s">
        <v>3444</v>
      </c>
      <c r="B124" s="271">
        <v>12</v>
      </c>
      <c r="C124" s="271" t="s">
        <v>3445</v>
      </c>
      <c r="D124" s="271" t="s">
        <v>3725</v>
      </c>
      <c r="E124" s="271" t="s">
        <v>3447</v>
      </c>
      <c r="F124" s="271" t="s">
        <v>3818</v>
      </c>
      <c r="G124" s="271" t="s">
        <v>3758</v>
      </c>
      <c r="H124" s="271" t="s">
        <v>3449</v>
      </c>
      <c r="I124" s="273">
        <v>46066</v>
      </c>
      <c r="J124" s="271" t="s">
        <v>3450</v>
      </c>
      <c r="K124" s="274" t="s">
        <v>3819</v>
      </c>
    </row>
    <row r="125" spans="1:11">
      <c r="A125" s="272" t="s">
        <v>3444</v>
      </c>
      <c r="B125" s="271">
        <v>12</v>
      </c>
      <c r="C125" s="271" t="s">
        <v>3445</v>
      </c>
      <c r="D125" s="271" t="s">
        <v>3725</v>
      </c>
      <c r="E125" s="271" t="s">
        <v>3447</v>
      </c>
      <c r="F125" s="271" t="s">
        <v>3820</v>
      </c>
      <c r="G125" s="271" t="s">
        <v>142</v>
      </c>
      <c r="H125" s="271" t="s">
        <v>3449</v>
      </c>
      <c r="I125" s="273">
        <v>46069</v>
      </c>
      <c r="J125" s="271" t="s">
        <v>3450</v>
      </c>
      <c r="K125" s="274" t="s">
        <v>3821</v>
      </c>
    </row>
    <row r="126" spans="1:11" ht="29.25">
      <c r="A126" s="272" t="s">
        <v>3444</v>
      </c>
      <c r="B126" s="271">
        <v>12</v>
      </c>
      <c r="C126" s="271" t="s">
        <v>3445</v>
      </c>
      <c r="D126" s="271" t="s">
        <v>3725</v>
      </c>
      <c r="E126" s="271" t="s">
        <v>3447</v>
      </c>
      <c r="F126" s="271" t="s">
        <v>3822</v>
      </c>
      <c r="G126" s="271" t="s">
        <v>3823</v>
      </c>
      <c r="H126" s="271" t="s">
        <v>3449</v>
      </c>
      <c r="I126" s="273">
        <v>46070</v>
      </c>
      <c r="J126" s="271" t="s">
        <v>3450</v>
      </c>
      <c r="K126" s="274" t="s">
        <v>3824</v>
      </c>
    </row>
    <row r="127" spans="1:11" ht="29.25">
      <c r="A127" s="272" t="s">
        <v>3444</v>
      </c>
      <c r="B127" s="271">
        <v>12</v>
      </c>
      <c r="C127" s="271" t="s">
        <v>3445</v>
      </c>
      <c r="D127" s="271" t="s">
        <v>3725</v>
      </c>
      <c r="E127" s="271" t="s">
        <v>3447</v>
      </c>
      <c r="F127" s="271" t="s">
        <v>3825</v>
      </c>
      <c r="G127" s="271" t="s">
        <v>3425</v>
      </c>
      <c r="H127" s="271" t="s">
        <v>3449</v>
      </c>
      <c r="I127" s="273">
        <v>46071</v>
      </c>
      <c r="J127" s="271" t="s">
        <v>3450</v>
      </c>
      <c r="K127" s="274" t="s">
        <v>3826</v>
      </c>
    </row>
    <row r="128" spans="1:11" ht="29.25">
      <c r="A128" s="272" t="s">
        <v>3444</v>
      </c>
      <c r="B128" s="271">
        <v>48</v>
      </c>
      <c r="C128" s="271" t="s">
        <v>3445</v>
      </c>
      <c r="D128" s="271" t="s">
        <v>3725</v>
      </c>
      <c r="E128" s="271" t="s">
        <v>3447</v>
      </c>
      <c r="F128" s="271" t="s">
        <v>3827</v>
      </c>
      <c r="G128" s="271" t="s">
        <v>531</v>
      </c>
      <c r="H128" s="271" t="s">
        <v>3449</v>
      </c>
      <c r="I128" s="273">
        <v>46072</v>
      </c>
      <c r="J128" s="271" t="s">
        <v>3450</v>
      </c>
      <c r="K128" s="274" t="s">
        <v>3828</v>
      </c>
    </row>
    <row r="129" spans="1:11" ht="29.25">
      <c r="A129" s="272" t="s">
        <v>3444</v>
      </c>
      <c r="B129" s="271">
        <v>48</v>
      </c>
      <c r="C129" s="271" t="s">
        <v>3445</v>
      </c>
      <c r="D129" s="271" t="s">
        <v>3725</v>
      </c>
      <c r="E129" s="271" t="s">
        <v>3447</v>
      </c>
      <c r="F129" s="271" t="s">
        <v>3829</v>
      </c>
      <c r="G129" s="271" t="s">
        <v>1343</v>
      </c>
      <c r="H129" s="271" t="s">
        <v>3449</v>
      </c>
      <c r="I129" s="273">
        <v>46073</v>
      </c>
      <c r="J129" s="271" t="s">
        <v>3450</v>
      </c>
      <c r="K129" s="274" t="s">
        <v>3830</v>
      </c>
    </row>
    <row r="130" spans="1:11">
      <c r="A130" s="272" t="s">
        <v>3444</v>
      </c>
      <c r="B130" s="271">
        <v>12</v>
      </c>
      <c r="C130" s="271" t="s">
        <v>3445</v>
      </c>
      <c r="D130" s="271" t="s">
        <v>3725</v>
      </c>
      <c r="E130" s="271" t="s">
        <v>3447</v>
      </c>
      <c r="F130" s="271" t="s">
        <v>3831</v>
      </c>
      <c r="G130" s="271" t="s">
        <v>47</v>
      </c>
      <c r="H130" s="271" t="s">
        <v>3449</v>
      </c>
      <c r="I130" s="273">
        <v>46076</v>
      </c>
      <c r="J130" s="271" t="s">
        <v>3450</v>
      </c>
      <c r="K130" s="274" t="s">
        <v>3832</v>
      </c>
    </row>
    <row r="131" spans="1:11">
      <c r="A131" s="272" t="s">
        <v>3444</v>
      </c>
      <c r="B131" s="271">
        <v>12</v>
      </c>
      <c r="C131" s="271" t="s">
        <v>3445</v>
      </c>
      <c r="D131" s="271" t="s">
        <v>3725</v>
      </c>
      <c r="E131" s="271" t="s">
        <v>3447</v>
      </c>
      <c r="F131" s="271" t="s">
        <v>3833</v>
      </c>
      <c r="G131" s="271" t="s">
        <v>72</v>
      </c>
      <c r="H131" s="271" t="s">
        <v>3449</v>
      </c>
      <c r="I131" s="273">
        <v>46077</v>
      </c>
      <c r="J131" s="271" t="s">
        <v>3450</v>
      </c>
      <c r="K131" s="274" t="s">
        <v>3834</v>
      </c>
    </row>
    <row r="132" spans="1:11" ht="29.25">
      <c r="A132" s="272" t="s">
        <v>3444</v>
      </c>
      <c r="B132" s="271">
        <v>12</v>
      </c>
      <c r="C132" s="271" t="s">
        <v>3445</v>
      </c>
      <c r="D132" s="271" t="s">
        <v>3725</v>
      </c>
      <c r="E132" s="271" t="s">
        <v>3447</v>
      </c>
      <c r="F132" s="271" t="s">
        <v>3835</v>
      </c>
      <c r="G132" s="271" t="s">
        <v>3836</v>
      </c>
      <c r="H132" s="271" t="s">
        <v>3449</v>
      </c>
      <c r="I132" s="273">
        <v>46078</v>
      </c>
      <c r="J132" s="271" t="s">
        <v>3450</v>
      </c>
      <c r="K132" s="274" t="s">
        <v>3837</v>
      </c>
    </row>
    <row r="133" spans="1:11" ht="29.25">
      <c r="A133" s="272" t="s">
        <v>3444</v>
      </c>
      <c r="B133" s="271">
        <v>12</v>
      </c>
      <c r="C133" s="271" t="s">
        <v>3445</v>
      </c>
      <c r="D133" s="271" t="s">
        <v>3725</v>
      </c>
      <c r="E133" s="271" t="s">
        <v>3447</v>
      </c>
      <c r="F133" s="271" t="s">
        <v>3838</v>
      </c>
      <c r="G133" s="271" t="s">
        <v>3839</v>
      </c>
      <c r="H133" s="271" t="s">
        <v>3449</v>
      </c>
      <c r="I133" s="273">
        <v>46079</v>
      </c>
      <c r="J133" s="271" t="s">
        <v>3450</v>
      </c>
      <c r="K133" s="274" t="s">
        <v>3840</v>
      </c>
    </row>
    <row r="134" spans="1:11">
      <c r="A134" s="272" t="s">
        <v>3444</v>
      </c>
      <c r="B134" s="271">
        <v>12</v>
      </c>
      <c r="C134" s="271" t="s">
        <v>3445</v>
      </c>
      <c r="D134" s="271" t="s">
        <v>3725</v>
      </c>
      <c r="E134" s="271" t="s">
        <v>3447</v>
      </c>
      <c r="F134" s="271" t="s">
        <v>3841</v>
      </c>
      <c r="G134" s="271" t="s">
        <v>3842</v>
      </c>
      <c r="H134" s="271" t="s">
        <v>3449</v>
      </c>
      <c r="I134" s="273">
        <v>46080</v>
      </c>
      <c r="J134" s="271" t="s">
        <v>3450</v>
      </c>
      <c r="K134" s="274" t="s">
        <v>3843</v>
      </c>
    </row>
    <row r="135" spans="1:11" ht="14.25" customHeight="1">
      <c r="A135" s="272" t="s">
        <v>3444</v>
      </c>
      <c r="B135" s="271">
        <v>12</v>
      </c>
      <c r="C135" s="271" t="s">
        <v>3445</v>
      </c>
      <c r="D135" s="271" t="s">
        <v>3725</v>
      </c>
      <c r="E135" s="271" t="s">
        <v>3447</v>
      </c>
      <c r="F135" s="271" t="s">
        <v>3844</v>
      </c>
      <c r="G135" s="271" t="s">
        <v>3845</v>
      </c>
      <c r="H135" s="271" t="s">
        <v>3449</v>
      </c>
      <c r="I135" s="273">
        <v>46082</v>
      </c>
      <c r="J135" s="271" t="s">
        <v>3450</v>
      </c>
      <c r="K135" s="274" t="s">
        <v>3846</v>
      </c>
    </row>
    <row r="136" spans="1:11" ht="14.25" customHeight="1">
      <c r="A136" s="272" t="s">
        <v>3444</v>
      </c>
      <c r="B136" s="271">
        <v>12</v>
      </c>
      <c r="C136" s="271" t="s">
        <v>3445</v>
      </c>
      <c r="D136" s="271" t="s">
        <v>3725</v>
      </c>
      <c r="E136" s="271" t="s">
        <v>3776</v>
      </c>
      <c r="F136" s="271" t="s">
        <v>3847</v>
      </c>
      <c r="G136" s="271" t="s">
        <v>3845</v>
      </c>
      <c r="H136" s="271" t="s">
        <v>3449</v>
      </c>
      <c r="I136" s="273">
        <v>46058</v>
      </c>
      <c r="J136" s="271" t="s">
        <v>3450</v>
      </c>
      <c r="K136" s="274" t="s">
        <v>3848</v>
      </c>
    </row>
    <row r="137" spans="1:11">
      <c r="A137" s="272" t="s">
        <v>3444</v>
      </c>
      <c r="B137" s="271">
        <v>12</v>
      </c>
      <c r="C137" s="271" t="s">
        <v>3445</v>
      </c>
      <c r="D137" s="271" t="s">
        <v>3725</v>
      </c>
      <c r="E137" s="271" t="s">
        <v>3447</v>
      </c>
      <c r="F137" s="271" t="s">
        <v>3788</v>
      </c>
      <c r="G137" s="271" t="s">
        <v>192</v>
      </c>
      <c r="H137" s="271" t="s">
        <v>3449</v>
      </c>
      <c r="I137" s="273">
        <v>46104</v>
      </c>
      <c r="J137" s="271" t="s">
        <v>3450</v>
      </c>
      <c r="K137" s="274" t="s">
        <v>3849</v>
      </c>
    </row>
    <row r="138" spans="1:11">
      <c r="A138" s="272" t="s">
        <v>3444</v>
      </c>
      <c r="B138" s="271">
        <v>12</v>
      </c>
      <c r="C138" s="271" t="s">
        <v>3445</v>
      </c>
      <c r="D138" s="271" t="s">
        <v>3725</v>
      </c>
      <c r="E138" s="271" t="s">
        <v>3447</v>
      </c>
      <c r="F138" s="271" t="s">
        <v>3786</v>
      </c>
      <c r="G138" s="271" t="s">
        <v>841</v>
      </c>
      <c r="H138" s="271" t="s">
        <v>3449</v>
      </c>
      <c r="I138" s="273">
        <v>46107</v>
      </c>
      <c r="J138" s="271" t="s">
        <v>3450</v>
      </c>
      <c r="K138" s="274" t="s">
        <v>3850</v>
      </c>
    </row>
    <row r="139" spans="1:11">
      <c r="A139" s="272" t="s">
        <v>3444</v>
      </c>
      <c r="B139" s="271">
        <v>12</v>
      </c>
      <c r="C139" s="271" t="s">
        <v>3445</v>
      </c>
      <c r="D139" s="271" t="s">
        <v>3725</v>
      </c>
      <c r="E139" s="271" t="s">
        <v>3447</v>
      </c>
      <c r="F139" s="271" t="s">
        <v>3851</v>
      </c>
      <c r="G139" s="271" t="s">
        <v>841</v>
      </c>
      <c r="H139" s="271" t="s">
        <v>3449</v>
      </c>
      <c r="I139" s="273">
        <v>46112</v>
      </c>
      <c r="J139" s="271" t="s">
        <v>3450</v>
      </c>
      <c r="K139" s="274" t="s">
        <v>3852</v>
      </c>
    </row>
    <row r="140" spans="1:11">
      <c r="A140" s="272" t="s">
        <v>3444</v>
      </c>
      <c r="B140" s="271">
        <v>12</v>
      </c>
      <c r="C140" s="271" t="s">
        <v>3445</v>
      </c>
      <c r="D140" s="271" t="s">
        <v>3725</v>
      </c>
      <c r="E140" s="271" t="s">
        <v>3776</v>
      </c>
      <c r="F140" s="271">
        <v>467328346</v>
      </c>
      <c r="G140" s="271" t="s">
        <v>3221</v>
      </c>
      <c r="H140" s="271" t="s">
        <v>3449</v>
      </c>
      <c r="I140" s="273">
        <v>46090</v>
      </c>
      <c r="J140" s="271" t="s">
        <v>3450</v>
      </c>
      <c r="K140" s="274" t="s">
        <v>3853</v>
      </c>
    </row>
  </sheetData>
  <autoFilter ref="A1:K77" xr:uid="{D61C38E9-7341-4EA5-8CE1-31D4937DEC8D}">
    <sortState xmlns:xlrd2="http://schemas.microsoft.com/office/spreadsheetml/2017/richdata2" ref="A2:K77">
      <sortCondition ref="I1:I77"/>
    </sortState>
  </autoFilter>
  <conditionalFormatting sqref="J1:J35 E78:E85 E87 E88:F129 E130:E135 F129:F135 E136:F140 J40:J1048576 B79:B140">
    <cfRule type="containsText" dxfId="1504" priority="27" operator="containsText" text="Préparé">
      <formula>NOT(ISERROR(SEARCH("Préparé",B1)))</formula>
    </cfRule>
  </conditionalFormatting>
  <conditionalFormatting sqref="F1:F76 F141:F1048576">
    <cfRule type="duplicateValues" dxfId="1503" priority="24"/>
  </conditionalFormatting>
  <conditionalFormatting sqref="J36:J39">
    <cfRule type="containsText" dxfId="1502" priority="18" operator="containsText" text="Préparé">
      <formula>NOT(ISERROR(SEARCH("Préparé",J36)))</formula>
    </cfRule>
  </conditionalFormatting>
  <conditionalFormatting sqref="F70:F76">
    <cfRule type="duplicateValues" dxfId="1501" priority="1250"/>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18F9A-D04F-48A4-90DE-E352CDC3A23E}">
  <sheetPr>
    <tabColor rgb="FF92D050"/>
  </sheetPr>
  <dimension ref="A1:G161"/>
  <sheetViews>
    <sheetView workbookViewId="0">
      <pane ySplit="2" topLeftCell="D162" activePane="bottomLeft" state="frozen"/>
      <selection pane="bottomLeft" activeCell="D162" sqref="D162"/>
    </sheetView>
  </sheetViews>
  <sheetFormatPr defaultColWidth="12.42578125" defaultRowHeight="15"/>
  <cols>
    <col min="1" max="1" width="18.85546875" style="27" bestFit="1" customWidth="1"/>
    <col min="2" max="2" width="24.140625" style="27" customWidth="1"/>
    <col min="3" max="3" width="10" style="51" customWidth="1"/>
    <col min="4" max="4" width="15.7109375" style="27" bestFit="1" customWidth="1"/>
    <col min="5" max="5" width="58.140625" style="27" customWidth="1"/>
    <col min="6" max="6" width="44.42578125" style="12" customWidth="1"/>
    <col min="7" max="7" width="18.85546875" style="12" bestFit="1" customWidth="1"/>
    <col min="8" max="8" width="23.5703125" style="12" customWidth="1"/>
    <col min="9" max="9" width="12.42578125" style="12" bestFit="1" customWidth="1"/>
    <col min="10" max="16" width="9.140625" style="12"/>
    <col min="17" max="16384" width="12.42578125" style="12"/>
  </cols>
  <sheetData>
    <row r="1" spans="1:7">
      <c r="B1" s="36">
        <f>COUNTA(B3:B844)</f>
        <v>158</v>
      </c>
    </row>
    <row r="2" spans="1:7">
      <c r="A2" s="26" t="s">
        <v>31</v>
      </c>
      <c r="B2" s="26" t="s">
        <v>3854</v>
      </c>
      <c r="C2" s="43" t="s">
        <v>3855</v>
      </c>
      <c r="D2" s="47" t="s">
        <v>3856</v>
      </c>
      <c r="E2" s="26" t="s">
        <v>37</v>
      </c>
      <c r="F2" s="26" t="s">
        <v>3857</v>
      </c>
    </row>
    <row r="3" spans="1:7">
      <c r="A3" s="27" t="s">
        <v>3858</v>
      </c>
      <c r="B3" s="27" t="s">
        <v>3859</v>
      </c>
      <c r="C3" s="42">
        <v>35238</v>
      </c>
      <c r="D3" s="27" t="s">
        <v>3212</v>
      </c>
      <c r="E3" s="27" t="s">
        <v>3232</v>
      </c>
      <c r="F3" s="27"/>
      <c r="G3" s="21" t="s">
        <v>3860</v>
      </c>
    </row>
    <row r="4" spans="1:7">
      <c r="A4" s="27" t="s">
        <v>3858</v>
      </c>
      <c r="B4" s="27" t="s">
        <v>3861</v>
      </c>
      <c r="C4" s="42">
        <v>35238</v>
      </c>
      <c r="D4" s="27" t="s">
        <v>3212</v>
      </c>
      <c r="E4" s="27" t="s">
        <v>3276</v>
      </c>
      <c r="F4" s="27"/>
      <c r="G4" s="22" t="s">
        <v>3858</v>
      </c>
    </row>
    <row r="5" spans="1:7">
      <c r="A5" s="27" t="s">
        <v>3858</v>
      </c>
      <c r="B5" s="27" t="s">
        <v>3862</v>
      </c>
      <c r="C5" s="42">
        <v>35238</v>
      </c>
      <c r="D5" s="27" t="s">
        <v>3212</v>
      </c>
      <c r="E5" s="27" t="s">
        <v>3214</v>
      </c>
      <c r="F5" s="27"/>
      <c r="G5" s="23" t="s">
        <v>3863</v>
      </c>
    </row>
    <row r="6" spans="1:7">
      <c r="A6" s="27" t="s">
        <v>3858</v>
      </c>
      <c r="B6" s="27" t="s">
        <v>3864</v>
      </c>
      <c r="C6" s="42">
        <v>35238</v>
      </c>
      <c r="D6" s="27" t="s">
        <v>3212</v>
      </c>
      <c r="E6" s="27" t="s">
        <v>3397</v>
      </c>
      <c r="F6" s="27"/>
      <c r="G6" s="24" t="s">
        <v>3865</v>
      </c>
    </row>
    <row r="7" spans="1:7">
      <c r="A7" s="27" t="s">
        <v>3858</v>
      </c>
      <c r="B7" s="27" t="s">
        <v>3866</v>
      </c>
      <c r="C7" s="42">
        <v>35238</v>
      </c>
      <c r="D7" s="27" t="s">
        <v>3212</v>
      </c>
      <c r="E7" s="27" t="s">
        <v>3394</v>
      </c>
      <c r="F7" s="27"/>
      <c r="G7" s="25" t="s">
        <v>3867</v>
      </c>
    </row>
    <row r="8" spans="1:7">
      <c r="A8" s="27" t="s">
        <v>3858</v>
      </c>
      <c r="B8" s="27" t="s">
        <v>3868</v>
      </c>
      <c r="C8" s="42">
        <v>35238</v>
      </c>
      <c r="D8" s="27" t="s">
        <v>3212</v>
      </c>
      <c r="E8" s="27" t="s">
        <v>3291</v>
      </c>
      <c r="F8" s="27"/>
      <c r="G8" s="212" t="s">
        <v>3869</v>
      </c>
    </row>
    <row r="9" spans="1:7">
      <c r="A9" s="27" t="s">
        <v>3858</v>
      </c>
      <c r="B9" s="27" t="s">
        <v>3870</v>
      </c>
      <c r="C9" s="42">
        <v>35238</v>
      </c>
      <c r="D9" s="27" t="s">
        <v>3212</v>
      </c>
      <c r="E9" s="27" t="s">
        <v>3376</v>
      </c>
      <c r="F9" s="27"/>
    </row>
    <row r="10" spans="1:7">
      <c r="A10" s="27" t="s">
        <v>3858</v>
      </c>
      <c r="B10" s="28" t="s">
        <v>3871</v>
      </c>
      <c r="C10" s="42">
        <v>35238</v>
      </c>
      <c r="D10" s="27" t="s">
        <v>3212</v>
      </c>
      <c r="E10" s="27" t="s">
        <v>3228</v>
      </c>
      <c r="F10" s="27"/>
    </row>
    <row r="11" spans="1:7">
      <c r="A11" s="27" t="s">
        <v>3858</v>
      </c>
      <c r="B11" s="27" t="s">
        <v>3872</v>
      </c>
      <c r="C11" s="42">
        <v>35238</v>
      </c>
      <c r="D11" s="27" t="s">
        <v>3212</v>
      </c>
      <c r="E11" s="27" t="s">
        <v>3292</v>
      </c>
      <c r="F11" s="27"/>
    </row>
    <row r="12" spans="1:7">
      <c r="A12" s="27" t="s">
        <v>3858</v>
      </c>
      <c r="B12" s="27" t="s">
        <v>3873</v>
      </c>
      <c r="C12" s="42">
        <v>35238</v>
      </c>
      <c r="D12" s="27" t="s">
        <v>3212</v>
      </c>
      <c r="E12" s="27" t="s">
        <v>3341</v>
      </c>
      <c r="F12" s="27"/>
    </row>
    <row r="13" spans="1:7">
      <c r="A13" s="27" t="s">
        <v>3858</v>
      </c>
      <c r="B13" s="27" t="s">
        <v>3874</v>
      </c>
      <c r="C13" s="42">
        <v>35238</v>
      </c>
      <c r="D13" s="27" t="s">
        <v>3212</v>
      </c>
      <c r="E13" s="27" t="s">
        <v>3372</v>
      </c>
      <c r="F13" s="27"/>
    </row>
    <row r="14" spans="1:7">
      <c r="A14" s="27" t="s">
        <v>3858</v>
      </c>
      <c r="B14" s="27" t="s">
        <v>3875</v>
      </c>
      <c r="C14" s="42">
        <v>35238</v>
      </c>
      <c r="D14" s="27" t="s">
        <v>3212</v>
      </c>
      <c r="E14" s="27" t="s">
        <v>3319</v>
      </c>
      <c r="F14" s="27"/>
    </row>
    <row r="15" spans="1:7">
      <c r="A15" s="27" t="s">
        <v>3858</v>
      </c>
      <c r="B15" s="27" t="s">
        <v>3876</v>
      </c>
      <c r="C15" s="42">
        <v>35238</v>
      </c>
      <c r="D15" s="27" t="s">
        <v>3212</v>
      </c>
      <c r="E15" s="27" t="s">
        <v>3330</v>
      </c>
      <c r="F15" s="27"/>
    </row>
    <row r="16" spans="1:7">
      <c r="A16" s="27" t="s">
        <v>3858</v>
      </c>
      <c r="B16" s="27" t="s">
        <v>3877</v>
      </c>
      <c r="C16" s="42">
        <v>35238</v>
      </c>
      <c r="D16" s="27" t="s">
        <v>3212</v>
      </c>
      <c r="E16" s="27" t="s">
        <v>3278</v>
      </c>
      <c r="F16" s="27"/>
    </row>
    <row r="17" spans="1:6">
      <c r="A17" s="27" t="s">
        <v>3858</v>
      </c>
      <c r="B17" s="27" t="s">
        <v>3878</v>
      </c>
      <c r="C17" s="42">
        <v>35238</v>
      </c>
      <c r="D17" s="27" t="s">
        <v>3212</v>
      </c>
      <c r="E17" s="27" t="s">
        <v>3359</v>
      </c>
      <c r="F17" s="27"/>
    </row>
    <row r="18" spans="1:6">
      <c r="A18" s="27" t="s">
        <v>3858</v>
      </c>
      <c r="B18" s="27" t="s">
        <v>3879</v>
      </c>
      <c r="C18" s="42">
        <v>35238</v>
      </c>
      <c r="D18" s="27" t="s">
        <v>3212</v>
      </c>
      <c r="E18" s="27" t="s">
        <v>3258</v>
      </c>
      <c r="F18" s="27"/>
    </row>
    <row r="19" spans="1:6">
      <c r="A19" s="27" t="s">
        <v>3858</v>
      </c>
      <c r="B19" s="27" t="s">
        <v>3880</v>
      </c>
      <c r="C19" s="42">
        <v>35238</v>
      </c>
      <c r="D19" s="27" t="s">
        <v>3212</v>
      </c>
      <c r="E19" s="27" t="s">
        <v>3271</v>
      </c>
      <c r="F19" s="27"/>
    </row>
    <row r="20" spans="1:6">
      <c r="A20" s="27" t="s">
        <v>3858</v>
      </c>
      <c r="B20" s="27" t="s">
        <v>3881</v>
      </c>
      <c r="C20" s="42">
        <v>35238</v>
      </c>
      <c r="D20" s="27" t="s">
        <v>3212</v>
      </c>
      <c r="E20" s="27" t="s">
        <v>3351</v>
      </c>
      <c r="F20" s="27"/>
    </row>
    <row r="21" spans="1:6">
      <c r="A21" s="27" t="s">
        <v>3858</v>
      </c>
      <c r="B21" s="27" t="s">
        <v>3882</v>
      </c>
      <c r="C21" s="42">
        <v>35238</v>
      </c>
      <c r="D21" s="27" t="s">
        <v>3212</v>
      </c>
      <c r="E21" s="27" t="s">
        <v>3255</v>
      </c>
      <c r="F21" s="27"/>
    </row>
    <row r="22" spans="1:6">
      <c r="A22" s="27" t="s">
        <v>3858</v>
      </c>
      <c r="B22" s="27" t="s">
        <v>3883</v>
      </c>
      <c r="C22" s="42">
        <v>35238</v>
      </c>
      <c r="D22" s="27" t="s">
        <v>3212</v>
      </c>
      <c r="E22" s="27" t="s">
        <v>1430</v>
      </c>
      <c r="F22" s="27"/>
    </row>
    <row r="23" spans="1:6" hidden="1">
      <c r="A23" s="27" t="s">
        <v>3863</v>
      </c>
      <c r="B23" s="12"/>
      <c r="C23" s="42">
        <v>35238</v>
      </c>
      <c r="D23" s="27" t="s">
        <v>3212</v>
      </c>
      <c r="E23" s="27" t="s">
        <v>3237</v>
      </c>
      <c r="F23" s="27" t="s">
        <v>3884</v>
      </c>
    </row>
    <row r="24" spans="1:6">
      <c r="A24" s="27" t="s">
        <v>3858</v>
      </c>
      <c r="B24" s="27" t="s">
        <v>3885</v>
      </c>
      <c r="C24" s="42">
        <v>35238</v>
      </c>
      <c r="D24" s="27" t="s">
        <v>3212</v>
      </c>
      <c r="E24" s="27" t="s">
        <v>3246</v>
      </c>
      <c r="F24" s="27"/>
    </row>
    <row r="25" spans="1:6">
      <c r="A25" s="27" t="s">
        <v>3858</v>
      </c>
      <c r="B25" s="27" t="s">
        <v>3886</v>
      </c>
      <c r="C25" s="42">
        <v>35238</v>
      </c>
      <c r="D25" s="27" t="s">
        <v>3212</v>
      </c>
      <c r="E25" s="27" t="s">
        <v>3389</v>
      </c>
      <c r="F25" s="27"/>
    </row>
    <row r="26" spans="1:6">
      <c r="A26" s="27" t="s">
        <v>3858</v>
      </c>
      <c r="B26" s="27" t="s">
        <v>3887</v>
      </c>
      <c r="C26" s="42">
        <v>35238</v>
      </c>
      <c r="D26" s="27" t="s">
        <v>3212</v>
      </c>
      <c r="E26" s="27" t="s">
        <v>3312</v>
      </c>
      <c r="F26" s="27"/>
    </row>
    <row r="27" spans="1:6">
      <c r="A27" s="27" t="s">
        <v>3858</v>
      </c>
      <c r="B27" s="27" t="s">
        <v>3888</v>
      </c>
      <c r="C27" s="42">
        <v>35238</v>
      </c>
      <c r="D27" s="27" t="s">
        <v>3212</v>
      </c>
      <c r="E27" s="27" t="s">
        <v>3302</v>
      </c>
      <c r="F27" s="27"/>
    </row>
    <row r="28" spans="1:6">
      <c r="A28" s="27" t="s">
        <v>3858</v>
      </c>
      <c r="B28" s="27" t="s">
        <v>3889</v>
      </c>
      <c r="C28" s="42">
        <v>35238</v>
      </c>
      <c r="D28" s="27" t="s">
        <v>3212</v>
      </c>
      <c r="E28" s="27" t="s">
        <v>3328</v>
      </c>
      <c r="F28" s="27"/>
    </row>
    <row r="29" spans="1:6">
      <c r="A29" s="27" t="s">
        <v>3858</v>
      </c>
      <c r="B29" s="27" t="s">
        <v>3890</v>
      </c>
      <c r="C29" s="42">
        <v>35238</v>
      </c>
      <c r="D29" s="27" t="s">
        <v>3212</v>
      </c>
      <c r="E29" s="27" t="s">
        <v>3336</v>
      </c>
      <c r="F29" s="27"/>
    </row>
    <row r="30" spans="1:6">
      <c r="A30" s="27" t="s">
        <v>3858</v>
      </c>
      <c r="B30" s="27" t="s">
        <v>3891</v>
      </c>
      <c r="C30" s="42">
        <v>35238</v>
      </c>
      <c r="D30" s="27" t="s">
        <v>3212</v>
      </c>
      <c r="E30" s="27" t="s">
        <v>3256</v>
      </c>
      <c r="F30" s="27"/>
    </row>
    <row r="31" spans="1:6">
      <c r="A31" s="27" t="s">
        <v>3858</v>
      </c>
      <c r="B31" s="27" t="s">
        <v>3892</v>
      </c>
      <c r="C31" s="42">
        <v>35238</v>
      </c>
      <c r="D31" s="27" t="s">
        <v>3212</v>
      </c>
      <c r="E31" s="27" t="s">
        <v>3216</v>
      </c>
      <c r="F31" s="27"/>
    </row>
    <row r="32" spans="1:6">
      <c r="A32" s="27" t="s">
        <v>3858</v>
      </c>
      <c r="B32" s="27" t="s">
        <v>3893</v>
      </c>
      <c r="C32" s="42">
        <v>35238</v>
      </c>
      <c r="D32" s="27" t="s">
        <v>3212</v>
      </c>
      <c r="E32" s="27" t="s">
        <v>3354</v>
      </c>
      <c r="F32" s="27"/>
    </row>
    <row r="33" spans="1:6">
      <c r="A33" s="27" t="s">
        <v>3858</v>
      </c>
      <c r="B33" s="27" t="s">
        <v>3894</v>
      </c>
      <c r="C33" s="42">
        <v>35238</v>
      </c>
      <c r="D33" s="27" t="s">
        <v>3212</v>
      </c>
      <c r="E33" s="27" t="s">
        <v>3312</v>
      </c>
      <c r="F33" s="27"/>
    </row>
    <row r="34" spans="1:6">
      <c r="A34" s="27" t="s">
        <v>3858</v>
      </c>
      <c r="B34" s="27" t="s">
        <v>3895</v>
      </c>
      <c r="C34" s="42">
        <v>35238</v>
      </c>
      <c r="D34" s="27" t="s">
        <v>3212</v>
      </c>
      <c r="E34" s="27" t="s">
        <v>3311</v>
      </c>
      <c r="F34" s="27"/>
    </row>
    <row r="35" spans="1:6">
      <c r="A35" s="27" t="s">
        <v>3858</v>
      </c>
      <c r="B35" s="27" t="s">
        <v>3896</v>
      </c>
      <c r="C35" s="42">
        <v>35238</v>
      </c>
      <c r="D35" s="27" t="s">
        <v>3212</v>
      </c>
      <c r="E35" s="27" t="s">
        <v>3371</v>
      </c>
      <c r="F35" s="27"/>
    </row>
    <row r="36" spans="1:6">
      <c r="A36" s="27" t="s">
        <v>3858</v>
      </c>
      <c r="B36" s="27" t="s">
        <v>3897</v>
      </c>
      <c r="C36" s="42">
        <v>35238</v>
      </c>
      <c r="D36" s="27" t="s">
        <v>3212</v>
      </c>
      <c r="E36" s="27" t="s">
        <v>3390</v>
      </c>
      <c r="F36" s="27"/>
    </row>
    <row r="37" spans="1:6">
      <c r="A37" s="27" t="s">
        <v>3858</v>
      </c>
      <c r="B37" s="27" t="s">
        <v>3898</v>
      </c>
      <c r="C37" s="42">
        <v>35238</v>
      </c>
      <c r="D37" s="27" t="s">
        <v>3212</v>
      </c>
      <c r="E37" s="27" t="s">
        <v>3365</v>
      </c>
      <c r="F37" s="27"/>
    </row>
    <row r="38" spans="1:6">
      <c r="A38" s="27" t="s">
        <v>3858</v>
      </c>
      <c r="B38" s="27" t="s">
        <v>3899</v>
      </c>
      <c r="C38" s="42">
        <v>35238</v>
      </c>
      <c r="D38" s="27" t="s">
        <v>3212</v>
      </c>
      <c r="E38" s="27" t="s">
        <v>3387</v>
      </c>
      <c r="F38" s="27"/>
    </row>
    <row r="39" spans="1:6">
      <c r="A39" s="27" t="s">
        <v>3858</v>
      </c>
      <c r="B39" s="27" t="s">
        <v>3900</v>
      </c>
      <c r="C39" s="42">
        <v>35238</v>
      </c>
      <c r="D39" s="27" t="s">
        <v>3212</v>
      </c>
      <c r="E39" s="27" t="s">
        <v>3256</v>
      </c>
      <c r="F39" s="27"/>
    </row>
    <row r="40" spans="1:6">
      <c r="A40" s="27" t="s">
        <v>3858</v>
      </c>
      <c r="B40" s="27" t="s">
        <v>3901</v>
      </c>
      <c r="C40" s="42">
        <v>35238</v>
      </c>
      <c r="D40" s="27" t="s">
        <v>3212</v>
      </c>
      <c r="E40" s="27" t="s">
        <v>3219</v>
      </c>
      <c r="F40" s="27"/>
    </row>
    <row r="41" spans="1:6">
      <c r="A41" s="27" t="s">
        <v>3858</v>
      </c>
      <c r="B41" s="27" t="s">
        <v>3902</v>
      </c>
      <c r="C41" s="42">
        <v>35238</v>
      </c>
      <c r="D41" s="27" t="s">
        <v>3212</v>
      </c>
      <c r="E41" s="27" t="s">
        <v>3250</v>
      </c>
      <c r="F41" s="27"/>
    </row>
    <row r="42" spans="1:6">
      <c r="A42" s="27" t="s">
        <v>3858</v>
      </c>
      <c r="B42" s="27" t="s">
        <v>3903</v>
      </c>
      <c r="C42" s="42">
        <v>35238</v>
      </c>
      <c r="D42" s="27" t="s">
        <v>3212</v>
      </c>
      <c r="E42" s="27" t="s">
        <v>3295</v>
      </c>
      <c r="F42" s="27"/>
    </row>
    <row r="43" spans="1:6">
      <c r="A43" s="27" t="s">
        <v>3858</v>
      </c>
      <c r="B43" s="27" t="s">
        <v>3904</v>
      </c>
      <c r="C43" s="42">
        <v>35238</v>
      </c>
      <c r="D43" s="27" t="s">
        <v>3212</v>
      </c>
      <c r="E43" s="27" t="s">
        <v>3315</v>
      </c>
      <c r="F43" s="27"/>
    </row>
    <row r="44" spans="1:6">
      <c r="A44" s="27" t="s">
        <v>3858</v>
      </c>
      <c r="B44" s="27" t="s">
        <v>3905</v>
      </c>
      <c r="C44" s="42">
        <v>35238</v>
      </c>
      <c r="D44" s="27" t="s">
        <v>3212</v>
      </c>
      <c r="E44" s="27" t="s">
        <v>3332</v>
      </c>
      <c r="F44" s="27"/>
    </row>
    <row r="45" spans="1:6">
      <c r="A45" s="27" t="s">
        <v>3858</v>
      </c>
      <c r="B45" s="27" t="s">
        <v>3906</v>
      </c>
      <c r="C45" s="42">
        <v>35238</v>
      </c>
      <c r="D45" s="27" t="s">
        <v>3212</v>
      </c>
      <c r="E45" s="27" t="s">
        <v>3369</v>
      </c>
      <c r="F45" s="27"/>
    </row>
    <row r="46" spans="1:6">
      <c r="A46" s="27" t="s">
        <v>3858</v>
      </c>
      <c r="B46" s="27" t="s">
        <v>3907</v>
      </c>
      <c r="C46" s="42">
        <v>35238</v>
      </c>
      <c r="D46" s="27" t="s">
        <v>3212</v>
      </c>
      <c r="E46" s="27" t="s">
        <v>3338</v>
      </c>
      <c r="F46" s="27"/>
    </row>
    <row r="47" spans="1:6">
      <c r="A47" s="27" t="s">
        <v>3858</v>
      </c>
      <c r="B47" s="27" t="s">
        <v>3908</v>
      </c>
      <c r="C47" s="42">
        <v>35238</v>
      </c>
      <c r="D47" s="27" t="s">
        <v>3212</v>
      </c>
      <c r="E47" s="27" t="s">
        <v>3389</v>
      </c>
      <c r="F47" s="27"/>
    </row>
    <row r="48" spans="1:6">
      <c r="A48" s="27" t="s">
        <v>3858</v>
      </c>
      <c r="B48" s="27" t="s">
        <v>3909</v>
      </c>
      <c r="C48" s="42">
        <v>35238</v>
      </c>
      <c r="D48" s="27" t="s">
        <v>3212</v>
      </c>
      <c r="E48" s="27" t="s">
        <v>3252</v>
      </c>
      <c r="F48" s="27"/>
    </row>
    <row r="49" spans="1:7">
      <c r="A49" s="27" t="s">
        <v>3858</v>
      </c>
      <c r="B49" s="27" t="s">
        <v>3910</v>
      </c>
      <c r="C49" s="42">
        <v>35238</v>
      </c>
      <c r="D49" s="27" t="s">
        <v>3212</v>
      </c>
      <c r="E49" s="27" t="s">
        <v>3393</v>
      </c>
      <c r="F49" s="27"/>
    </row>
    <row r="50" spans="1:7" s="24" customFormat="1">
      <c r="A50" s="27" t="s">
        <v>3858</v>
      </c>
      <c r="B50" s="27" t="s">
        <v>3911</v>
      </c>
      <c r="C50" s="42">
        <v>35238</v>
      </c>
      <c r="D50" s="27" t="s">
        <v>3212</v>
      </c>
      <c r="E50" s="27" t="s">
        <v>3315</v>
      </c>
      <c r="F50" s="27"/>
      <c r="G50" s="12"/>
    </row>
    <row r="51" spans="1:7">
      <c r="A51" s="27" t="s">
        <v>3858</v>
      </c>
      <c r="B51" s="27" t="s">
        <v>3912</v>
      </c>
      <c r="C51" s="42">
        <v>35238</v>
      </c>
      <c r="D51" s="27" t="s">
        <v>3212</v>
      </c>
      <c r="E51" s="27" t="s">
        <v>3273</v>
      </c>
      <c r="F51" s="27"/>
    </row>
    <row r="52" spans="1:7">
      <c r="A52" s="27" t="s">
        <v>3858</v>
      </c>
      <c r="B52" s="27" t="s">
        <v>3913</v>
      </c>
      <c r="C52" s="42">
        <v>35238</v>
      </c>
      <c r="D52" s="27" t="s">
        <v>3212</v>
      </c>
      <c r="E52" s="27" t="s">
        <v>3346</v>
      </c>
      <c r="F52" s="27"/>
    </row>
    <row r="53" spans="1:7">
      <c r="A53" s="27" t="s">
        <v>3858</v>
      </c>
      <c r="B53" s="27" t="s">
        <v>3914</v>
      </c>
      <c r="C53" s="42">
        <v>35238</v>
      </c>
      <c r="D53" s="27" t="s">
        <v>3212</v>
      </c>
      <c r="E53" s="27" t="s">
        <v>3362</v>
      </c>
      <c r="F53" s="27"/>
    </row>
    <row r="54" spans="1:7">
      <c r="A54" s="27" t="s">
        <v>3858</v>
      </c>
      <c r="B54" s="27" t="s">
        <v>3915</v>
      </c>
      <c r="C54" s="42">
        <v>35238</v>
      </c>
      <c r="D54" s="27" t="s">
        <v>3212</v>
      </c>
      <c r="E54" s="27" t="s">
        <v>3298</v>
      </c>
      <c r="F54" s="27"/>
    </row>
    <row r="55" spans="1:7">
      <c r="A55" s="27" t="s">
        <v>3858</v>
      </c>
      <c r="B55" s="27" t="s">
        <v>3916</v>
      </c>
      <c r="C55" s="42">
        <v>35238</v>
      </c>
      <c r="D55" s="27" t="s">
        <v>3212</v>
      </c>
      <c r="E55" s="27" t="s">
        <v>3245</v>
      </c>
      <c r="F55" s="27"/>
    </row>
    <row r="56" spans="1:7">
      <c r="A56" s="27" t="s">
        <v>3858</v>
      </c>
      <c r="B56" s="27" t="s">
        <v>3917</v>
      </c>
      <c r="C56" s="42">
        <v>35238</v>
      </c>
      <c r="D56" s="27" t="s">
        <v>3212</v>
      </c>
      <c r="E56" s="27" t="s">
        <v>3382</v>
      </c>
      <c r="F56" s="27"/>
    </row>
    <row r="57" spans="1:7">
      <c r="A57" s="27" t="s">
        <v>3858</v>
      </c>
      <c r="B57" s="27" t="s">
        <v>3918</v>
      </c>
      <c r="C57" s="42">
        <v>35238</v>
      </c>
      <c r="D57" s="27" t="s">
        <v>3212</v>
      </c>
      <c r="E57" s="27" t="s">
        <v>3393</v>
      </c>
      <c r="F57" s="27"/>
    </row>
    <row r="58" spans="1:7">
      <c r="A58" s="27" t="s">
        <v>3858</v>
      </c>
      <c r="B58" s="27" t="s">
        <v>3919</v>
      </c>
      <c r="C58" s="42">
        <v>35238</v>
      </c>
      <c r="D58" s="27" t="s">
        <v>3212</v>
      </c>
      <c r="E58" s="27" t="s">
        <v>3312</v>
      </c>
      <c r="F58" s="27"/>
    </row>
    <row r="59" spans="1:7">
      <c r="A59" s="27" t="s">
        <v>3858</v>
      </c>
      <c r="B59" s="27" t="s">
        <v>3920</v>
      </c>
      <c r="C59" s="42">
        <v>35238</v>
      </c>
      <c r="D59" s="27" t="s">
        <v>3212</v>
      </c>
      <c r="E59" s="27" t="s">
        <v>3261</v>
      </c>
      <c r="F59" s="27"/>
    </row>
    <row r="60" spans="1:7">
      <c r="A60" s="27" t="s">
        <v>3858</v>
      </c>
      <c r="B60" s="27" t="s">
        <v>3921</v>
      </c>
      <c r="C60" s="42">
        <v>35238</v>
      </c>
      <c r="D60" s="27" t="s">
        <v>3212</v>
      </c>
      <c r="E60" s="27" t="s">
        <v>3286</v>
      </c>
      <c r="F60" s="27"/>
    </row>
    <row r="61" spans="1:7">
      <c r="A61" s="27" t="s">
        <v>3858</v>
      </c>
      <c r="B61" s="27" t="s">
        <v>3922</v>
      </c>
      <c r="C61" s="42">
        <v>35238</v>
      </c>
      <c r="D61" s="27" t="s">
        <v>3212</v>
      </c>
      <c r="E61" s="27" t="s">
        <v>3378</v>
      </c>
      <c r="F61" s="27"/>
    </row>
    <row r="62" spans="1:7">
      <c r="A62" s="27" t="s">
        <v>3858</v>
      </c>
      <c r="B62" s="27" t="s">
        <v>3923</v>
      </c>
      <c r="C62" s="42">
        <v>35238</v>
      </c>
      <c r="D62" s="27" t="s">
        <v>3212</v>
      </c>
      <c r="E62" s="27" t="s">
        <v>3379</v>
      </c>
      <c r="F62" s="27"/>
    </row>
    <row r="63" spans="1:7">
      <c r="A63" s="27" t="s">
        <v>3858</v>
      </c>
      <c r="B63" s="27" t="s">
        <v>3924</v>
      </c>
      <c r="C63" s="42">
        <v>35238</v>
      </c>
      <c r="D63" s="27" t="s">
        <v>3212</v>
      </c>
      <c r="E63" s="27" t="s">
        <v>3385</v>
      </c>
      <c r="F63" s="27"/>
    </row>
    <row r="64" spans="1:7">
      <c r="A64" s="27" t="s">
        <v>3858</v>
      </c>
      <c r="B64" s="27" t="s">
        <v>3925</v>
      </c>
      <c r="C64" s="42">
        <v>35238</v>
      </c>
      <c r="D64" s="27" t="s">
        <v>3212</v>
      </c>
      <c r="E64" s="27" t="s">
        <v>3232</v>
      </c>
      <c r="F64" s="27"/>
    </row>
    <row r="65" spans="1:6">
      <c r="A65" s="27" t="s">
        <v>3858</v>
      </c>
      <c r="B65" s="27" t="s">
        <v>3926</v>
      </c>
      <c r="C65" s="42">
        <v>35238</v>
      </c>
      <c r="D65" s="27" t="s">
        <v>3212</v>
      </c>
      <c r="E65" s="27" t="s">
        <v>3391</v>
      </c>
      <c r="F65" s="27"/>
    </row>
    <row r="66" spans="1:6">
      <c r="A66" s="27" t="s">
        <v>3858</v>
      </c>
      <c r="B66" s="27" t="s">
        <v>3927</v>
      </c>
      <c r="C66" s="42">
        <v>35238</v>
      </c>
      <c r="D66" s="27" t="s">
        <v>3212</v>
      </c>
      <c r="E66" s="27" t="s">
        <v>3305</v>
      </c>
      <c r="F66" s="27"/>
    </row>
    <row r="67" spans="1:6">
      <c r="A67" s="27" t="s">
        <v>3858</v>
      </c>
      <c r="B67" s="27" t="s">
        <v>3928</v>
      </c>
      <c r="C67" s="42">
        <v>35238</v>
      </c>
      <c r="D67" s="27" t="s">
        <v>3212</v>
      </c>
      <c r="E67" s="27" t="s">
        <v>3241</v>
      </c>
      <c r="F67" s="27"/>
    </row>
    <row r="68" spans="1:6">
      <c r="A68" s="27" t="s">
        <v>3858</v>
      </c>
      <c r="B68" s="27" t="s">
        <v>3929</v>
      </c>
      <c r="C68" s="42">
        <v>35238</v>
      </c>
      <c r="D68" s="27" t="s">
        <v>3212</v>
      </c>
      <c r="E68" s="27" t="s">
        <v>3308</v>
      </c>
      <c r="F68" s="27"/>
    </row>
    <row r="69" spans="1:6">
      <c r="A69" s="27" t="s">
        <v>3858</v>
      </c>
      <c r="B69" s="27" t="s">
        <v>3930</v>
      </c>
      <c r="C69" s="42">
        <v>35238</v>
      </c>
      <c r="D69" s="27" t="s">
        <v>3212</v>
      </c>
      <c r="E69" s="27" t="s">
        <v>3270</v>
      </c>
      <c r="F69" s="27"/>
    </row>
    <row r="70" spans="1:6">
      <c r="A70" s="27" t="s">
        <v>3858</v>
      </c>
      <c r="B70" s="27" t="s">
        <v>3931</v>
      </c>
      <c r="C70" s="42">
        <v>35238</v>
      </c>
      <c r="D70" s="27" t="s">
        <v>3212</v>
      </c>
      <c r="E70" s="27" t="s">
        <v>3268</v>
      </c>
      <c r="F70" s="27"/>
    </row>
    <row r="71" spans="1:6">
      <c r="A71" s="27" t="s">
        <v>3858</v>
      </c>
      <c r="B71" s="27" t="s">
        <v>3932</v>
      </c>
      <c r="C71" s="42">
        <v>35238</v>
      </c>
      <c r="D71" s="27" t="s">
        <v>3212</v>
      </c>
      <c r="E71" s="27" t="s">
        <v>3223</v>
      </c>
      <c r="F71" s="27"/>
    </row>
    <row r="72" spans="1:6">
      <c r="A72" s="27" t="s">
        <v>3858</v>
      </c>
      <c r="B72" s="27" t="s">
        <v>3933</v>
      </c>
      <c r="C72" s="42">
        <v>35238</v>
      </c>
      <c r="D72" s="27" t="s">
        <v>3212</v>
      </c>
      <c r="E72" s="27" t="s">
        <v>3264</v>
      </c>
      <c r="F72" s="27"/>
    </row>
    <row r="73" spans="1:6">
      <c r="A73" s="27" t="s">
        <v>3858</v>
      </c>
      <c r="B73" s="27" t="s">
        <v>3934</v>
      </c>
      <c r="C73" s="42">
        <v>35238</v>
      </c>
      <c r="D73" s="27" t="s">
        <v>3212</v>
      </c>
      <c r="E73" s="27" t="s">
        <v>3329</v>
      </c>
      <c r="F73" s="27"/>
    </row>
    <row r="74" spans="1:6">
      <c r="A74" s="27" t="s">
        <v>3858</v>
      </c>
      <c r="B74" s="27" t="s">
        <v>3935</v>
      </c>
      <c r="C74" s="42">
        <v>35238</v>
      </c>
      <c r="D74" s="27" t="s">
        <v>3212</v>
      </c>
      <c r="E74" s="27" t="s">
        <v>3287</v>
      </c>
      <c r="F74" s="27"/>
    </row>
    <row r="75" spans="1:6">
      <c r="A75" s="27" t="s">
        <v>3858</v>
      </c>
      <c r="B75" s="27" t="s">
        <v>3936</v>
      </c>
      <c r="C75" s="42">
        <v>35238</v>
      </c>
      <c r="D75" s="27" t="s">
        <v>3212</v>
      </c>
      <c r="E75" s="27" t="s">
        <v>738</v>
      </c>
      <c r="F75" s="27"/>
    </row>
    <row r="76" spans="1:6">
      <c r="A76" s="27" t="s">
        <v>3858</v>
      </c>
      <c r="B76" s="27" t="s">
        <v>3937</v>
      </c>
      <c r="C76" s="42">
        <v>35238</v>
      </c>
      <c r="D76" s="27" t="s">
        <v>3212</v>
      </c>
      <c r="E76" s="27" t="s">
        <v>3326</v>
      </c>
      <c r="F76" s="27"/>
    </row>
    <row r="77" spans="1:6">
      <c r="A77" s="27" t="s">
        <v>3858</v>
      </c>
      <c r="B77" s="27" t="s">
        <v>3938</v>
      </c>
      <c r="C77" s="42">
        <v>35238</v>
      </c>
      <c r="D77" s="27" t="s">
        <v>3212</v>
      </c>
      <c r="E77" s="27" t="s">
        <v>3360</v>
      </c>
      <c r="F77" s="27"/>
    </row>
    <row r="78" spans="1:6">
      <c r="A78" s="27" t="s">
        <v>3858</v>
      </c>
      <c r="B78" s="27" t="s">
        <v>3939</v>
      </c>
      <c r="C78" s="42">
        <v>35238</v>
      </c>
      <c r="D78" s="27" t="s">
        <v>3212</v>
      </c>
      <c r="E78" s="27" t="s">
        <v>3384</v>
      </c>
      <c r="F78" s="27"/>
    </row>
    <row r="79" spans="1:6">
      <c r="A79" s="27" t="s">
        <v>3858</v>
      </c>
      <c r="B79" s="27" t="s">
        <v>3940</v>
      </c>
      <c r="C79" s="42">
        <v>35238</v>
      </c>
      <c r="D79" s="27" t="s">
        <v>3212</v>
      </c>
      <c r="E79" s="27" t="s">
        <v>3225</v>
      </c>
      <c r="F79" s="27"/>
    </row>
    <row r="80" spans="1:6">
      <c r="A80" s="27" t="s">
        <v>3858</v>
      </c>
      <c r="B80" s="27" t="s">
        <v>3941</v>
      </c>
      <c r="C80" s="42">
        <v>35238</v>
      </c>
      <c r="D80" s="27" t="s">
        <v>3212</v>
      </c>
      <c r="E80" s="27" t="s">
        <v>3389</v>
      </c>
      <c r="F80" s="27"/>
    </row>
    <row r="81" spans="1:6">
      <c r="A81" s="27" t="s">
        <v>3858</v>
      </c>
      <c r="B81" s="27" t="s">
        <v>3942</v>
      </c>
      <c r="C81" s="42">
        <v>35238</v>
      </c>
      <c r="D81" s="27" t="s">
        <v>3212</v>
      </c>
      <c r="E81" s="27" t="s">
        <v>3273</v>
      </c>
      <c r="F81" s="27"/>
    </row>
    <row r="82" spans="1:6">
      <c r="A82" s="27" t="s">
        <v>3858</v>
      </c>
      <c r="B82" s="27" t="s">
        <v>3943</v>
      </c>
      <c r="C82" s="42">
        <v>35238</v>
      </c>
      <c r="D82" s="27" t="s">
        <v>3212</v>
      </c>
      <c r="E82" s="27" t="s">
        <v>3363</v>
      </c>
      <c r="F82" s="27"/>
    </row>
    <row r="83" spans="1:6">
      <c r="A83" s="27" t="s">
        <v>3858</v>
      </c>
      <c r="B83" s="27" t="s">
        <v>3944</v>
      </c>
      <c r="C83" s="42">
        <v>35238</v>
      </c>
      <c r="D83" s="27" t="s">
        <v>3212</v>
      </c>
      <c r="E83" s="27" t="s">
        <v>3393</v>
      </c>
      <c r="F83" s="27"/>
    </row>
    <row r="84" spans="1:6">
      <c r="A84" s="27" t="s">
        <v>3858</v>
      </c>
      <c r="B84" s="27" t="s">
        <v>3945</v>
      </c>
      <c r="C84" s="42">
        <v>35238</v>
      </c>
      <c r="D84" s="27" t="s">
        <v>3212</v>
      </c>
      <c r="E84" s="27" t="s">
        <v>3323</v>
      </c>
      <c r="F84" s="27"/>
    </row>
    <row r="85" spans="1:6">
      <c r="A85" s="27" t="s">
        <v>3858</v>
      </c>
      <c r="B85" s="27" t="s">
        <v>3946</v>
      </c>
      <c r="C85" s="42">
        <v>35238</v>
      </c>
      <c r="D85" s="27" t="s">
        <v>3212</v>
      </c>
      <c r="E85" s="27" t="s">
        <v>3283</v>
      </c>
      <c r="F85" s="27"/>
    </row>
    <row r="86" spans="1:6">
      <c r="A86" s="27" t="s">
        <v>3858</v>
      </c>
      <c r="B86" s="27" t="s">
        <v>3947</v>
      </c>
      <c r="C86" s="42">
        <v>35238</v>
      </c>
      <c r="D86" s="27" t="s">
        <v>3212</v>
      </c>
      <c r="E86" s="27" t="s">
        <v>3384</v>
      </c>
      <c r="F86" s="27"/>
    </row>
    <row r="87" spans="1:6">
      <c r="A87" s="27" t="s">
        <v>3858</v>
      </c>
      <c r="B87" s="27" t="s">
        <v>3948</v>
      </c>
      <c r="C87" s="42">
        <v>35238</v>
      </c>
      <c r="D87" s="27" t="s">
        <v>3212</v>
      </c>
      <c r="E87" s="27" t="s">
        <v>3271</v>
      </c>
      <c r="F87" s="27"/>
    </row>
    <row r="88" spans="1:6">
      <c r="A88" s="27" t="s">
        <v>3858</v>
      </c>
      <c r="B88" s="27" t="s">
        <v>3949</v>
      </c>
      <c r="C88" s="42">
        <v>35238</v>
      </c>
      <c r="D88" s="27" t="s">
        <v>3212</v>
      </c>
      <c r="E88" s="27" t="s">
        <v>3343</v>
      </c>
      <c r="F88" s="27"/>
    </row>
    <row r="89" spans="1:6">
      <c r="A89" s="27" t="s">
        <v>3858</v>
      </c>
      <c r="B89" s="27" t="s">
        <v>3950</v>
      </c>
      <c r="C89" s="42">
        <v>56036</v>
      </c>
      <c r="D89" s="27" t="s">
        <v>3173</v>
      </c>
      <c r="E89" s="27" t="s">
        <v>3951</v>
      </c>
      <c r="F89" s="27"/>
    </row>
    <row r="90" spans="1:6">
      <c r="A90" s="27" t="s">
        <v>3858</v>
      </c>
      <c r="B90" s="27" t="s">
        <v>3952</v>
      </c>
      <c r="C90" s="42">
        <v>56040</v>
      </c>
      <c r="D90" s="27" t="s">
        <v>2208</v>
      </c>
      <c r="E90" s="27" t="s">
        <v>3953</v>
      </c>
      <c r="F90" s="27"/>
    </row>
    <row r="91" spans="1:6">
      <c r="A91" s="27" t="s">
        <v>3858</v>
      </c>
      <c r="B91" s="27" t="s">
        <v>3954</v>
      </c>
      <c r="C91" s="42">
        <v>56083</v>
      </c>
      <c r="D91" s="27" t="s">
        <v>2458</v>
      </c>
      <c r="E91" s="27" t="s">
        <v>3955</v>
      </c>
      <c r="F91" s="27"/>
    </row>
    <row r="92" spans="1:6">
      <c r="A92" s="27" t="s">
        <v>3858</v>
      </c>
      <c r="B92" s="27" t="s">
        <v>3956</v>
      </c>
      <c r="C92" s="42">
        <v>56098</v>
      </c>
      <c r="D92" s="27" t="s">
        <v>3188</v>
      </c>
      <c r="E92" s="27" t="s">
        <v>3957</v>
      </c>
      <c r="F92" s="27"/>
    </row>
    <row r="93" spans="1:6">
      <c r="A93" s="27" t="s">
        <v>3858</v>
      </c>
      <c r="B93" s="27" t="s">
        <v>3958</v>
      </c>
      <c r="C93" s="42">
        <v>56098</v>
      </c>
      <c r="D93" s="27" t="s">
        <v>3188</v>
      </c>
      <c r="E93" s="27" t="s">
        <v>3959</v>
      </c>
      <c r="F93" s="27"/>
    </row>
    <row r="94" spans="1:6">
      <c r="A94" s="27" t="s">
        <v>3858</v>
      </c>
      <c r="B94" s="27" t="s">
        <v>3960</v>
      </c>
      <c r="C94" s="42">
        <v>56118</v>
      </c>
      <c r="D94" s="27" t="s">
        <v>3193</v>
      </c>
      <c r="E94" s="27" t="s">
        <v>3961</v>
      </c>
      <c r="F94" s="27"/>
    </row>
    <row r="95" spans="1:6">
      <c r="A95" s="27" t="s">
        <v>3858</v>
      </c>
      <c r="B95" s="27" t="s">
        <v>3962</v>
      </c>
      <c r="C95" s="42">
        <v>56121</v>
      </c>
      <c r="D95" s="27" t="s">
        <v>2402</v>
      </c>
      <c r="E95" s="27" t="s">
        <v>3963</v>
      </c>
      <c r="F95" s="27"/>
    </row>
    <row r="96" spans="1:6">
      <c r="A96" s="27" t="s">
        <v>3858</v>
      </c>
      <c r="B96" s="27" t="s">
        <v>3964</v>
      </c>
      <c r="C96" s="42">
        <v>56121</v>
      </c>
      <c r="D96" s="27" t="s">
        <v>2402</v>
      </c>
      <c r="E96" s="27" t="s">
        <v>3965</v>
      </c>
      <c r="F96" s="27"/>
    </row>
    <row r="97" spans="1:6">
      <c r="A97" s="27" t="s">
        <v>3858</v>
      </c>
      <c r="B97" s="27" t="s">
        <v>3966</v>
      </c>
      <c r="C97" s="42">
        <v>56121</v>
      </c>
      <c r="D97" s="27" t="s">
        <v>2402</v>
      </c>
      <c r="E97" s="27" t="s">
        <v>3967</v>
      </c>
      <c r="F97" s="27"/>
    </row>
    <row r="98" spans="1:6">
      <c r="A98" s="27" t="s">
        <v>3858</v>
      </c>
      <c r="B98" s="27" t="s">
        <v>3968</v>
      </c>
      <c r="C98" s="42">
        <v>56121</v>
      </c>
      <c r="D98" s="27" t="s">
        <v>2402</v>
      </c>
      <c r="E98" s="27" t="s">
        <v>3969</v>
      </c>
      <c r="F98" s="27"/>
    </row>
    <row r="99" spans="1:6">
      <c r="A99" s="27" t="s">
        <v>3858</v>
      </c>
      <c r="B99" s="27" t="s">
        <v>3970</v>
      </c>
      <c r="C99" s="42">
        <v>56121</v>
      </c>
      <c r="D99" s="27" t="s">
        <v>2402</v>
      </c>
      <c r="E99" s="27" t="s">
        <v>3971</v>
      </c>
      <c r="F99" s="27"/>
    </row>
    <row r="100" spans="1:6">
      <c r="A100" s="27" t="s">
        <v>3858</v>
      </c>
      <c r="B100" s="27" t="s">
        <v>3972</v>
      </c>
      <c r="C100" s="42">
        <v>56158</v>
      </c>
      <c r="D100" s="27" t="s">
        <v>3198</v>
      </c>
      <c r="E100" s="27" t="s">
        <v>1291</v>
      </c>
      <c r="F100" s="27"/>
    </row>
    <row r="101" spans="1:6">
      <c r="A101" s="27" t="s">
        <v>3858</v>
      </c>
      <c r="B101" s="27" t="s">
        <v>3973</v>
      </c>
      <c r="C101" s="42">
        <v>56162</v>
      </c>
      <c r="D101" s="27" t="s">
        <v>2151</v>
      </c>
      <c r="E101" s="27" t="s">
        <v>3974</v>
      </c>
      <c r="F101" s="27"/>
    </row>
    <row r="102" spans="1:6">
      <c r="A102" s="27" t="s">
        <v>3858</v>
      </c>
      <c r="B102" s="27" t="s">
        <v>3975</v>
      </c>
      <c r="C102" s="42">
        <v>56162</v>
      </c>
      <c r="D102" s="27" t="s">
        <v>2151</v>
      </c>
      <c r="E102" s="27" t="s">
        <v>3976</v>
      </c>
      <c r="F102" s="27"/>
    </row>
    <row r="103" spans="1:6">
      <c r="A103" s="27" t="s">
        <v>3858</v>
      </c>
      <c r="B103" s="27" t="s">
        <v>3977</v>
      </c>
      <c r="C103" s="42">
        <v>56162</v>
      </c>
      <c r="D103" s="27" t="s">
        <v>2151</v>
      </c>
      <c r="E103" s="27" t="s">
        <v>3978</v>
      </c>
      <c r="F103" s="27"/>
    </row>
    <row r="104" spans="1:6">
      <c r="A104" s="27" t="s">
        <v>3858</v>
      </c>
      <c r="B104" s="27" t="s">
        <v>3979</v>
      </c>
      <c r="C104" s="42">
        <v>56181</v>
      </c>
      <c r="D104" s="27" t="s">
        <v>3203</v>
      </c>
      <c r="E104" s="27" t="s">
        <v>3980</v>
      </c>
      <c r="F104" s="27"/>
    </row>
    <row r="105" spans="1:6">
      <c r="A105" s="27" t="s">
        <v>3858</v>
      </c>
      <c r="B105" s="27" t="s">
        <v>3981</v>
      </c>
      <c r="C105" s="42">
        <v>56243</v>
      </c>
      <c r="D105" s="27" t="s">
        <v>3398</v>
      </c>
      <c r="E105" s="27" t="s">
        <v>3982</v>
      </c>
      <c r="F105" s="27"/>
    </row>
    <row r="106" spans="1:6">
      <c r="A106" s="27" t="s">
        <v>3858</v>
      </c>
      <c r="B106" s="27" t="s">
        <v>3983</v>
      </c>
      <c r="C106" s="42">
        <v>56243</v>
      </c>
      <c r="D106" s="27" t="s">
        <v>3398</v>
      </c>
      <c r="E106" s="27" t="s">
        <v>3984</v>
      </c>
      <c r="F106" s="27"/>
    </row>
    <row r="107" spans="1:6">
      <c r="A107" s="27" t="s">
        <v>3858</v>
      </c>
      <c r="B107" s="27" t="s">
        <v>3985</v>
      </c>
      <c r="C107" s="42">
        <v>56248</v>
      </c>
      <c r="D107" s="27" t="s">
        <v>1897</v>
      </c>
      <c r="E107" s="27" t="s">
        <v>3986</v>
      </c>
      <c r="F107" s="27"/>
    </row>
    <row r="108" spans="1:6">
      <c r="A108" s="27" t="s">
        <v>3858</v>
      </c>
      <c r="B108" s="27" t="s">
        <v>3987</v>
      </c>
      <c r="C108" s="42">
        <v>56255</v>
      </c>
      <c r="D108" s="27" t="s">
        <v>3401</v>
      </c>
      <c r="E108" s="27" t="s">
        <v>3988</v>
      </c>
      <c r="F108" s="27"/>
    </row>
    <row r="109" spans="1:6">
      <c r="A109" s="27" t="s">
        <v>3858</v>
      </c>
      <c r="B109" s="27" t="s">
        <v>3989</v>
      </c>
      <c r="C109" s="42">
        <v>56260</v>
      </c>
      <c r="D109" s="27" t="s">
        <v>2410</v>
      </c>
      <c r="E109" s="27" t="s">
        <v>3990</v>
      </c>
      <c r="F109" s="27"/>
    </row>
    <row r="110" spans="1:6">
      <c r="A110" s="27" t="s">
        <v>3858</v>
      </c>
      <c r="B110" s="27" t="s">
        <v>3991</v>
      </c>
      <c r="C110" s="42">
        <v>56260</v>
      </c>
      <c r="D110" s="27" t="s">
        <v>2410</v>
      </c>
      <c r="E110" s="27" t="s">
        <v>3992</v>
      </c>
      <c r="F110" s="27"/>
    </row>
    <row r="111" spans="1:6">
      <c r="A111" s="27" t="s">
        <v>3858</v>
      </c>
      <c r="B111" s="27" t="s">
        <v>3993</v>
      </c>
      <c r="C111" s="42">
        <v>56260</v>
      </c>
      <c r="D111" s="27" t="s">
        <v>2410</v>
      </c>
      <c r="E111" s="27" t="s">
        <v>3994</v>
      </c>
      <c r="F111" s="27"/>
    </row>
    <row r="112" spans="1:6">
      <c r="A112" s="27" t="s">
        <v>3858</v>
      </c>
      <c r="B112" s="27" t="s">
        <v>3995</v>
      </c>
      <c r="C112" s="42">
        <v>56260</v>
      </c>
      <c r="D112" s="27" t="s">
        <v>2410</v>
      </c>
      <c r="E112" s="27" t="s">
        <v>3996</v>
      </c>
      <c r="F112" s="27"/>
    </row>
    <row r="113" spans="1:6">
      <c r="A113" s="27" t="s">
        <v>3858</v>
      </c>
      <c r="B113" s="27" t="s">
        <v>3997</v>
      </c>
      <c r="C113" s="42">
        <v>56260</v>
      </c>
      <c r="D113" s="27" t="s">
        <v>2410</v>
      </c>
      <c r="E113" s="27" t="s">
        <v>3998</v>
      </c>
      <c r="F113" s="27"/>
    </row>
    <row r="114" spans="1:6">
      <c r="A114" s="27" t="s">
        <v>3858</v>
      </c>
      <c r="B114" s="27" t="s">
        <v>3999</v>
      </c>
      <c r="C114" s="42">
        <v>29232</v>
      </c>
      <c r="D114" s="27" t="s">
        <v>3210</v>
      </c>
      <c r="E114" s="27" t="s">
        <v>4000</v>
      </c>
      <c r="F114" s="27"/>
    </row>
    <row r="115" spans="1:6">
      <c r="A115" s="27" t="s">
        <v>3858</v>
      </c>
      <c r="B115" s="27" t="s">
        <v>4001</v>
      </c>
      <c r="C115" s="42">
        <v>29232</v>
      </c>
      <c r="D115" s="27" t="s">
        <v>3210</v>
      </c>
      <c r="E115" s="27" t="s">
        <v>4002</v>
      </c>
      <c r="F115" s="27"/>
    </row>
    <row r="116" spans="1:6">
      <c r="A116" s="27" t="s">
        <v>3858</v>
      </c>
      <c r="B116" s="27" t="s">
        <v>4003</v>
      </c>
      <c r="C116" s="42">
        <v>29232</v>
      </c>
      <c r="D116" s="27" t="s">
        <v>3210</v>
      </c>
      <c r="E116" s="27" t="s">
        <v>4004</v>
      </c>
      <c r="F116" s="27"/>
    </row>
    <row r="117" spans="1:6">
      <c r="A117" s="27" t="s">
        <v>3858</v>
      </c>
      <c r="B117" s="27" t="s">
        <v>4005</v>
      </c>
      <c r="C117" s="42">
        <v>29232</v>
      </c>
      <c r="D117" s="27" t="s">
        <v>3210</v>
      </c>
      <c r="E117" s="27" t="s">
        <v>4006</v>
      </c>
      <c r="F117" s="27"/>
    </row>
    <row r="118" spans="1:6">
      <c r="A118" s="27" t="s">
        <v>3858</v>
      </c>
      <c r="B118" s="27" t="s">
        <v>4007</v>
      </c>
      <c r="C118" s="42">
        <v>29232</v>
      </c>
      <c r="D118" s="27" t="s">
        <v>3210</v>
      </c>
      <c r="E118" s="27" t="s">
        <v>4008</v>
      </c>
      <c r="F118" s="27"/>
    </row>
    <row r="119" spans="1:6">
      <c r="A119" s="27" t="s">
        <v>3858</v>
      </c>
      <c r="B119" s="27" t="s">
        <v>4009</v>
      </c>
      <c r="C119" s="42">
        <v>29232</v>
      </c>
      <c r="D119" s="27" t="s">
        <v>3210</v>
      </c>
      <c r="E119" s="27" t="s">
        <v>3312</v>
      </c>
      <c r="F119" s="27"/>
    </row>
    <row r="120" spans="1:6">
      <c r="A120" s="27" t="s">
        <v>3858</v>
      </c>
      <c r="B120" s="27" t="s">
        <v>4010</v>
      </c>
      <c r="C120" s="42">
        <v>29232</v>
      </c>
      <c r="D120" s="27" t="s">
        <v>3210</v>
      </c>
      <c r="E120" s="27" t="s">
        <v>4011</v>
      </c>
      <c r="F120" s="27"/>
    </row>
    <row r="121" spans="1:6">
      <c r="A121" s="27" t="s">
        <v>3858</v>
      </c>
      <c r="B121" s="27" t="s">
        <v>4012</v>
      </c>
      <c r="C121" s="42">
        <v>29232</v>
      </c>
      <c r="D121" s="27" t="s">
        <v>3210</v>
      </c>
      <c r="E121" s="27" t="s">
        <v>4013</v>
      </c>
      <c r="F121" s="27"/>
    </row>
    <row r="122" spans="1:6">
      <c r="A122" s="27" t="s">
        <v>3858</v>
      </c>
      <c r="B122" s="27" t="s">
        <v>4014</v>
      </c>
      <c r="C122" s="42">
        <v>29232</v>
      </c>
      <c r="D122" s="27" t="s">
        <v>3210</v>
      </c>
      <c r="E122" s="27" t="s">
        <v>4015</v>
      </c>
      <c r="F122" s="27"/>
    </row>
    <row r="123" spans="1:6">
      <c r="A123" s="27" t="s">
        <v>3858</v>
      </c>
      <c r="B123" s="27" t="s">
        <v>4016</v>
      </c>
      <c r="C123" s="42">
        <v>29232</v>
      </c>
      <c r="D123" s="27" t="s">
        <v>3210</v>
      </c>
      <c r="E123" s="27" t="s">
        <v>4017</v>
      </c>
      <c r="F123" s="27"/>
    </row>
    <row r="124" spans="1:6">
      <c r="A124" s="27" t="s">
        <v>3858</v>
      </c>
      <c r="B124" s="27" t="s">
        <v>4018</v>
      </c>
      <c r="C124" s="42" t="s">
        <v>4019</v>
      </c>
      <c r="D124" s="27" t="s">
        <v>3212</v>
      </c>
      <c r="E124" s="27" t="s">
        <v>4020</v>
      </c>
      <c r="F124" s="27"/>
    </row>
    <row r="125" spans="1:6">
      <c r="A125" s="27" t="s">
        <v>3858</v>
      </c>
      <c r="B125" s="213" t="s">
        <v>4021</v>
      </c>
      <c r="C125" s="42"/>
      <c r="F125" s="27"/>
    </row>
    <row r="126" spans="1:6">
      <c r="A126" s="27" t="s">
        <v>3858</v>
      </c>
      <c r="B126" s="27" t="s">
        <v>4022</v>
      </c>
      <c r="C126" s="27" t="s">
        <v>4023</v>
      </c>
      <c r="D126" s="27" t="s">
        <v>4024</v>
      </c>
      <c r="E126" s="27" t="s">
        <v>4025</v>
      </c>
      <c r="F126" s="27"/>
    </row>
    <row r="127" spans="1:6">
      <c r="A127" s="27" t="s">
        <v>3863</v>
      </c>
      <c r="B127" s="214" t="s">
        <v>4026</v>
      </c>
      <c r="C127" s="42"/>
      <c r="E127" s="27" t="s">
        <v>4027</v>
      </c>
      <c r="F127" s="27" t="s">
        <v>4028</v>
      </c>
    </row>
    <row r="128" spans="1:6">
      <c r="A128" s="27" t="s">
        <v>3869</v>
      </c>
      <c r="B128" s="28" t="s">
        <v>4029</v>
      </c>
      <c r="C128" s="28"/>
      <c r="E128" s="27" t="s">
        <v>4030</v>
      </c>
      <c r="F128" s="27"/>
    </row>
    <row r="129" spans="1:6">
      <c r="A129" s="27" t="s">
        <v>3863</v>
      </c>
      <c r="B129" s="215" t="s">
        <v>4031</v>
      </c>
      <c r="C129" s="42"/>
      <c r="F129" s="27" t="s">
        <v>4032</v>
      </c>
    </row>
    <row r="130" spans="1:6">
      <c r="A130" s="27" t="s">
        <v>3858</v>
      </c>
      <c r="B130" s="213" t="s">
        <v>4033</v>
      </c>
      <c r="C130" s="42"/>
      <c r="F130" s="27"/>
    </row>
    <row r="131" spans="1:6">
      <c r="A131" s="27" t="s">
        <v>3858</v>
      </c>
      <c r="B131" s="213" t="s">
        <v>4034</v>
      </c>
      <c r="C131" s="42"/>
      <c r="F131" s="27"/>
    </row>
    <row r="132" spans="1:6">
      <c r="A132" s="27" t="s">
        <v>3858</v>
      </c>
      <c r="B132" s="213" t="s">
        <v>4035</v>
      </c>
      <c r="C132" s="42"/>
      <c r="F132" s="27"/>
    </row>
    <row r="133" spans="1:6">
      <c r="A133" s="27" t="s">
        <v>3858</v>
      </c>
      <c r="B133" s="216" t="s">
        <v>4036</v>
      </c>
      <c r="C133" s="42"/>
      <c r="F133" s="46"/>
    </row>
    <row r="134" spans="1:6">
      <c r="A134" s="27" t="s">
        <v>3858</v>
      </c>
      <c r="B134" s="213" t="s">
        <v>4022</v>
      </c>
      <c r="C134" s="42"/>
      <c r="F134" s="46"/>
    </row>
    <row r="135" spans="1:6" ht="19.5" customHeight="1">
      <c r="A135" s="27" t="s">
        <v>3858</v>
      </c>
      <c r="B135" s="217" t="s">
        <v>4037</v>
      </c>
      <c r="C135" s="42"/>
      <c r="F135" s="27"/>
    </row>
    <row r="136" spans="1:6">
      <c r="A136" s="27" t="s">
        <v>3858</v>
      </c>
      <c r="B136" s="217" t="s">
        <v>4038</v>
      </c>
      <c r="C136" s="42"/>
      <c r="F136" s="27"/>
    </row>
    <row r="137" spans="1:6">
      <c r="A137" s="27" t="s">
        <v>3869</v>
      </c>
      <c r="B137" s="218" t="s">
        <v>4039</v>
      </c>
      <c r="C137" s="42"/>
      <c r="F137" s="46" t="s">
        <v>4040</v>
      </c>
    </row>
    <row r="138" spans="1:6">
      <c r="A138" s="27" t="s">
        <v>3858</v>
      </c>
      <c r="B138" s="213" t="s">
        <v>4041</v>
      </c>
      <c r="C138" s="42"/>
      <c r="F138" s="27"/>
    </row>
    <row r="139" spans="1:6">
      <c r="A139" s="27" t="s">
        <v>3858</v>
      </c>
      <c r="B139" s="269" t="s">
        <v>4042</v>
      </c>
      <c r="C139" s="42"/>
      <c r="F139" s="27"/>
    </row>
    <row r="140" spans="1:6">
      <c r="A140" s="27" t="s">
        <v>3858</v>
      </c>
      <c r="B140" s="217" t="s">
        <v>4043</v>
      </c>
      <c r="C140" s="42"/>
      <c r="F140" s="27"/>
    </row>
    <row r="141" spans="1:6">
      <c r="A141" s="27" t="s">
        <v>3858</v>
      </c>
      <c r="B141" s="217" t="s">
        <v>4044</v>
      </c>
      <c r="C141" s="42"/>
      <c r="F141" s="27"/>
    </row>
    <row r="142" spans="1:6">
      <c r="A142" s="27" t="s">
        <v>3858</v>
      </c>
      <c r="B142" s="217" t="s">
        <v>4045</v>
      </c>
      <c r="C142" s="42"/>
      <c r="F142" s="27"/>
    </row>
    <row r="143" spans="1:6">
      <c r="A143" s="27" t="s">
        <v>3858</v>
      </c>
      <c r="B143" s="217" t="s">
        <v>4046</v>
      </c>
      <c r="C143" s="42"/>
      <c r="F143" s="27"/>
    </row>
    <row r="144" spans="1:6">
      <c r="A144" s="27" t="s">
        <v>3858</v>
      </c>
      <c r="B144" s="219" t="s">
        <v>4047</v>
      </c>
      <c r="C144" s="42"/>
      <c r="F144" s="27"/>
    </row>
    <row r="145" spans="1:7">
      <c r="A145" s="27" t="s">
        <v>3858</v>
      </c>
      <c r="B145" s="220" t="s">
        <v>4048</v>
      </c>
      <c r="C145" s="42"/>
      <c r="F145" s="27"/>
    </row>
    <row r="146" spans="1:7">
      <c r="A146" s="27" t="s">
        <v>3858</v>
      </c>
      <c r="B146" s="221" t="s">
        <v>4049</v>
      </c>
      <c r="C146" s="42"/>
      <c r="F146" s="46"/>
      <c r="G146" s="48"/>
    </row>
    <row r="147" spans="1:7">
      <c r="A147" s="27" t="s">
        <v>3858</v>
      </c>
      <c r="B147" s="221" t="s">
        <v>4050</v>
      </c>
      <c r="C147" s="42"/>
      <c r="F147" s="27"/>
    </row>
    <row r="148" spans="1:7">
      <c r="A148" s="27" t="s">
        <v>3858</v>
      </c>
      <c r="B148" s="222" t="s">
        <v>4051</v>
      </c>
      <c r="C148" s="42"/>
      <c r="F148" s="27"/>
      <c r="G148" s="54"/>
    </row>
    <row r="149" spans="1:7">
      <c r="A149" s="27" t="s">
        <v>3858</v>
      </c>
      <c r="B149" s="222" t="s">
        <v>4052</v>
      </c>
      <c r="C149" s="42"/>
      <c r="F149" s="46"/>
      <c r="G149" s="54"/>
    </row>
    <row r="150" spans="1:7">
      <c r="A150" s="27" t="s">
        <v>3858</v>
      </c>
      <c r="B150" s="223" t="s">
        <v>4053</v>
      </c>
      <c r="C150" s="42"/>
      <c r="F150" s="27"/>
      <c r="G150" s="54"/>
    </row>
    <row r="151" spans="1:7">
      <c r="A151" s="27" t="s">
        <v>3858</v>
      </c>
      <c r="B151" s="222" t="s">
        <v>4054</v>
      </c>
      <c r="C151" s="42"/>
      <c r="F151" s="27"/>
      <c r="G151" s="54"/>
    </row>
    <row r="152" spans="1:7">
      <c r="A152" s="27" t="s">
        <v>3858</v>
      </c>
      <c r="B152" s="221" t="s">
        <v>4055</v>
      </c>
      <c r="C152" s="42"/>
      <c r="F152" s="27"/>
      <c r="G152" s="54"/>
    </row>
    <row r="153" spans="1:7">
      <c r="A153" s="27" t="s">
        <v>3858</v>
      </c>
      <c r="B153" s="213" t="s">
        <v>4056</v>
      </c>
      <c r="C153" s="42"/>
      <c r="F153" s="27"/>
      <c r="G153" s="54"/>
    </row>
    <row r="154" spans="1:7">
      <c r="A154" s="27" t="s">
        <v>3858</v>
      </c>
      <c r="B154" s="217" t="s">
        <v>4057</v>
      </c>
      <c r="C154" s="42"/>
      <c r="F154" s="27"/>
      <c r="G154" s="54"/>
    </row>
    <row r="155" spans="1:7">
      <c r="A155" s="27" t="s">
        <v>3858</v>
      </c>
      <c r="B155" s="217" t="s">
        <v>4058</v>
      </c>
      <c r="C155" s="42"/>
      <c r="F155" s="27"/>
      <c r="G155" s="54"/>
    </row>
    <row r="156" spans="1:7">
      <c r="A156" s="27" t="s">
        <v>3869</v>
      </c>
      <c r="B156" s="224" t="s">
        <v>4059</v>
      </c>
      <c r="C156" s="42"/>
      <c r="F156" s="27" t="s">
        <v>4060</v>
      </c>
    </row>
    <row r="157" spans="1:7">
      <c r="A157" s="27" t="s">
        <v>3858</v>
      </c>
      <c r="B157" s="213" t="s">
        <v>4061</v>
      </c>
      <c r="C157" s="42"/>
      <c r="F157" s="27"/>
    </row>
    <row r="158" spans="1:7">
      <c r="A158" s="27" t="s">
        <v>3858</v>
      </c>
      <c r="B158" s="222" t="s">
        <v>4062</v>
      </c>
      <c r="C158" s="42"/>
      <c r="F158" s="53"/>
      <c r="G158" s="18"/>
    </row>
    <row r="159" spans="1:7">
      <c r="A159" s="27" t="s">
        <v>3858</v>
      </c>
      <c r="B159" s="213" t="s">
        <v>4063</v>
      </c>
      <c r="C159" s="42"/>
      <c r="F159" s="27"/>
    </row>
    <row r="160" spans="1:7">
      <c r="A160" s="27" t="s">
        <v>3858</v>
      </c>
      <c r="B160" s="213" t="s">
        <v>4064</v>
      </c>
      <c r="C160" s="42"/>
      <c r="F160" s="27"/>
    </row>
    <row r="161" spans="1:6">
      <c r="A161" s="27" t="s">
        <v>3858</v>
      </c>
      <c r="B161" s="217" t="s">
        <v>4065</v>
      </c>
      <c r="C161" s="42"/>
      <c r="F161" s="27"/>
    </row>
  </sheetData>
  <autoFilter ref="A2:M222" xr:uid="{9F23D2BD-C01B-4F8C-BCDB-A95CBE61F815}"/>
  <phoneticPr fontId="0" type="noConversion"/>
  <conditionalFormatting sqref="B171:B1048576 B2 B125 B127:B168">
    <cfRule type="duplicateValues" dxfId="1500" priority="9"/>
  </conditionalFormatting>
  <conditionalFormatting sqref="B201:B1048576 B2 B125 B127:B168">
    <cfRule type="duplicateValues" dxfId="1499" priority="10"/>
  </conditionalFormatting>
  <conditionalFormatting sqref="B201:B1048576 B2 B125 B127:B168">
    <cfRule type="duplicateValues" dxfId="1498" priority="11" stopIfTrue="1"/>
  </conditionalFormatting>
  <conditionalFormatting sqref="B201:B1048576 B2 B125 B127:B168">
    <cfRule type="duplicateValues" dxfId="1497" priority="12"/>
  </conditionalFormatting>
  <conditionalFormatting sqref="F142:F143">
    <cfRule type="expression" dxfId="1496" priority="13">
      <formula>$A143="RETOUR ETUDE"</formula>
    </cfRule>
    <cfRule type="expression" dxfId="1495" priority="14">
      <formula>$A143="DOSSIER AFFECTE"</formula>
    </cfRule>
    <cfRule type="expression" dxfId="1494" priority="15">
      <formula>$A143="DOSSIER BLOQUE"</formula>
    </cfRule>
    <cfRule type="expression" dxfId="1493" priority="16">
      <formula>$A143="DOSSIER PAYER"</formula>
    </cfRule>
    <cfRule type="expression" dxfId="1492" priority="17">
      <formula>$A143="DOSSIER FACTURER"</formula>
    </cfRule>
    <cfRule type="expression" dxfId="1491" priority="18">
      <formula>$A143="DOSSIER SOUS SPI"</formula>
    </cfRule>
  </conditionalFormatting>
  <conditionalFormatting sqref="A4">
    <cfRule type="expression" dxfId="1490" priority="8">
      <formula>$A4="Etude Terminé"</formula>
    </cfRule>
  </conditionalFormatting>
  <conditionalFormatting sqref="G53">
    <cfRule type="duplicateValues" dxfId="1489" priority="7"/>
  </conditionalFormatting>
  <conditionalFormatting sqref="B23">
    <cfRule type="expression" dxfId="1488" priority="3">
      <formula>$A23="DOSSIER BLOQUE"</formula>
    </cfRule>
    <cfRule type="expression" dxfId="1487" priority="4">
      <formula>$A23="DOSSIER PAYER"</formula>
    </cfRule>
    <cfRule type="expression" dxfId="1486" priority="6">
      <formula>$A23="DOSSIER SOUS SPI"</formula>
    </cfRule>
  </conditionalFormatting>
  <conditionalFormatting sqref="B23">
    <cfRule type="duplicateValues" dxfId="1485" priority="19"/>
  </conditionalFormatting>
  <conditionalFormatting sqref="B23">
    <cfRule type="duplicateValues" dxfId="1484" priority="20" stopIfTrue="1"/>
  </conditionalFormatting>
  <conditionalFormatting sqref="B23">
    <cfRule type="duplicateValues" dxfId="1483" priority="21"/>
  </conditionalFormatting>
  <conditionalFormatting sqref="C4:F124 A266:A661 B171:F661 B125:F168">
    <cfRule type="expression" dxfId="1482" priority="22">
      <formula>$A4=$G$3</formula>
    </cfRule>
    <cfRule type="expression" dxfId="1481" priority="23">
      <formula>$A4=$G$4</formula>
    </cfRule>
    <cfRule type="expression" dxfId="1480" priority="24">
      <formula>$A4=$G$5</formula>
    </cfRule>
    <cfRule type="expression" dxfId="1479" priority="26">
      <formula>$A4=$G$7</formula>
    </cfRule>
  </conditionalFormatting>
  <conditionalFormatting sqref="C3:F124 B171:F240 A3:A240 B24:B124 B3:B22 B125:F168">
    <cfRule type="expression" dxfId="1478" priority="27">
      <formula>$A3=$G$3</formula>
    </cfRule>
    <cfRule type="expression" dxfId="1477" priority="28">
      <formula>$A3=$G$8</formula>
    </cfRule>
    <cfRule type="expression" dxfId="1476" priority="29">
      <formula>$A3=$G$3</formula>
    </cfRule>
    <cfRule type="expression" dxfId="1475" priority="30">
      <formula>$A3=$G$4</formula>
    </cfRule>
    <cfRule type="expression" dxfId="1474" priority="31">
      <formula>$A3=$G$5</formula>
    </cfRule>
    <cfRule type="expression" dxfId="1473" priority="33">
      <formula>$A3=$G$7</formula>
    </cfRule>
  </conditionalFormatting>
  <conditionalFormatting sqref="C3:F3 B24:B124 B3:B22">
    <cfRule type="expression" dxfId="1472" priority="34">
      <formula>$A3=$G$3</formula>
    </cfRule>
    <cfRule type="expression" dxfId="1471" priority="35">
      <formula>$A3=$G$8</formula>
    </cfRule>
    <cfRule type="expression" dxfId="1470" priority="36">
      <formula>$A3=$G$3</formula>
    </cfRule>
    <cfRule type="expression" dxfId="1469" priority="37">
      <formula>$A3=$G$4</formula>
    </cfRule>
    <cfRule type="expression" dxfId="1468" priority="38">
      <formula>$A3=$G$5</formula>
    </cfRule>
    <cfRule type="expression" dxfId="1467" priority="40">
      <formula>$A3=$G$7</formula>
    </cfRule>
  </conditionalFormatting>
  <conditionalFormatting sqref="A3:F1001">
    <cfRule type="expression" dxfId="1466" priority="32">
      <formula>$A3=$G$6</formula>
    </cfRule>
  </conditionalFormatting>
  <dataValidations count="2">
    <dataValidation type="list" allowBlank="1" showInputMessage="1" showErrorMessage="1" sqref="A207:A1048576" xr:uid="{7C79F024-C2C7-4E2A-B19E-7B4109B1CF87}">
      <formula1>"PRE ÉTUDE A FAIRE,VT A FAIRE,RETOUR VT,DOSSIER A REPRENDRE,DOSSIER A MONTER,POI EN TRAVAUX,POI EN FACTU"</formula1>
    </dataValidation>
    <dataValidation type="list" allowBlank="1" showInputMessage="1" showErrorMessage="1" sqref="A3:A206" xr:uid="{90114976-5F65-44D2-B0B2-501143CCEE2C}">
      <formula1>$G$3:$G$8</formula1>
    </dataValidation>
  </dataValidations>
  <hyperlinks>
    <hyperlink ref="B124" r:id="rId1" xr:uid="{5ADBE9D9-DFA5-457A-878A-A274D146EE82}"/>
    <hyperlink ref="B50" r:id="rId2" xr:uid="{636C3022-FF1D-433E-92A8-0DF575685855}"/>
    <hyperlink ref="B12" r:id="rId3" xr:uid="{DD809E21-A651-4DDA-B8C6-174118648EA7}"/>
    <hyperlink ref="B11" r:id="rId4" xr:uid="{8B9A0310-013E-4CC7-B6DA-C13EAB625665}"/>
    <hyperlink ref="B68" r:id="rId5" xr:uid="{01F47E03-DEA9-4CDF-8FAF-5EF7D63DBB57}"/>
    <hyperlink ref="B67" r:id="rId6" xr:uid="{EB91B5BD-E061-4F80-AACF-AEFD54B2B3E8}"/>
    <hyperlink ref="B65" r:id="rId7" xr:uid="{BEB650F9-67C0-48D1-99D0-A0C8799D2D36}"/>
    <hyperlink ref="B64" r:id="rId8" xr:uid="{3C3527AF-0F53-43C6-AA32-4BEA8504175E}"/>
    <hyperlink ref="B18" r:id="rId9" xr:uid="{23C5621D-1C1C-4E33-ABF2-96E27B13D925}"/>
    <hyperlink ref="B17" r:id="rId10" xr:uid="{68BC8338-8AD6-47BD-8E80-BCD2038D35EB}"/>
    <hyperlink ref="B60" r:id="rId11" xr:uid="{42391BEE-D19A-47DC-AC99-52BFF113C1C2}"/>
    <hyperlink ref="B49" r:id="rId12" xr:uid="{2EC74D85-D279-49FD-B725-94AD280AF8EF}"/>
    <hyperlink ref="B16" r:id="rId13" xr:uid="{27AA2FEF-1BBF-4EF5-84A1-697E349662CA}"/>
    <hyperlink ref="B9" r:id="rId14" xr:uid="{857B0061-E45F-4649-8E16-74FEC5FCD302}"/>
    <hyperlink ref="B46" r:id="rId15" xr:uid="{78F5B6A1-A487-4245-A96A-E0C15B2F15EA}"/>
    <hyperlink ref="B61" r:id="rId16" xr:uid="{FDB03E7E-648B-42C4-942A-12F3B3094B28}"/>
    <hyperlink ref="B59" r:id="rId17" xr:uid="{1C8BA5F7-7F3D-4935-BC58-1ABAD8CAB9BE}"/>
    <hyperlink ref="B58" r:id="rId18" xr:uid="{312EF3FF-9BF7-4DC6-BA1F-4CAD6D2ACF0F}"/>
    <hyperlink ref="B57" r:id="rId19" xr:uid="{1172D9AC-C4EC-4029-83D1-EE1E04BC4BDB}"/>
    <hyperlink ref="B55" r:id="rId20" xr:uid="{17153F86-9734-4A17-9F53-2D916C69A039}"/>
    <hyperlink ref="B54" r:id="rId21" xr:uid="{B666AFF7-BD05-4EE3-848A-511A4F334C37}"/>
    <hyperlink ref="B53" r:id="rId22" xr:uid="{F12DE802-B4F8-4A9E-A7CE-56F4ABB787BB}"/>
    <hyperlink ref="B52" r:id="rId23" xr:uid="{6B53B58B-E3FE-4931-A65D-D8B7C23E27C5}"/>
    <hyperlink ref="B51" r:id="rId24" xr:uid="{F4A1C866-DF71-40B3-95A5-BF2E7B7C9F17}"/>
    <hyperlink ref="B47" r:id="rId25" xr:uid="{2B0EF304-E2F2-45E7-9427-DC6E6E448B37}"/>
    <hyperlink ref="B48" r:id="rId26" xr:uid="{B893A313-9C70-4548-A870-25C6B4FD5F5D}"/>
    <hyperlink ref="B5" r:id="rId27" xr:uid="{4C992B57-F36E-4F20-8325-B619E306EB99}"/>
    <hyperlink ref="B106" r:id="rId28" xr:uid="{05694DE4-E651-415E-8D03-EC30CE522BA1}"/>
    <hyperlink ref="B78" r:id="rId29" xr:uid="{CF296F5C-74EA-401B-948F-DB6A2310D350}"/>
    <hyperlink ref="B72" r:id="rId30" xr:uid="{CEADD365-915D-46DD-9D51-73C9B317A50A}"/>
    <hyperlink ref="B79" r:id="rId31" xr:uid="{336DC146-5E90-49E3-8120-59FC6D761404}"/>
    <hyperlink ref="B19" r:id="rId32" xr:uid="{10D7F625-D8AB-4FCD-8BD9-B0A185943EC3}"/>
    <hyperlink ref="B29" r:id="rId33" xr:uid="{D74195D0-2AD8-4A1C-B47A-1BBCF9F460AE}"/>
    <hyperlink ref="B90" r:id="rId34" xr:uid="{A47F7406-2485-4D42-B2A0-E8DFDD480D44}"/>
    <hyperlink ref="B66" r:id="rId35" xr:uid="{B60490BA-3A76-4259-BB19-E69E73195BFB}"/>
    <hyperlink ref="B122" r:id="rId36" xr:uid="{B5CAE43E-D112-4ADB-9ECA-0A8E40DA17E1}"/>
    <hyperlink ref="B123" r:id="rId37" xr:uid="{A949F90A-F7AB-4153-9282-690AA5B2BFC8}"/>
    <hyperlink ref="B121" r:id="rId38" xr:uid="{031FCAC3-02DF-4008-94DD-677C3F5DE29E}"/>
    <hyperlink ref="B116" r:id="rId39" xr:uid="{AA719861-003B-4E85-AAD4-CAAB951FD576}"/>
    <hyperlink ref="B108" r:id="rId40" xr:uid="{2F7C3E01-44CA-40A0-8DC6-D0FE9C272689}"/>
    <hyperlink ref="B107" r:id="rId41" xr:uid="{A83980D8-FD9A-46F2-837D-66BF9DF795E8}"/>
    <hyperlink ref="B104" r:id="rId42" xr:uid="{E9C44426-7BCE-46CB-ACEF-92A8F7A0FA85}"/>
    <hyperlink ref="B100" r:id="rId43" xr:uid="{A28D4F3D-E99C-483B-8389-7F8A42AF6E6B}"/>
    <hyperlink ref="B94" r:id="rId44" xr:uid="{2F8FCC5D-CED3-4A1E-8C88-25A9541EDAC2}"/>
    <hyperlink ref="B85" r:id="rId45" xr:uid="{99EF82DA-8E89-428D-98A5-FCB5FABFA41A}"/>
    <hyperlink ref="B56" r:id="rId46" xr:uid="{2618D7F3-7D4A-48E9-8E8D-0927219BA347}"/>
    <hyperlink ref="B91" r:id="rId47" xr:uid="{62840A1F-D33E-4222-9044-A92329403BA6}"/>
    <hyperlink ref="B6" r:id="rId48" xr:uid="{ED414CEE-80E9-43BC-A6AE-7D187B822477}"/>
    <hyperlink ref="B62" r:id="rId49" xr:uid="{D8F483C0-3FB1-42F8-86DF-F116D8D21472}"/>
    <hyperlink ref="B41" r:id="rId50" xr:uid="{7526A216-0EB1-45DF-887B-C4F8AD9A293F}"/>
    <hyperlink ref="B27" r:id="rId51" xr:uid="{2F7FAFF9-C1B5-44F8-8A7D-7B31171F4134}"/>
    <hyperlink ref="B75" r:id="rId52" xr:uid="{36EBBFC3-197B-484C-92A9-40CEEF99481C}"/>
    <hyperlink ref="B99" r:id="rId53" xr:uid="{EE4C7B81-AD3A-4F03-806D-7CAFED5D058D}"/>
    <hyperlink ref="B89" r:id="rId54" xr:uid="{B17B7CB8-DDC1-40E3-A710-944D1155AF1D}"/>
    <hyperlink ref="B93" r:id="rId55" xr:uid="{93E07AF1-1A36-4B9E-8360-AA85806DD463}"/>
    <hyperlink ref="B103" r:id="rId56" xr:uid="{A927A6F3-79AD-455D-A15B-B3DEECCBE61E}"/>
    <hyperlink ref="B92" r:id="rId57" xr:uid="{FF640AFE-A57A-4B9B-B965-3585C55817E6}"/>
    <hyperlink ref="B98" r:id="rId58" xr:uid="{69D007B6-79A1-4092-B08B-CB0901FB4FF6}"/>
    <hyperlink ref="B97" r:id="rId59" xr:uid="{E24D2EDB-8AE7-4107-B680-8FADB6B29CAF}"/>
    <hyperlink ref="B96" r:id="rId60" xr:uid="{C024DA23-B821-416C-97E1-355948EB21D3}"/>
    <hyperlink ref="B105" r:id="rId61" xr:uid="{3A9CA454-0A4E-4E4D-B8B9-98632AC4FB0D}"/>
    <hyperlink ref="B95" r:id="rId62" xr:uid="{65A5CE16-81AF-407C-BA5A-A6533A53F880}"/>
    <hyperlink ref="B102" r:id="rId63" xr:uid="{23A40AF6-F4CD-4829-B7BC-66BAC41C0DA3}"/>
    <hyperlink ref="B120" r:id="rId64" xr:uid="{D3D96EEB-78E7-48F6-8513-171B0256D020}"/>
    <hyperlink ref="B119" r:id="rId65" xr:uid="{931119B1-4092-4740-8DC0-969306178CAC}"/>
    <hyperlink ref="B118" r:id="rId66" xr:uid="{747B2DF1-FA81-498D-B565-D0D88A9397CF}"/>
    <hyperlink ref="B117" r:id="rId67" xr:uid="{1976698D-9CCC-49E6-90C6-8BD85B23A5B6}"/>
    <hyperlink ref="B115" r:id="rId68" xr:uid="{B5F3BA56-A672-4530-BA86-990C8A3E0879}"/>
    <hyperlink ref="B114" r:id="rId69" xr:uid="{E64724C7-1261-43D2-A394-28A326487D31}"/>
    <hyperlink ref="B101" r:id="rId70" xr:uid="{BC022A41-9DD5-4431-8511-4D1CA1ADBE9D}"/>
    <hyperlink ref="B109" r:id="rId71" xr:uid="{946411DF-282C-4C06-BDE5-1343FDC14D43}"/>
    <hyperlink ref="B113" r:id="rId72" xr:uid="{38B35D95-06ED-4EE2-9E73-26A78D5EADC4}"/>
    <hyperlink ref="B111" r:id="rId73" xr:uid="{090E5A9A-CA07-4790-88EF-EA704F5CBC17}"/>
    <hyperlink ref="B112" r:id="rId74" xr:uid="{1D076CB0-1A50-409B-98B8-DA9431657E8E}"/>
    <hyperlink ref="B110" r:id="rId75" xr:uid="{E6A2A81A-D42A-467B-851F-868E90FC26BD}"/>
    <hyperlink ref="B83" r:id="rId76" xr:uid="{6BC23F3C-EB59-41D0-9FAB-C0DCEE99BEF4}"/>
    <hyperlink ref="B80" r:id="rId77" xr:uid="{0C85ED51-8A69-491D-B53B-78AF55BD49D9}"/>
    <hyperlink ref="B88" r:id="rId78" xr:uid="{4BF673F6-BC80-4682-B3AB-7F157819D721}"/>
    <hyperlink ref="B87" r:id="rId79" xr:uid="{D6C08F8E-37C7-4C10-97D8-75544EFCE201}"/>
    <hyperlink ref="B86" r:id="rId80" xr:uid="{355381DF-0BBC-4EC2-9CB5-5ADB93BECD53}"/>
    <hyperlink ref="B84" r:id="rId81" xr:uid="{53833FC1-724C-4011-8A87-487778B24E13}"/>
    <hyperlink ref="B82" r:id="rId82" xr:uid="{248B2F43-8008-4627-8586-C2C6DFBCBCC2}"/>
    <hyperlink ref="B81" r:id="rId83" xr:uid="{DE53AC43-2BF2-4F14-85C4-8D5AEE777364}"/>
    <hyperlink ref="B77" r:id="rId84" xr:uid="{86EC1CDC-B486-4618-A10C-A631778ADDB4}"/>
    <hyperlink ref="B76" r:id="rId85" xr:uid="{97E20C87-18FF-4CA9-991E-A69429B547E7}"/>
    <hyperlink ref="B74" r:id="rId86" xr:uid="{866BD9CA-4EC6-43FB-B29C-9A8EA7863DA8}"/>
    <hyperlink ref="B73" r:id="rId87" xr:uid="{387AEB56-9C62-4A8C-B6A1-A9BEEC643F63}"/>
    <hyperlink ref="B71" r:id="rId88" xr:uid="{31ECA5A1-6064-4C77-B26C-F1A3873F6A8F}"/>
    <hyperlink ref="B69" r:id="rId89" xr:uid="{5B05AB4F-D8E9-4354-AEBE-176DE8A10223}"/>
    <hyperlink ref="B70" r:id="rId90" xr:uid="{01D4C5F2-38DD-4A74-87DF-69923F99F56E}"/>
    <hyperlink ref="B4" r:id="rId91" xr:uid="{031A8774-7365-4F95-A80B-1F43C65877F9}"/>
    <hyperlink ref="B44" r:id="rId92" xr:uid="{8A85B49F-0F31-4BA1-AFC0-714DA4CE15D7}"/>
    <hyperlink ref="B40" r:id="rId93" xr:uid="{50E4EB92-9FB7-43B2-AC79-547829A9B38F}"/>
    <hyperlink ref="B45" r:id="rId94" xr:uid="{BC0A2737-7829-41EF-A5CA-8168509FFFEB}"/>
    <hyperlink ref="B43" r:id="rId95" xr:uid="{B9A7DBB5-F1E2-44F0-BF30-8EAF70DC56F8}"/>
    <hyperlink ref="B42" r:id="rId96" xr:uid="{05C94A95-3B78-4C52-AC06-2159CE8B21C5}"/>
    <hyperlink ref="B39" r:id="rId97" xr:uid="{0FDBDCA9-0B3D-416E-9238-28B930ED50CA}"/>
    <hyperlink ref="B38" r:id="rId98" xr:uid="{3A2ABF1A-8883-4100-B6DB-B674C2CA45E0}"/>
    <hyperlink ref="B37" r:id="rId99" xr:uid="{B0861480-F3F9-48F8-8EB5-33EC9CE8149A}"/>
    <hyperlink ref="B36" r:id="rId100" xr:uid="{B4710512-2471-43B4-A551-8FAF1205EC26}"/>
    <hyperlink ref="B35" r:id="rId101" xr:uid="{8E2F3F94-FA02-4E33-A985-29CEA538EF57}"/>
    <hyperlink ref="B34" r:id="rId102" xr:uid="{245F24FC-79DC-4CF5-98C3-95F48FD4B507}"/>
    <hyperlink ref="B32" r:id="rId103" xr:uid="{34FB3AF1-09B8-493E-ADA8-955FE9FE6503}"/>
    <hyperlink ref="B31" r:id="rId104" xr:uid="{EA021A22-FC76-4616-A043-4D1AE05FE1EC}"/>
    <hyperlink ref="B30" r:id="rId105" xr:uid="{19D7EBC8-C8DC-4B91-A395-55A595AAF68C}"/>
    <hyperlink ref="B33" r:id="rId106" xr:uid="{685FC709-AA2E-48CD-B717-E94AF68FFF69}"/>
    <hyperlink ref="B24" r:id="rId107" xr:uid="{833CF7F7-3C01-4726-9CA3-973E48CEDBE1}"/>
    <hyperlink ref="B25" r:id="rId108" xr:uid="{C19D9840-8509-4942-8D88-F1E210824D21}"/>
    <hyperlink ref="B28" r:id="rId109" xr:uid="{251C8013-D578-455F-91DC-5583065EDC4F}"/>
    <hyperlink ref="B22" r:id="rId110" xr:uid="{D6FE3003-065F-486B-9E1A-EE80FB7E8ED2}"/>
    <hyperlink ref="B26" r:id="rId111" xr:uid="{6507CC45-1EC1-435F-B4D6-4DD5C1E00445}"/>
    <hyperlink ref="B20" r:id="rId112" xr:uid="{32274138-4C03-49C2-9753-C293CF175F89}"/>
    <hyperlink ref="B14" r:id="rId113" xr:uid="{0FBD3302-A802-4FDC-A50A-F5AAF340E568}"/>
    <hyperlink ref="B13" r:id="rId114" xr:uid="{E0F41803-C687-4831-89AF-2303B651CC24}"/>
    <hyperlink ref="B15" r:id="rId115" xr:uid="{E61FA875-6D46-40CC-AEE9-24F6B4522B88}"/>
    <hyperlink ref="B7" r:id="rId116" xr:uid="{7CD049FD-66B0-4EFF-B616-9E3C06AB270B}"/>
    <hyperlink ref="B8" r:id="rId117" xr:uid="{4F83D92E-2B50-4090-B843-26B6D87EF074}"/>
    <hyperlink ref="B126" r:id="rId118" xr:uid="{A66A5E4F-0788-4A10-9EC6-7CE320A6C7D1}"/>
    <hyperlink ref="B10" r:id="rId119" xr:uid="{BC6B9E4B-9EF5-47E1-A24B-D5398D64323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8E037-4276-4F8F-B548-037F6376A969}">
  <sheetPr>
    <tabColor rgb="FFD86DCD"/>
  </sheetPr>
  <dimension ref="A1:L708"/>
  <sheetViews>
    <sheetView workbookViewId="0">
      <pane ySplit="2" topLeftCell="A678" activePane="bottomLeft" state="frozen"/>
      <selection pane="bottomLeft" activeCell="A697" sqref="A697"/>
    </sheetView>
  </sheetViews>
  <sheetFormatPr defaultColWidth="9.140625" defaultRowHeight="15"/>
  <cols>
    <col min="1" max="1" width="37.42578125" style="19" customWidth="1"/>
    <col min="2" max="2" width="36.42578125" style="19" customWidth="1"/>
    <col min="3" max="3" width="39.42578125" style="19" customWidth="1"/>
    <col min="4" max="4" width="41.5703125" style="19" customWidth="1"/>
    <col min="5" max="5" width="19.42578125" style="19" customWidth="1"/>
    <col min="6" max="9" width="9.140625" style="19"/>
    <col min="10" max="10" width="18.42578125" style="19" bestFit="1" customWidth="1"/>
    <col min="11" max="11" width="21.7109375" style="55" bestFit="1" customWidth="1"/>
    <col min="12" max="12" width="11.85546875" style="19" customWidth="1"/>
    <col min="13" max="16384" width="9.140625" style="20"/>
  </cols>
  <sheetData>
    <row r="1" spans="1:12" ht="15.75">
      <c r="A1" s="424" t="s">
        <v>4066</v>
      </c>
      <c r="B1" s="425"/>
      <c r="C1" s="425"/>
      <c r="D1" s="425"/>
      <c r="E1" s="426"/>
      <c r="F1" s="427" t="s">
        <v>4067</v>
      </c>
      <c r="G1" s="427"/>
      <c r="H1" s="427"/>
      <c r="I1" s="427"/>
      <c r="J1" s="427"/>
      <c r="K1" s="427"/>
      <c r="L1" s="427"/>
    </row>
    <row r="2" spans="1:12">
      <c r="A2" s="71" t="s">
        <v>32</v>
      </c>
      <c r="B2" s="71" t="s">
        <v>4068</v>
      </c>
      <c r="C2" s="71" t="s">
        <v>37</v>
      </c>
      <c r="D2" s="71" t="s">
        <v>4069</v>
      </c>
      <c r="E2" s="71" t="s">
        <v>4070</v>
      </c>
      <c r="F2" s="71" t="s">
        <v>4071</v>
      </c>
      <c r="G2" s="71" t="s">
        <v>4072</v>
      </c>
      <c r="H2" s="71" t="s">
        <v>4073</v>
      </c>
      <c r="I2" s="71" t="s">
        <v>4074</v>
      </c>
      <c r="J2" s="71" t="s">
        <v>4075</v>
      </c>
      <c r="K2" s="72" t="s">
        <v>4076</v>
      </c>
      <c r="L2" s="71" t="s">
        <v>4077</v>
      </c>
    </row>
    <row r="3" spans="1:12">
      <c r="A3" s="73" t="s">
        <v>4078</v>
      </c>
      <c r="B3" s="73" t="s">
        <v>4079</v>
      </c>
      <c r="C3" s="73" t="s">
        <v>4080</v>
      </c>
      <c r="D3" s="73" t="s">
        <v>4081</v>
      </c>
      <c r="E3" s="73" t="s">
        <v>4082</v>
      </c>
      <c r="F3" s="74" t="s">
        <v>2976</v>
      </c>
      <c r="G3" s="75" t="s">
        <v>4083</v>
      </c>
      <c r="H3" s="75" t="s">
        <v>4083</v>
      </c>
      <c r="I3" s="75" t="s">
        <v>4083</v>
      </c>
      <c r="J3" s="75" t="s">
        <v>4083</v>
      </c>
      <c r="K3" s="78" t="s">
        <v>4083</v>
      </c>
      <c r="L3" s="75" t="s">
        <v>4083</v>
      </c>
    </row>
    <row r="4" spans="1:12">
      <c r="A4" s="19" t="s">
        <v>4084</v>
      </c>
      <c r="B4" s="19" t="s">
        <v>4085</v>
      </c>
      <c r="C4" s="19" t="s">
        <v>4086</v>
      </c>
      <c r="D4" s="19" t="s">
        <v>4087</v>
      </c>
      <c r="E4" s="19" t="s">
        <v>4088</v>
      </c>
      <c r="F4" s="79" t="s">
        <v>2976</v>
      </c>
      <c r="G4" s="80" t="s">
        <v>4083</v>
      </c>
      <c r="K4" s="55" t="s">
        <v>2976</v>
      </c>
    </row>
    <row r="5" spans="1:12">
      <c r="A5" s="73" t="s">
        <v>4089</v>
      </c>
      <c r="B5" s="73" t="s">
        <v>3418</v>
      </c>
      <c r="C5" s="73" t="s">
        <v>4090</v>
      </c>
      <c r="D5" s="73" t="s">
        <v>4091</v>
      </c>
      <c r="E5" s="73" t="s">
        <v>4092</v>
      </c>
      <c r="F5" s="74" t="s">
        <v>2976</v>
      </c>
      <c r="G5" s="75" t="s">
        <v>4083</v>
      </c>
      <c r="H5" s="73" t="s">
        <v>2976</v>
      </c>
      <c r="I5" s="75" t="s">
        <v>4083</v>
      </c>
      <c r="J5" s="75" t="s">
        <v>4083</v>
      </c>
      <c r="K5" s="78" t="s">
        <v>4083</v>
      </c>
      <c r="L5" s="75" t="s">
        <v>4083</v>
      </c>
    </row>
    <row r="6" spans="1:12">
      <c r="A6" s="73" t="s">
        <v>109</v>
      </c>
      <c r="B6" s="73" t="s">
        <v>4093</v>
      </c>
      <c r="C6" s="73" t="s">
        <v>111</v>
      </c>
      <c r="D6" s="73" t="s">
        <v>4094</v>
      </c>
      <c r="E6" s="73" t="s">
        <v>4095</v>
      </c>
      <c r="F6" s="73" t="s">
        <v>2976</v>
      </c>
      <c r="G6" s="76" t="s">
        <v>2976</v>
      </c>
      <c r="H6" s="73" t="s">
        <v>2976</v>
      </c>
      <c r="I6" s="76" t="s">
        <v>2976</v>
      </c>
      <c r="J6" s="76" t="s">
        <v>2976</v>
      </c>
      <c r="K6" s="77" t="s">
        <v>4083</v>
      </c>
      <c r="L6" s="76" t="s">
        <v>4096</v>
      </c>
    </row>
    <row r="7" spans="1:12">
      <c r="A7" s="73" t="s">
        <v>4097</v>
      </c>
      <c r="B7" s="73" t="s">
        <v>3418</v>
      </c>
      <c r="C7" s="73" t="s">
        <v>4090</v>
      </c>
      <c r="D7" s="73" t="s">
        <v>4098</v>
      </c>
      <c r="E7" s="73" t="s">
        <v>4099</v>
      </c>
      <c r="F7" s="73" t="s">
        <v>2976</v>
      </c>
      <c r="G7" s="76" t="s">
        <v>4083</v>
      </c>
      <c r="H7" s="73" t="s">
        <v>2976</v>
      </c>
      <c r="I7" s="76" t="s">
        <v>4083</v>
      </c>
      <c r="J7" s="76" t="s">
        <v>4083</v>
      </c>
      <c r="K7" s="77" t="s">
        <v>4083</v>
      </c>
      <c r="L7" s="76" t="s">
        <v>4083</v>
      </c>
    </row>
    <row r="8" spans="1:12">
      <c r="A8" s="73" t="s">
        <v>51</v>
      </c>
      <c r="B8" s="73" t="s">
        <v>53</v>
      </c>
      <c r="C8" s="73" t="s">
        <v>54</v>
      </c>
      <c r="D8" s="73" t="s">
        <v>4100</v>
      </c>
      <c r="E8" s="73" t="s">
        <v>4101</v>
      </c>
      <c r="F8" s="73" t="s">
        <v>2976</v>
      </c>
      <c r="G8" s="76" t="s">
        <v>2976</v>
      </c>
      <c r="H8" s="73" t="s">
        <v>4083</v>
      </c>
      <c r="I8" s="76" t="s">
        <v>2976</v>
      </c>
      <c r="J8" s="76" t="s">
        <v>4083</v>
      </c>
      <c r="K8" s="77" t="s">
        <v>4083</v>
      </c>
      <c r="L8" s="76" t="s">
        <v>4083</v>
      </c>
    </row>
    <row r="9" spans="1:12">
      <c r="A9" s="73" t="s">
        <v>4102</v>
      </c>
      <c r="B9" s="73" t="s">
        <v>3300</v>
      </c>
      <c r="C9" s="73" t="s">
        <v>4103</v>
      </c>
      <c r="D9" s="73" t="s">
        <v>4104</v>
      </c>
      <c r="E9" s="73" t="s">
        <v>4105</v>
      </c>
      <c r="F9" s="73" t="s">
        <v>2976</v>
      </c>
      <c r="G9" s="76" t="s">
        <v>4083</v>
      </c>
      <c r="H9" s="73" t="s">
        <v>4083</v>
      </c>
      <c r="I9" s="76" t="s">
        <v>4083</v>
      </c>
      <c r="J9" s="76" t="s">
        <v>4083</v>
      </c>
      <c r="K9" s="77" t="s">
        <v>4083</v>
      </c>
      <c r="L9" s="76" t="s">
        <v>4083</v>
      </c>
    </row>
    <row r="10" spans="1:12">
      <c r="A10" s="73" t="s">
        <v>4106</v>
      </c>
      <c r="B10" s="73" t="s">
        <v>4107</v>
      </c>
      <c r="C10" s="73" t="s">
        <v>4108</v>
      </c>
      <c r="D10" s="73" t="s">
        <v>4109</v>
      </c>
      <c r="E10" s="73" t="s">
        <v>4110</v>
      </c>
      <c r="F10" s="73" t="s">
        <v>2976</v>
      </c>
      <c r="G10" s="76" t="s">
        <v>4083</v>
      </c>
      <c r="H10" s="73" t="s">
        <v>2976</v>
      </c>
      <c r="I10" s="76" t="s">
        <v>4083</v>
      </c>
      <c r="J10" s="76" t="s">
        <v>4083</v>
      </c>
      <c r="K10" s="77" t="s">
        <v>4083</v>
      </c>
      <c r="L10" s="76" t="s">
        <v>2976</v>
      </c>
    </row>
    <row r="11" spans="1:12">
      <c r="A11" s="73" t="s">
        <v>4111</v>
      </c>
      <c r="B11" s="73" t="s">
        <v>737</v>
      </c>
      <c r="C11" s="73" t="s">
        <v>4112</v>
      </c>
      <c r="D11" s="73" t="s">
        <v>4113</v>
      </c>
      <c r="E11" s="73" t="s">
        <v>4114</v>
      </c>
      <c r="F11" s="73" t="s">
        <v>2976</v>
      </c>
      <c r="G11" s="76" t="s">
        <v>4083</v>
      </c>
      <c r="H11" s="73" t="s">
        <v>2976</v>
      </c>
      <c r="I11" s="76" t="s">
        <v>4083</v>
      </c>
      <c r="J11" s="76" t="s">
        <v>4083</v>
      </c>
      <c r="K11" s="77" t="s">
        <v>4083</v>
      </c>
      <c r="L11" s="76" t="s">
        <v>4083</v>
      </c>
    </row>
    <row r="12" spans="1:12">
      <c r="A12" s="73" t="s">
        <v>4115</v>
      </c>
      <c r="B12" s="73" t="s">
        <v>278</v>
      </c>
      <c r="C12" s="73" t="s">
        <v>4116</v>
      </c>
      <c r="D12" s="73" t="s">
        <v>4117</v>
      </c>
      <c r="E12" s="73" t="s">
        <v>4118</v>
      </c>
      <c r="F12" s="73" t="s">
        <v>2976</v>
      </c>
      <c r="G12" s="76" t="s">
        <v>4083</v>
      </c>
      <c r="H12" s="73" t="s">
        <v>2976</v>
      </c>
      <c r="I12" s="76" t="s">
        <v>4083</v>
      </c>
      <c r="J12" s="73" t="s">
        <v>2976</v>
      </c>
      <c r="K12" s="81" t="s">
        <v>2976</v>
      </c>
      <c r="L12" s="73" t="s">
        <v>4119</v>
      </c>
    </row>
    <row r="13" spans="1:12">
      <c r="A13" s="73" t="s">
        <v>4120</v>
      </c>
      <c r="B13" s="73" t="s">
        <v>47</v>
      </c>
      <c r="C13" s="73" t="s">
        <v>4121</v>
      </c>
      <c r="D13" s="73" t="s">
        <v>4122</v>
      </c>
      <c r="E13" s="73" t="s">
        <v>4123</v>
      </c>
      <c r="F13" s="73" t="s">
        <v>2976</v>
      </c>
      <c r="G13" s="76" t="s">
        <v>4083</v>
      </c>
      <c r="H13" s="73" t="s">
        <v>2976</v>
      </c>
      <c r="I13" s="76" t="s">
        <v>4083</v>
      </c>
      <c r="J13" s="76" t="s">
        <v>4083</v>
      </c>
      <c r="K13" s="77" t="s">
        <v>4083</v>
      </c>
      <c r="L13" s="73" t="s">
        <v>4119</v>
      </c>
    </row>
    <row r="14" spans="1:12">
      <c r="A14" s="73" t="s">
        <v>4124</v>
      </c>
      <c r="B14" s="73" t="s">
        <v>3425</v>
      </c>
      <c r="C14" s="73" t="s">
        <v>4125</v>
      </c>
      <c r="D14" s="73" t="s">
        <v>4126</v>
      </c>
      <c r="E14" s="73" t="s">
        <v>4127</v>
      </c>
      <c r="F14" s="73" t="s">
        <v>2976</v>
      </c>
      <c r="G14" s="76" t="s">
        <v>4083</v>
      </c>
      <c r="H14" s="73" t="s">
        <v>2976</v>
      </c>
      <c r="I14" s="76" t="s">
        <v>4083</v>
      </c>
      <c r="J14" s="76" t="s">
        <v>4083</v>
      </c>
      <c r="K14" s="77" t="s">
        <v>4083</v>
      </c>
      <c r="L14" s="76" t="s">
        <v>4083</v>
      </c>
    </row>
    <row r="15" spans="1:12">
      <c r="A15" s="73" t="s">
        <v>4128</v>
      </c>
      <c r="B15" s="73" t="s">
        <v>4129</v>
      </c>
      <c r="C15" s="73" t="s">
        <v>3344</v>
      </c>
      <c r="D15" s="73" t="s">
        <v>4130</v>
      </c>
      <c r="E15" s="73" t="s">
        <v>4131</v>
      </c>
      <c r="F15" s="73" t="s">
        <v>2976</v>
      </c>
      <c r="G15" s="76" t="s">
        <v>4083</v>
      </c>
      <c r="H15" s="73" t="s">
        <v>2976</v>
      </c>
      <c r="I15" s="73" t="s">
        <v>2976</v>
      </c>
      <c r="J15" s="76" t="s">
        <v>4083</v>
      </c>
      <c r="K15" s="77" t="s">
        <v>4083</v>
      </c>
      <c r="L15" s="73" t="s">
        <v>4119</v>
      </c>
    </row>
    <row r="16" spans="1:12">
      <c r="A16" s="73" t="s">
        <v>4132</v>
      </c>
      <c r="B16" s="73" t="s">
        <v>4133</v>
      </c>
      <c r="C16" s="73" t="s">
        <v>4134</v>
      </c>
      <c r="D16" s="73" t="s">
        <v>4135</v>
      </c>
      <c r="E16" s="73" t="s">
        <v>4136</v>
      </c>
      <c r="F16" s="73" t="s">
        <v>2976</v>
      </c>
      <c r="G16" s="76" t="s">
        <v>4083</v>
      </c>
      <c r="H16" s="76" t="s">
        <v>4083</v>
      </c>
      <c r="I16" s="76" t="s">
        <v>4083</v>
      </c>
      <c r="J16" s="76" t="s">
        <v>4083</v>
      </c>
      <c r="K16" s="77" t="s">
        <v>4083</v>
      </c>
      <c r="L16" s="76" t="s">
        <v>4083</v>
      </c>
    </row>
    <row r="17" spans="1:12">
      <c r="A17" s="73" t="s">
        <v>4137</v>
      </c>
      <c r="B17" s="73" t="s">
        <v>3425</v>
      </c>
      <c r="C17" s="73" t="s">
        <v>4138</v>
      </c>
      <c r="D17" s="73" t="s">
        <v>4139</v>
      </c>
      <c r="E17" s="73" t="s">
        <v>4140</v>
      </c>
      <c r="F17" s="73" t="s">
        <v>2976</v>
      </c>
      <c r="G17" s="82" t="s">
        <v>4083</v>
      </c>
      <c r="H17" s="82" t="s">
        <v>4083</v>
      </c>
      <c r="I17" s="82" t="s">
        <v>4083</v>
      </c>
      <c r="J17" s="82" t="s">
        <v>4083</v>
      </c>
      <c r="K17" s="83" t="s">
        <v>4083</v>
      </c>
      <c r="L17" s="73" t="s">
        <v>2976</v>
      </c>
    </row>
    <row r="18" spans="1:12">
      <c r="A18" s="73" t="s">
        <v>4141</v>
      </c>
      <c r="B18" s="73" t="s">
        <v>3288</v>
      </c>
      <c r="C18" s="73" t="s">
        <v>998</v>
      </c>
      <c r="D18" s="73" t="s">
        <v>4142</v>
      </c>
      <c r="E18" s="73" t="s">
        <v>4143</v>
      </c>
      <c r="F18" s="73" t="s">
        <v>2976</v>
      </c>
      <c r="G18" s="76" t="s">
        <v>4083</v>
      </c>
      <c r="H18" s="76" t="s">
        <v>4144</v>
      </c>
      <c r="I18" s="76" t="s">
        <v>4083</v>
      </c>
      <c r="J18" s="76" t="s">
        <v>4083</v>
      </c>
      <c r="K18" s="77" t="s">
        <v>4083</v>
      </c>
      <c r="L18" s="73" t="s">
        <v>4083</v>
      </c>
    </row>
    <row r="19" spans="1:12">
      <c r="A19" s="73" t="s">
        <v>4145</v>
      </c>
      <c r="B19" s="73" t="s">
        <v>4146</v>
      </c>
      <c r="C19" s="73" t="s">
        <v>4147</v>
      </c>
      <c r="D19" s="73" t="s">
        <v>4148</v>
      </c>
      <c r="E19" s="73" t="s">
        <v>4149</v>
      </c>
      <c r="F19" s="73" t="s">
        <v>2976</v>
      </c>
      <c r="G19" s="76" t="s">
        <v>4083</v>
      </c>
      <c r="H19" s="76" t="s">
        <v>4083</v>
      </c>
      <c r="I19" s="76" t="s">
        <v>4083</v>
      </c>
      <c r="J19" s="76" t="s">
        <v>4083</v>
      </c>
      <c r="K19" s="77" t="s">
        <v>4083</v>
      </c>
      <c r="L19" s="73" t="s">
        <v>4083</v>
      </c>
    </row>
    <row r="20" spans="1:12">
      <c r="A20" s="73" t="s">
        <v>4150</v>
      </c>
      <c r="B20" s="73" t="s">
        <v>4151</v>
      </c>
      <c r="C20" s="73" t="s">
        <v>4152</v>
      </c>
      <c r="D20" s="73" t="s">
        <v>4153</v>
      </c>
      <c r="E20" s="73" t="s">
        <v>4154</v>
      </c>
      <c r="F20" s="73" t="s">
        <v>2976</v>
      </c>
      <c r="G20" s="76" t="s">
        <v>4083</v>
      </c>
      <c r="H20" s="76" t="s">
        <v>4083</v>
      </c>
      <c r="I20" s="76" t="s">
        <v>4083</v>
      </c>
      <c r="J20" s="76" t="s">
        <v>4083</v>
      </c>
      <c r="K20" s="77" t="s">
        <v>4083</v>
      </c>
      <c r="L20" s="73" t="s">
        <v>4083</v>
      </c>
    </row>
    <row r="21" spans="1:12">
      <c r="A21" s="73" t="s">
        <v>4155</v>
      </c>
      <c r="B21" s="73" t="s">
        <v>4156</v>
      </c>
      <c r="C21" s="73" t="s">
        <v>4157</v>
      </c>
      <c r="D21" s="73" t="s">
        <v>4158</v>
      </c>
      <c r="E21" s="73" t="s">
        <v>4159</v>
      </c>
      <c r="F21" s="73" t="s">
        <v>2976</v>
      </c>
      <c r="G21" s="76" t="s">
        <v>2976</v>
      </c>
      <c r="H21" s="76"/>
      <c r="I21" s="76" t="s">
        <v>4083</v>
      </c>
      <c r="J21" s="76" t="s">
        <v>2976</v>
      </c>
      <c r="K21" s="77" t="s">
        <v>4083</v>
      </c>
      <c r="L21" s="73" t="s">
        <v>4083</v>
      </c>
    </row>
    <row r="22" spans="1:12">
      <c r="A22" s="19" t="s">
        <v>4160</v>
      </c>
      <c r="B22" s="19" t="s">
        <v>4161</v>
      </c>
      <c r="C22" s="19" t="s">
        <v>4162</v>
      </c>
      <c r="D22" s="19" t="s">
        <v>4163</v>
      </c>
      <c r="E22" s="19" t="s">
        <v>4164</v>
      </c>
      <c r="F22" s="84" t="s">
        <v>4083</v>
      </c>
      <c r="G22" s="84" t="s">
        <v>4083</v>
      </c>
      <c r="I22" s="84" t="s">
        <v>4083</v>
      </c>
      <c r="J22" s="19" t="s">
        <v>2976</v>
      </c>
      <c r="K22" s="77" t="s">
        <v>4083</v>
      </c>
      <c r="L22" s="84" t="s">
        <v>4083</v>
      </c>
    </row>
    <row r="23" spans="1:12">
      <c r="A23" s="73" t="s">
        <v>4165</v>
      </c>
      <c r="B23" s="73" t="s">
        <v>814</v>
      </c>
      <c r="C23" s="73" t="s">
        <v>4166</v>
      </c>
      <c r="D23" s="73" t="s">
        <v>4167</v>
      </c>
      <c r="E23" s="73" t="s">
        <v>4168</v>
      </c>
      <c r="F23" s="73" t="s">
        <v>2976</v>
      </c>
      <c r="G23" s="73" t="s">
        <v>2976</v>
      </c>
      <c r="H23" s="73" t="s">
        <v>2976</v>
      </c>
      <c r="I23" s="73" t="s">
        <v>2976</v>
      </c>
      <c r="J23" s="73" t="s">
        <v>2976</v>
      </c>
      <c r="K23" s="81" t="s">
        <v>2976</v>
      </c>
      <c r="L23" s="73" t="s">
        <v>2976</v>
      </c>
    </row>
    <row r="24" spans="1:12">
      <c r="A24" s="73" t="s">
        <v>4169</v>
      </c>
      <c r="B24" s="73" t="s">
        <v>759</v>
      </c>
      <c r="C24" s="73" t="s">
        <v>4170</v>
      </c>
      <c r="D24" s="73" t="s">
        <v>4171</v>
      </c>
      <c r="E24" s="73" t="s">
        <v>4172</v>
      </c>
      <c r="F24" s="73" t="s">
        <v>2976</v>
      </c>
      <c r="G24" s="76" t="s">
        <v>4083</v>
      </c>
      <c r="H24" s="73" t="s">
        <v>2976</v>
      </c>
      <c r="I24" s="77" t="s">
        <v>4083</v>
      </c>
      <c r="J24" s="73" t="s">
        <v>2976</v>
      </c>
      <c r="K24" s="77" t="s">
        <v>4083</v>
      </c>
      <c r="L24" s="76" t="s">
        <v>4083</v>
      </c>
    </row>
    <row r="25" spans="1:12">
      <c r="A25" s="19" t="s">
        <v>4173</v>
      </c>
      <c r="B25" s="19" t="s">
        <v>187</v>
      </c>
      <c r="C25" s="19" t="s">
        <v>4174</v>
      </c>
      <c r="D25" s="19" t="s">
        <v>4175</v>
      </c>
      <c r="E25" s="19" t="s">
        <v>4176</v>
      </c>
      <c r="F25" s="73" t="s">
        <v>2976</v>
      </c>
      <c r="G25" s="76" t="s">
        <v>4083</v>
      </c>
      <c r="H25" s="73" t="s">
        <v>2976</v>
      </c>
      <c r="I25" s="76" t="s">
        <v>4083</v>
      </c>
      <c r="K25" s="81" t="s">
        <v>2976</v>
      </c>
      <c r="L25" s="76" t="s">
        <v>4083</v>
      </c>
    </row>
    <row r="26" spans="1:12">
      <c r="A26" s="73" t="s">
        <v>4177</v>
      </c>
      <c r="B26" s="73" t="s">
        <v>4178</v>
      </c>
      <c r="C26" s="73" t="s">
        <v>4179</v>
      </c>
      <c r="D26" s="73" t="s">
        <v>4180</v>
      </c>
      <c r="E26" s="73" t="s">
        <v>4181</v>
      </c>
      <c r="F26" s="73" t="s">
        <v>2976</v>
      </c>
      <c r="G26" s="76" t="s">
        <v>4083</v>
      </c>
      <c r="H26" s="73" t="s">
        <v>2976</v>
      </c>
      <c r="I26" s="77" t="s">
        <v>4083</v>
      </c>
      <c r="J26" s="73" t="s">
        <v>4083</v>
      </c>
      <c r="K26" s="77" t="s">
        <v>2976</v>
      </c>
      <c r="L26" s="76" t="s">
        <v>4083</v>
      </c>
    </row>
    <row r="27" spans="1:12">
      <c r="A27" s="73" t="s">
        <v>4182</v>
      </c>
      <c r="B27" s="73" t="s">
        <v>77</v>
      </c>
      <c r="C27" s="73" t="s">
        <v>4183</v>
      </c>
      <c r="D27" s="73" t="s">
        <v>4184</v>
      </c>
      <c r="E27" s="73" t="s">
        <v>4185</v>
      </c>
      <c r="F27" s="73" t="s">
        <v>2976</v>
      </c>
      <c r="G27" s="76" t="s">
        <v>4083</v>
      </c>
      <c r="H27" s="76" t="s">
        <v>2976</v>
      </c>
      <c r="I27" s="77" t="s">
        <v>4083</v>
      </c>
      <c r="J27" s="73" t="s">
        <v>4083</v>
      </c>
      <c r="K27" s="77" t="s">
        <v>2976</v>
      </c>
      <c r="L27" s="76" t="s">
        <v>2976</v>
      </c>
    </row>
    <row r="28" spans="1:12">
      <c r="A28" s="19" t="s">
        <v>4186</v>
      </c>
      <c r="B28" s="85" t="s">
        <v>4187</v>
      </c>
      <c r="C28" s="19" t="s">
        <v>4188</v>
      </c>
      <c r="D28" s="86" t="s">
        <v>4189</v>
      </c>
      <c r="E28" s="86" t="s">
        <v>4190</v>
      </c>
      <c r="F28" s="87" t="s">
        <v>2976</v>
      </c>
      <c r="G28" s="19" t="s">
        <v>2976</v>
      </c>
      <c r="L28" s="19" t="s">
        <v>2976</v>
      </c>
    </row>
    <row r="29" spans="1:12">
      <c r="A29" s="19" t="s">
        <v>4191</v>
      </c>
      <c r="B29" s="19" t="s">
        <v>1161</v>
      </c>
      <c r="C29" s="55" t="s">
        <v>4192</v>
      </c>
      <c r="D29" s="19" t="s">
        <v>4193</v>
      </c>
      <c r="E29" s="19" t="s">
        <v>4194</v>
      </c>
      <c r="F29" s="88" t="s">
        <v>2976</v>
      </c>
      <c r="G29" s="84" t="s">
        <v>4083</v>
      </c>
      <c r="I29" s="84" t="s">
        <v>4083</v>
      </c>
      <c r="J29" s="84" t="s">
        <v>4083</v>
      </c>
      <c r="K29" s="89" t="s">
        <v>4083</v>
      </c>
      <c r="L29" s="84"/>
    </row>
    <row r="30" spans="1:12">
      <c r="A30" s="73" t="s">
        <v>4195</v>
      </c>
      <c r="B30" s="73" t="s">
        <v>814</v>
      </c>
      <c r="C30" s="73" t="s">
        <v>401</v>
      </c>
      <c r="D30" s="90" t="s">
        <v>4196</v>
      </c>
      <c r="E30" s="91" t="s">
        <v>4197</v>
      </c>
      <c r="F30" s="73" t="s">
        <v>2976</v>
      </c>
      <c r="G30" s="82" t="s">
        <v>4083</v>
      </c>
      <c r="H30" s="73" t="s">
        <v>2976</v>
      </c>
      <c r="I30" s="82" t="s">
        <v>4083</v>
      </c>
      <c r="J30" s="73" t="s">
        <v>2976</v>
      </c>
      <c r="K30" s="83" t="s">
        <v>4083</v>
      </c>
      <c r="L30" s="84" t="s">
        <v>4083</v>
      </c>
    </row>
    <row r="31" spans="1:12" ht="18.75">
      <c r="A31" s="19" t="s">
        <v>4198</v>
      </c>
      <c r="B31" s="19" t="s">
        <v>47</v>
      </c>
      <c r="C31" s="19" t="s">
        <v>4199</v>
      </c>
      <c r="D31" s="19" t="s">
        <v>4200</v>
      </c>
      <c r="E31" s="19" t="s">
        <v>4201</v>
      </c>
      <c r="F31" s="92" t="s">
        <v>4202</v>
      </c>
      <c r="H31" s="92" t="s">
        <v>4202</v>
      </c>
    </row>
    <row r="32" spans="1:12" ht="18.75">
      <c r="A32" s="19" t="s">
        <v>4203</v>
      </c>
      <c r="B32" s="19" t="s">
        <v>304</v>
      </c>
      <c r="C32" s="19" t="s">
        <v>4204</v>
      </c>
      <c r="D32" s="19" t="s">
        <v>4205</v>
      </c>
      <c r="E32" s="19" t="s">
        <v>4206</v>
      </c>
      <c r="F32" s="92" t="s">
        <v>4202</v>
      </c>
    </row>
    <row r="33" spans="1:12">
      <c r="A33" s="73" t="s">
        <v>4207</v>
      </c>
      <c r="B33" s="73" t="s">
        <v>47</v>
      </c>
      <c r="C33" s="73" t="s">
        <v>4208</v>
      </c>
      <c r="D33" s="73" t="s">
        <v>4209</v>
      </c>
      <c r="E33" s="73" t="s">
        <v>4210</v>
      </c>
      <c r="F33" s="73" t="s">
        <v>2976</v>
      </c>
      <c r="G33" s="76" t="s">
        <v>4083</v>
      </c>
      <c r="H33" s="93" t="s">
        <v>2976</v>
      </c>
      <c r="I33" s="77" t="s">
        <v>4083</v>
      </c>
      <c r="J33" s="73" t="s">
        <v>4083</v>
      </c>
      <c r="K33" s="77" t="s">
        <v>4083</v>
      </c>
      <c r="L33" s="76" t="s">
        <v>4083</v>
      </c>
    </row>
    <row r="34" spans="1:12">
      <c r="A34" s="19" t="s">
        <v>4211</v>
      </c>
      <c r="B34" s="19" t="s">
        <v>4212</v>
      </c>
      <c r="C34" s="19" t="s">
        <v>4213</v>
      </c>
      <c r="D34" s="19" t="s">
        <v>4214</v>
      </c>
      <c r="E34" s="19" t="s">
        <v>4215</v>
      </c>
      <c r="F34" s="19" t="s">
        <v>2976</v>
      </c>
      <c r="G34" s="84" t="s">
        <v>4083</v>
      </c>
      <c r="H34" s="84" t="s">
        <v>4083</v>
      </c>
      <c r="I34" s="84" t="s">
        <v>4083</v>
      </c>
      <c r="J34" s="84" t="s">
        <v>4083</v>
      </c>
      <c r="K34" s="89" t="s">
        <v>4083</v>
      </c>
    </row>
    <row r="35" spans="1:12" ht="18.75">
      <c r="A35" s="19" t="s">
        <v>4216</v>
      </c>
      <c r="B35" s="19" t="s">
        <v>4217</v>
      </c>
      <c r="C35" s="19" t="s">
        <v>4218</v>
      </c>
      <c r="D35" s="19" t="s">
        <v>4219</v>
      </c>
      <c r="E35" s="19" t="s">
        <v>4220</v>
      </c>
      <c r="F35" s="19" t="s">
        <v>2976</v>
      </c>
      <c r="G35" s="19" t="s">
        <v>2976</v>
      </c>
      <c r="H35" s="19" t="s">
        <v>2976</v>
      </c>
      <c r="I35" s="19" t="s">
        <v>2976</v>
      </c>
      <c r="J35" s="92" t="s">
        <v>4202</v>
      </c>
      <c r="L35" s="19" t="s">
        <v>2976</v>
      </c>
    </row>
    <row r="36" spans="1:12">
      <c r="A36" s="73" t="s">
        <v>4221</v>
      </c>
      <c r="B36" s="73" t="s">
        <v>804</v>
      </c>
      <c r="C36" s="73" t="s">
        <v>4222</v>
      </c>
      <c r="D36" s="73" t="s">
        <v>4223</v>
      </c>
      <c r="E36" s="73" t="s">
        <v>4224</v>
      </c>
      <c r="F36" s="73" t="s">
        <v>2976</v>
      </c>
      <c r="G36" s="76" t="s">
        <v>4083</v>
      </c>
      <c r="H36" s="76" t="s">
        <v>2976</v>
      </c>
      <c r="I36" s="76" t="s">
        <v>4083</v>
      </c>
      <c r="J36" s="76" t="s">
        <v>4083</v>
      </c>
      <c r="K36" s="81" t="s">
        <v>4083</v>
      </c>
      <c r="L36" s="76" t="s">
        <v>4083</v>
      </c>
    </row>
    <row r="37" spans="1:12">
      <c r="A37" s="19" t="s">
        <v>4225</v>
      </c>
      <c r="B37" s="19" t="s">
        <v>4226</v>
      </c>
      <c r="C37" s="19" t="s">
        <v>4227</v>
      </c>
      <c r="D37" s="19" t="s">
        <v>4228</v>
      </c>
      <c r="E37" s="19" t="s">
        <v>4229</v>
      </c>
      <c r="F37" s="19" t="s">
        <v>2976</v>
      </c>
      <c r="G37" s="84" t="s">
        <v>4083</v>
      </c>
      <c r="I37" s="19" t="s">
        <v>2976</v>
      </c>
      <c r="J37" s="84" t="s">
        <v>4083</v>
      </c>
      <c r="L37" s="84" t="s">
        <v>4083</v>
      </c>
    </row>
    <row r="38" spans="1:12">
      <c r="A38" s="73" t="s">
        <v>4230</v>
      </c>
      <c r="B38" s="73" t="s">
        <v>751</v>
      </c>
      <c r="C38" s="73" t="s">
        <v>4231</v>
      </c>
      <c r="D38" s="73" t="s">
        <v>4232</v>
      </c>
      <c r="E38" s="73" t="s">
        <v>4233</v>
      </c>
      <c r="F38" s="73" t="s">
        <v>2976</v>
      </c>
      <c r="G38" s="76" t="s">
        <v>4083</v>
      </c>
      <c r="H38" s="76" t="s">
        <v>4083</v>
      </c>
      <c r="I38" s="76"/>
      <c r="J38" s="76" t="s">
        <v>4083</v>
      </c>
      <c r="K38" s="81" t="s">
        <v>4083</v>
      </c>
      <c r="L38" s="76"/>
    </row>
    <row r="39" spans="1:12">
      <c r="A39" s="19" t="s">
        <v>4234</v>
      </c>
      <c r="B39" s="19" t="s">
        <v>187</v>
      </c>
      <c r="C39" s="19" t="s">
        <v>4235</v>
      </c>
      <c r="D39" s="19" t="s">
        <v>4236</v>
      </c>
      <c r="E39" s="19" t="s">
        <v>4237</v>
      </c>
      <c r="F39" s="19" t="s">
        <v>2976</v>
      </c>
      <c r="G39" s="84" t="s">
        <v>4083</v>
      </c>
      <c r="H39" s="19" t="s">
        <v>2976</v>
      </c>
      <c r="I39" s="19" t="s">
        <v>2976</v>
      </c>
      <c r="L39" s="19" t="s">
        <v>2976</v>
      </c>
    </row>
    <row r="40" spans="1:12">
      <c r="A40" s="19" t="s">
        <v>4238</v>
      </c>
      <c r="B40" s="19" t="s">
        <v>170</v>
      </c>
      <c r="C40" s="19" t="s">
        <v>4239</v>
      </c>
      <c r="D40" s="19" t="s">
        <v>4240</v>
      </c>
      <c r="E40" s="19" t="s">
        <v>4241</v>
      </c>
      <c r="F40" s="19" t="s">
        <v>2976</v>
      </c>
      <c r="G40" s="94" t="s">
        <v>4083</v>
      </c>
      <c r="H40" s="19" t="s">
        <v>2976</v>
      </c>
      <c r="I40" s="94" t="s">
        <v>4083</v>
      </c>
      <c r="J40" s="94" t="s">
        <v>4083</v>
      </c>
      <c r="K40" s="95" t="s">
        <v>4083</v>
      </c>
      <c r="L40" s="94" t="s">
        <v>4083</v>
      </c>
    </row>
    <row r="41" spans="1:12">
      <c r="A41" s="19" t="s">
        <v>4242</v>
      </c>
      <c r="B41" s="19" t="s">
        <v>4243</v>
      </c>
      <c r="C41" s="19" t="s">
        <v>3388</v>
      </c>
      <c r="D41" s="19" t="s">
        <v>4244</v>
      </c>
      <c r="E41" s="19" t="s">
        <v>4245</v>
      </c>
      <c r="F41" s="19" t="s">
        <v>2976</v>
      </c>
      <c r="G41" s="94" t="s">
        <v>4083</v>
      </c>
      <c r="J41" s="94" t="s">
        <v>4083</v>
      </c>
      <c r="K41" s="55" t="s">
        <v>2976</v>
      </c>
      <c r="L41" s="94" t="s">
        <v>4083</v>
      </c>
    </row>
    <row r="42" spans="1:12">
      <c r="A42" s="19" t="s">
        <v>4246</v>
      </c>
      <c r="B42" s="19" t="s">
        <v>3199</v>
      </c>
      <c r="C42" s="19" t="s">
        <v>4247</v>
      </c>
      <c r="D42" s="19" t="s">
        <v>4248</v>
      </c>
      <c r="E42" s="19" t="s">
        <v>4249</v>
      </c>
      <c r="F42" s="19" t="s">
        <v>2976</v>
      </c>
      <c r="G42" s="19" t="s">
        <v>2976</v>
      </c>
      <c r="H42" s="19" t="s">
        <v>2976</v>
      </c>
      <c r="K42" s="89" t="s">
        <v>4083</v>
      </c>
      <c r="L42" s="94" t="s">
        <v>4083</v>
      </c>
    </row>
    <row r="43" spans="1:12">
      <c r="A43" s="73" t="s">
        <v>4250</v>
      </c>
      <c r="B43" s="73" t="s">
        <v>4251</v>
      </c>
      <c r="C43" s="73" t="s">
        <v>4252</v>
      </c>
      <c r="D43" s="73" t="s">
        <v>4253</v>
      </c>
      <c r="E43" s="73" t="s">
        <v>4254</v>
      </c>
      <c r="F43" s="73" t="s">
        <v>2976</v>
      </c>
      <c r="G43" s="76" t="s">
        <v>4083</v>
      </c>
      <c r="H43" s="76" t="s">
        <v>4083</v>
      </c>
      <c r="I43" s="76" t="s">
        <v>4083</v>
      </c>
      <c r="J43" s="76" t="s">
        <v>4083</v>
      </c>
      <c r="K43" s="81" t="s">
        <v>2976</v>
      </c>
      <c r="L43" s="76" t="s">
        <v>4083</v>
      </c>
    </row>
    <row r="44" spans="1:12" s="97" customFormat="1" ht="15" customHeight="1">
      <c r="A44" s="73" t="s">
        <v>4255</v>
      </c>
      <c r="B44" s="73" t="s">
        <v>4256</v>
      </c>
      <c r="C44" s="73" t="s">
        <v>4257</v>
      </c>
      <c r="D44" s="96" t="s">
        <v>4258</v>
      </c>
      <c r="E44" s="73" t="s">
        <v>4259</v>
      </c>
      <c r="F44" s="73" t="s">
        <v>2976</v>
      </c>
      <c r="G44" s="82" t="s">
        <v>4083</v>
      </c>
      <c r="H44" s="82" t="s">
        <v>4083</v>
      </c>
      <c r="I44" s="82" t="s">
        <v>4083</v>
      </c>
      <c r="J44" s="82" t="s">
        <v>4083</v>
      </c>
      <c r="K44" s="81" t="s">
        <v>2976</v>
      </c>
      <c r="L44" s="76" t="s">
        <v>4083</v>
      </c>
    </row>
    <row r="45" spans="1:12">
      <c r="A45" s="73" t="s">
        <v>4260</v>
      </c>
      <c r="B45" s="73" t="s">
        <v>4261</v>
      </c>
      <c r="C45" s="73" t="s">
        <v>4262</v>
      </c>
      <c r="D45" s="96" t="s">
        <v>4263</v>
      </c>
      <c r="E45" s="73" t="s">
        <v>4264</v>
      </c>
      <c r="F45" s="73" t="s">
        <v>2976</v>
      </c>
      <c r="G45" s="76" t="s">
        <v>2976</v>
      </c>
      <c r="H45" s="76" t="s">
        <v>4083</v>
      </c>
      <c r="I45" s="76"/>
      <c r="J45" s="76" t="s">
        <v>4083</v>
      </c>
      <c r="K45" s="81" t="s">
        <v>4083</v>
      </c>
      <c r="L45" s="76"/>
    </row>
    <row r="46" spans="1:12">
      <c r="A46" s="73" t="s">
        <v>4265</v>
      </c>
      <c r="B46" s="73" t="s">
        <v>4266</v>
      </c>
      <c r="C46" s="73" t="s">
        <v>4267</v>
      </c>
      <c r="D46" s="73" t="s">
        <v>4268</v>
      </c>
      <c r="E46" s="73" t="s">
        <v>4269</v>
      </c>
      <c r="F46" s="73" t="s">
        <v>2976</v>
      </c>
      <c r="G46" s="76" t="s">
        <v>4083</v>
      </c>
      <c r="H46" s="76" t="s">
        <v>2976</v>
      </c>
      <c r="I46" s="76" t="s">
        <v>4083</v>
      </c>
      <c r="J46" s="76" t="s">
        <v>4083</v>
      </c>
      <c r="K46" s="81" t="s">
        <v>4083</v>
      </c>
      <c r="L46" s="76"/>
    </row>
    <row r="47" spans="1:12">
      <c r="A47" s="73" t="s">
        <v>4270</v>
      </c>
      <c r="B47" s="73" t="s">
        <v>3253</v>
      </c>
      <c r="C47" s="73" t="s">
        <v>4271</v>
      </c>
      <c r="D47" s="73" t="s">
        <v>4272</v>
      </c>
      <c r="E47" s="73" t="s">
        <v>4273</v>
      </c>
      <c r="F47" s="73" t="s">
        <v>2976</v>
      </c>
      <c r="G47" s="76"/>
      <c r="H47" s="76"/>
      <c r="I47" s="76"/>
      <c r="J47" s="76"/>
      <c r="K47" s="81"/>
      <c r="L47" s="76" t="s">
        <v>4119</v>
      </c>
    </row>
    <row r="48" spans="1:12">
      <c r="A48" s="73" t="s">
        <v>4274</v>
      </c>
      <c r="B48" s="73" t="s">
        <v>4275</v>
      </c>
      <c r="C48" s="73" t="s">
        <v>4276</v>
      </c>
      <c r="D48" s="73" t="s">
        <v>4277</v>
      </c>
      <c r="E48" s="73" t="s">
        <v>4278</v>
      </c>
      <c r="F48" s="73" t="s">
        <v>2976</v>
      </c>
      <c r="G48" s="76"/>
      <c r="H48" s="76" t="s">
        <v>2976</v>
      </c>
      <c r="I48" s="76"/>
      <c r="J48" s="76"/>
      <c r="K48" s="81"/>
      <c r="L48" s="76"/>
    </row>
    <row r="49" spans="1:12">
      <c r="A49" s="73" t="s">
        <v>4279</v>
      </c>
      <c r="B49" s="73" t="s">
        <v>72</v>
      </c>
      <c r="C49" s="73" t="s">
        <v>4280</v>
      </c>
      <c r="D49" s="96" t="s">
        <v>4281</v>
      </c>
      <c r="E49" s="73" t="s">
        <v>4282</v>
      </c>
      <c r="F49" s="73" t="s">
        <v>2976</v>
      </c>
      <c r="G49" s="76"/>
      <c r="H49" s="98" t="s">
        <v>2976</v>
      </c>
      <c r="I49" s="98" t="s">
        <v>2976</v>
      </c>
      <c r="J49" s="76"/>
      <c r="K49" s="81"/>
      <c r="L49" s="76"/>
    </row>
    <row r="50" spans="1:12">
      <c r="A50" s="19" t="s">
        <v>4283</v>
      </c>
      <c r="B50" s="19" t="s">
        <v>4284</v>
      </c>
      <c r="C50" s="19" t="s">
        <v>839</v>
      </c>
      <c r="D50" s="19" t="s">
        <v>4285</v>
      </c>
      <c r="E50" s="19" t="s">
        <v>4286</v>
      </c>
      <c r="F50" s="19" t="s">
        <v>2976</v>
      </c>
      <c r="H50" s="19" t="s">
        <v>2976</v>
      </c>
      <c r="L50" s="19" t="s">
        <v>2976</v>
      </c>
    </row>
    <row r="51" spans="1:12">
      <c r="A51" s="19" t="s">
        <v>4287</v>
      </c>
      <c r="B51" s="19" t="s">
        <v>4288</v>
      </c>
      <c r="C51" s="19" t="s">
        <v>3344</v>
      </c>
      <c r="D51" s="19" t="s">
        <v>4289</v>
      </c>
      <c r="E51" s="19" t="s">
        <v>4290</v>
      </c>
      <c r="F51" s="19" t="s">
        <v>2976</v>
      </c>
      <c r="H51" s="19" t="s">
        <v>2976</v>
      </c>
      <c r="I51" s="19" t="s">
        <v>2976</v>
      </c>
      <c r="L51" s="19" t="s">
        <v>2976</v>
      </c>
    </row>
    <row r="52" spans="1:12">
      <c r="A52" s="73" t="s">
        <v>4291</v>
      </c>
      <c r="B52" s="73" t="s">
        <v>799</v>
      </c>
      <c r="C52" s="73" t="s">
        <v>798</v>
      </c>
      <c r="D52" s="96" t="s">
        <v>4292</v>
      </c>
      <c r="E52" s="73" t="s">
        <v>4293</v>
      </c>
      <c r="F52" s="73" t="s">
        <v>2976</v>
      </c>
      <c r="G52" s="76" t="s">
        <v>4083</v>
      </c>
      <c r="H52" s="76" t="s">
        <v>2976</v>
      </c>
      <c r="I52" s="76" t="s">
        <v>4083</v>
      </c>
      <c r="J52" s="76" t="s">
        <v>4083</v>
      </c>
      <c r="K52" s="81" t="s">
        <v>4083</v>
      </c>
      <c r="L52" s="76" t="s">
        <v>4083</v>
      </c>
    </row>
    <row r="53" spans="1:12">
      <c r="A53" s="73" t="s">
        <v>4294</v>
      </c>
      <c r="B53" s="73" t="s">
        <v>4295</v>
      </c>
      <c r="C53" s="73" t="s">
        <v>4296</v>
      </c>
      <c r="D53" s="96" t="s">
        <v>4297</v>
      </c>
      <c r="E53" s="73" t="s">
        <v>4298</v>
      </c>
      <c r="F53" s="73" t="s">
        <v>2976</v>
      </c>
      <c r="G53" s="76" t="s">
        <v>4083</v>
      </c>
      <c r="H53" s="76" t="s">
        <v>2976</v>
      </c>
      <c r="I53" s="73" t="s">
        <v>2976</v>
      </c>
      <c r="J53" s="76" t="s">
        <v>4083</v>
      </c>
      <c r="K53" s="81" t="s">
        <v>4083</v>
      </c>
      <c r="L53" s="76" t="s">
        <v>4083</v>
      </c>
    </row>
    <row r="54" spans="1:12" ht="15.75">
      <c r="A54" s="73" t="s">
        <v>690</v>
      </c>
      <c r="B54" s="73" t="s">
        <v>692</v>
      </c>
      <c r="C54" s="73" t="s">
        <v>4299</v>
      </c>
      <c r="D54" s="96" t="s">
        <v>4300</v>
      </c>
      <c r="E54" s="73" t="s">
        <v>4301</v>
      </c>
      <c r="F54" s="73" t="s">
        <v>2976</v>
      </c>
      <c r="G54" s="76" t="s">
        <v>4083</v>
      </c>
      <c r="H54" s="76" t="s">
        <v>4083</v>
      </c>
      <c r="I54" s="76" t="s">
        <v>4083</v>
      </c>
      <c r="J54" s="76" t="s">
        <v>4083</v>
      </c>
      <c r="K54" s="81" t="s">
        <v>4083</v>
      </c>
      <c r="L54" s="76"/>
    </row>
    <row r="55" spans="1:12">
      <c r="A55" s="73" t="s">
        <v>4302</v>
      </c>
      <c r="B55" s="73" t="s">
        <v>96</v>
      </c>
      <c r="C55" s="73" t="s">
        <v>4303</v>
      </c>
      <c r="D55" s="96" t="s">
        <v>4304</v>
      </c>
      <c r="E55" s="73" t="s">
        <v>4305</v>
      </c>
      <c r="F55" s="73" t="s">
        <v>2976</v>
      </c>
      <c r="G55" s="76" t="s">
        <v>4083</v>
      </c>
      <c r="H55" s="76" t="s">
        <v>4083</v>
      </c>
      <c r="I55" s="76" t="s">
        <v>4083</v>
      </c>
      <c r="J55" s="76" t="s">
        <v>4083</v>
      </c>
      <c r="K55" s="81" t="s">
        <v>4083</v>
      </c>
      <c r="L55" s="76"/>
    </row>
    <row r="56" spans="1:12">
      <c r="A56" s="73" t="s">
        <v>1409</v>
      </c>
      <c r="B56" s="73" t="s">
        <v>964</v>
      </c>
      <c r="C56" s="73" t="s">
        <v>965</v>
      </c>
      <c r="D56" s="96" t="s">
        <v>4306</v>
      </c>
      <c r="E56" s="73" t="s">
        <v>4307</v>
      </c>
      <c r="F56" s="73" t="s">
        <v>2976</v>
      </c>
      <c r="G56" s="76" t="s">
        <v>4083</v>
      </c>
      <c r="H56" s="76" t="s">
        <v>4083</v>
      </c>
      <c r="I56" s="76" t="s">
        <v>4083</v>
      </c>
      <c r="J56" s="76" t="s">
        <v>4083</v>
      </c>
      <c r="K56" s="81" t="s">
        <v>4083</v>
      </c>
      <c r="L56" s="76"/>
    </row>
    <row r="57" spans="1:12">
      <c r="A57" s="73" t="s">
        <v>4308</v>
      </c>
      <c r="B57" s="73" t="s">
        <v>1073</v>
      </c>
      <c r="C57" s="73" t="s">
        <v>4309</v>
      </c>
      <c r="D57" s="96" t="s">
        <v>4310</v>
      </c>
      <c r="E57" s="73" t="s">
        <v>4311</v>
      </c>
      <c r="F57" s="73" t="s">
        <v>2976</v>
      </c>
      <c r="G57" s="76" t="s">
        <v>4083</v>
      </c>
      <c r="H57" s="76" t="s">
        <v>2976</v>
      </c>
      <c r="I57" s="76" t="s">
        <v>4083</v>
      </c>
      <c r="J57" s="76" t="s">
        <v>4083</v>
      </c>
      <c r="K57" s="81" t="s">
        <v>4083</v>
      </c>
      <c r="L57" s="76"/>
    </row>
    <row r="58" spans="1:12">
      <c r="A58" s="73" t="s">
        <v>4312</v>
      </c>
      <c r="B58" s="73" t="s">
        <v>4313</v>
      </c>
      <c r="C58" s="73" t="s">
        <v>4314</v>
      </c>
      <c r="D58" s="96" t="s">
        <v>4315</v>
      </c>
      <c r="E58" s="73" t="s">
        <v>4316</v>
      </c>
      <c r="F58" s="73" t="s">
        <v>2976</v>
      </c>
      <c r="G58" s="76" t="s">
        <v>4083</v>
      </c>
      <c r="H58" s="76" t="s">
        <v>4083</v>
      </c>
      <c r="I58" s="76" t="s">
        <v>4083</v>
      </c>
      <c r="J58" s="76" t="s">
        <v>4083</v>
      </c>
      <c r="K58" s="81" t="s">
        <v>4083</v>
      </c>
      <c r="L58" s="76"/>
    </row>
    <row r="59" spans="1:12">
      <c r="A59" s="19" t="s">
        <v>4317</v>
      </c>
      <c r="B59" s="19" t="s">
        <v>4318</v>
      </c>
      <c r="C59" s="19" t="s">
        <v>1068</v>
      </c>
      <c r="D59" s="19" t="s">
        <v>4319</v>
      </c>
      <c r="E59" s="19" t="s">
        <v>4320</v>
      </c>
      <c r="G59" s="94" t="s">
        <v>4083</v>
      </c>
      <c r="H59" s="19" t="s">
        <v>2976</v>
      </c>
      <c r="I59" s="94" t="s">
        <v>4083</v>
      </c>
      <c r="J59" s="94" t="s">
        <v>4083</v>
      </c>
      <c r="K59" s="95" t="s">
        <v>4083</v>
      </c>
    </row>
    <row r="60" spans="1:12" ht="15" customHeight="1">
      <c r="A60" s="19" t="s">
        <v>4321</v>
      </c>
      <c r="B60" s="99" t="s">
        <v>540</v>
      </c>
      <c r="C60" s="99" t="s">
        <v>4322</v>
      </c>
      <c r="D60" s="19" t="s">
        <v>4323</v>
      </c>
      <c r="E60" s="19" t="s">
        <v>4324</v>
      </c>
      <c r="G60" s="94" t="s">
        <v>4083</v>
      </c>
      <c r="H60" s="94"/>
      <c r="I60" s="94" t="s">
        <v>4083</v>
      </c>
      <c r="J60" s="94" t="s">
        <v>4083</v>
      </c>
      <c r="K60" s="95" t="s">
        <v>4083</v>
      </c>
      <c r="L60" s="94" t="s">
        <v>4083</v>
      </c>
    </row>
    <row r="61" spans="1:12">
      <c r="A61" s="73" t="s">
        <v>4325</v>
      </c>
      <c r="B61" s="73" t="s">
        <v>4326</v>
      </c>
      <c r="C61" s="73" t="s">
        <v>903</v>
      </c>
      <c r="D61" s="96" t="s">
        <v>4327</v>
      </c>
      <c r="E61" s="73" t="s">
        <v>4328</v>
      </c>
      <c r="F61" s="73" t="s">
        <v>2976</v>
      </c>
      <c r="G61" s="76" t="s">
        <v>4083</v>
      </c>
      <c r="H61" s="76" t="s">
        <v>4083</v>
      </c>
      <c r="I61" s="76" t="s">
        <v>4083</v>
      </c>
      <c r="J61" s="76" t="s">
        <v>4083</v>
      </c>
      <c r="K61" s="81" t="s">
        <v>4083</v>
      </c>
      <c r="L61" s="76"/>
    </row>
    <row r="62" spans="1:12">
      <c r="A62" s="73" t="s">
        <v>4329</v>
      </c>
      <c r="B62" s="73" t="s">
        <v>4330</v>
      </c>
      <c r="C62" s="73" t="s">
        <v>4331</v>
      </c>
      <c r="D62" s="96" t="s">
        <v>4332</v>
      </c>
      <c r="E62" s="73" t="s">
        <v>4333</v>
      </c>
      <c r="F62" s="73" t="s">
        <v>2976</v>
      </c>
      <c r="G62" s="76" t="s">
        <v>4083</v>
      </c>
      <c r="H62" s="76"/>
      <c r="I62" s="76" t="s">
        <v>4083</v>
      </c>
      <c r="J62" s="76" t="s">
        <v>4083</v>
      </c>
      <c r="K62" s="81" t="s">
        <v>4083</v>
      </c>
      <c r="L62" s="76"/>
    </row>
    <row r="63" spans="1:12">
      <c r="A63" s="19" t="s">
        <v>4334</v>
      </c>
      <c r="B63" s="19" t="s">
        <v>3417</v>
      </c>
      <c r="C63" s="19" t="s">
        <v>4335</v>
      </c>
      <c r="D63" s="19" t="s">
        <v>4336</v>
      </c>
      <c r="E63" s="19" t="s">
        <v>4337</v>
      </c>
      <c r="G63" s="84" t="s">
        <v>4083</v>
      </c>
      <c r="H63" s="84" t="s">
        <v>4083</v>
      </c>
      <c r="I63" s="84"/>
      <c r="J63" s="84" t="s">
        <v>4083</v>
      </c>
      <c r="K63" s="89" t="s">
        <v>4083</v>
      </c>
    </row>
    <row r="64" spans="1:12">
      <c r="A64" s="19" t="s">
        <v>4338</v>
      </c>
      <c r="B64" s="19" t="s">
        <v>692</v>
      </c>
      <c r="C64" s="19" t="s">
        <v>4339</v>
      </c>
      <c r="D64" s="19" t="s">
        <v>4340</v>
      </c>
      <c r="E64" s="19" t="s">
        <v>4341</v>
      </c>
      <c r="G64" s="84" t="s">
        <v>4083</v>
      </c>
      <c r="I64" s="94" t="s">
        <v>4083</v>
      </c>
      <c r="J64" s="84" t="s">
        <v>4083</v>
      </c>
      <c r="K64" s="55" t="s">
        <v>2976</v>
      </c>
    </row>
    <row r="65" spans="1:12">
      <c r="A65" s="73" t="s">
        <v>4342</v>
      </c>
      <c r="B65" s="73" t="s">
        <v>4217</v>
      </c>
      <c r="C65" s="73" t="s">
        <v>4343</v>
      </c>
      <c r="D65" s="73" t="s">
        <v>4344</v>
      </c>
      <c r="E65" s="73" t="s">
        <v>4345</v>
      </c>
      <c r="F65" s="73" t="s">
        <v>2976</v>
      </c>
      <c r="G65" s="76" t="s">
        <v>4083</v>
      </c>
      <c r="H65" s="76"/>
      <c r="I65" s="76" t="s">
        <v>2976</v>
      </c>
      <c r="J65" s="76" t="s">
        <v>2976</v>
      </c>
      <c r="K65" s="77" t="s">
        <v>4083</v>
      </c>
      <c r="L65" s="76" t="s">
        <v>4083</v>
      </c>
    </row>
    <row r="66" spans="1:12">
      <c r="A66" s="19" t="s">
        <v>4346</v>
      </c>
      <c r="B66" s="19" t="s">
        <v>201</v>
      </c>
      <c r="C66" s="19" t="s">
        <v>4347</v>
      </c>
      <c r="D66" s="19" t="s">
        <v>4348</v>
      </c>
      <c r="E66" s="19" t="s">
        <v>4349</v>
      </c>
      <c r="F66" s="19" t="s">
        <v>2976</v>
      </c>
      <c r="G66" s="84" t="s">
        <v>4083</v>
      </c>
      <c r="H66" s="84"/>
      <c r="J66" s="19" t="s">
        <v>2976</v>
      </c>
      <c r="K66" s="89" t="s">
        <v>4083</v>
      </c>
      <c r="L66" s="84" t="s">
        <v>4083</v>
      </c>
    </row>
    <row r="67" spans="1:12">
      <c r="A67" s="19" t="s">
        <v>4350</v>
      </c>
      <c r="B67" s="19" t="s">
        <v>4351</v>
      </c>
      <c r="C67" s="19" t="s">
        <v>4352</v>
      </c>
      <c r="D67" s="19" t="s">
        <v>4353</v>
      </c>
      <c r="E67" s="19" t="s">
        <v>4354</v>
      </c>
      <c r="F67" s="19" t="s">
        <v>2976</v>
      </c>
      <c r="G67" s="84" t="s">
        <v>4083</v>
      </c>
      <c r="H67" s="84" t="s">
        <v>4083</v>
      </c>
      <c r="I67" s="84"/>
      <c r="J67" s="84" t="s">
        <v>4083</v>
      </c>
      <c r="K67" s="89" t="s">
        <v>4083</v>
      </c>
      <c r="L67" s="84" t="s">
        <v>4083</v>
      </c>
    </row>
    <row r="68" spans="1:12">
      <c r="A68" s="19" t="s">
        <v>4355</v>
      </c>
      <c r="B68" s="19" t="s">
        <v>4356</v>
      </c>
      <c r="C68" s="19" t="s">
        <v>4357</v>
      </c>
      <c r="D68" s="19" t="s">
        <v>4358</v>
      </c>
      <c r="E68" s="19" t="s">
        <v>4359</v>
      </c>
      <c r="F68" s="87" t="s">
        <v>2976</v>
      </c>
      <c r="G68" s="84" t="s">
        <v>4083</v>
      </c>
      <c r="H68" s="87" t="s">
        <v>2976</v>
      </c>
      <c r="I68" s="87" t="s">
        <v>2976</v>
      </c>
      <c r="J68" s="84" t="s">
        <v>4083</v>
      </c>
      <c r="K68" s="89" t="s">
        <v>4083</v>
      </c>
      <c r="L68" s="87" t="s">
        <v>4119</v>
      </c>
    </row>
    <row r="69" spans="1:12">
      <c r="A69" s="19" t="s">
        <v>551</v>
      </c>
      <c r="B69" s="19" t="s">
        <v>4360</v>
      </c>
      <c r="C69" s="19" t="s">
        <v>4361</v>
      </c>
      <c r="D69" s="19" t="s">
        <v>4362</v>
      </c>
      <c r="E69" s="19" t="s">
        <v>4363</v>
      </c>
      <c r="F69" s="19" t="s">
        <v>2976</v>
      </c>
      <c r="G69" s="94" t="s">
        <v>4083</v>
      </c>
      <c r="H69" s="94" t="s">
        <v>4083</v>
      </c>
      <c r="I69" s="94" t="s">
        <v>4083</v>
      </c>
      <c r="J69" s="94" t="s">
        <v>4083</v>
      </c>
      <c r="K69" s="95" t="s">
        <v>4083</v>
      </c>
      <c r="L69" s="94" t="s">
        <v>4083</v>
      </c>
    </row>
    <row r="70" spans="1:12">
      <c r="A70" s="73" t="s">
        <v>4364</v>
      </c>
      <c r="B70" s="73" t="s">
        <v>4365</v>
      </c>
      <c r="C70" s="73" t="s">
        <v>4366</v>
      </c>
      <c r="D70" s="73" t="s">
        <v>4367</v>
      </c>
      <c r="E70" s="73" t="s">
        <v>4368</v>
      </c>
      <c r="F70" s="73" t="s">
        <v>2976</v>
      </c>
      <c r="G70" s="76" t="s">
        <v>4083</v>
      </c>
      <c r="H70" s="76" t="s">
        <v>4083</v>
      </c>
      <c r="I70" s="76" t="s">
        <v>4083</v>
      </c>
      <c r="J70" s="76" t="s">
        <v>4083</v>
      </c>
      <c r="K70" s="77" t="s">
        <v>4083</v>
      </c>
      <c r="L70" s="76" t="s">
        <v>4083</v>
      </c>
    </row>
    <row r="71" spans="1:12">
      <c r="A71" s="19" t="s">
        <v>4369</v>
      </c>
      <c r="B71" s="19" t="s">
        <v>4370</v>
      </c>
      <c r="C71" s="19" t="s">
        <v>4371</v>
      </c>
      <c r="D71" s="19" t="s">
        <v>4372</v>
      </c>
      <c r="E71" s="19" t="s">
        <v>4373</v>
      </c>
      <c r="F71" s="19" t="s">
        <v>2976</v>
      </c>
      <c r="G71" s="100" t="s">
        <v>4083</v>
      </c>
      <c r="H71" s="100" t="s">
        <v>4083</v>
      </c>
      <c r="I71" s="100" t="s">
        <v>4083</v>
      </c>
      <c r="J71" s="100" t="s">
        <v>4083</v>
      </c>
      <c r="K71" s="101" t="s">
        <v>4083</v>
      </c>
      <c r="L71" s="100" t="s">
        <v>4083</v>
      </c>
    </row>
    <row r="72" spans="1:12">
      <c r="A72" s="19" t="s">
        <v>4374</v>
      </c>
      <c r="B72" s="19" t="s">
        <v>4375</v>
      </c>
      <c r="C72" s="19" t="s">
        <v>4376</v>
      </c>
      <c r="D72" s="102" t="s">
        <v>4377</v>
      </c>
      <c r="E72" s="19" t="s">
        <v>4378</v>
      </c>
      <c r="F72" s="19" t="s">
        <v>2976</v>
      </c>
      <c r="G72" s="19" t="s">
        <v>2976</v>
      </c>
      <c r="I72" s="100" t="s">
        <v>4083</v>
      </c>
      <c r="J72" s="19" t="s">
        <v>2976</v>
      </c>
      <c r="K72" s="101" t="s">
        <v>4083</v>
      </c>
      <c r="L72" s="87" t="s">
        <v>2976</v>
      </c>
    </row>
    <row r="73" spans="1:12">
      <c r="A73" s="19" t="s">
        <v>4379</v>
      </c>
      <c r="B73" s="19" t="s">
        <v>896</v>
      </c>
      <c r="C73" s="19" t="s">
        <v>4380</v>
      </c>
      <c r="D73" s="19" t="s">
        <v>4381</v>
      </c>
      <c r="E73" s="19" t="s">
        <v>4382</v>
      </c>
      <c r="F73" s="19" t="s">
        <v>2976</v>
      </c>
      <c r="G73" s="19" t="s">
        <v>4083</v>
      </c>
      <c r="I73" s="100" t="s">
        <v>4083</v>
      </c>
      <c r="J73" s="100" t="s">
        <v>4083</v>
      </c>
      <c r="K73" s="101" t="s">
        <v>4083</v>
      </c>
      <c r="L73" s="87"/>
    </row>
    <row r="74" spans="1:12">
      <c r="A74" s="19" t="s">
        <v>4383</v>
      </c>
      <c r="B74" s="19" t="s">
        <v>2955</v>
      </c>
      <c r="C74" s="19" t="s">
        <v>4384</v>
      </c>
      <c r="D74" s="19" t="s">
        <v>4385</v>
      </c>
      <c r="E74" s="19" t="s">
        <v>4386</v>
      </c>
      <c r="F74" s="19" t="s">
        <v>2976</v>
      </c>
      <c r="L74" s="87" t="s">
        <v>2976</v>
      </c>
    </row>
    <row r="75" spans="1:12">
      <c r="A75" s="19" t="s">
        <v>4387</v>
      </c>
      <c r="B75" s="19" t="s">
        <v>4388</v>
      </c>
      <c r="C75" s="19" t="s">
        <v>4389</v>
      </c>
      <c r="D75" s="19" t="s">
        <v>4390</v>
      </c>
      <c r="E75" s="19" t="s">
        <v>4391</v>
      </c>
      <c r="F75" s="19" t="s">
        <v>2976</v>
      </c>
      <c r="G75" s="94" t="s">
        <v>4083</v>
      </c>
      <c r="H75" s="94" t="s">
        <v>4083</v>
      </c>
      <c r="I75" s="94" t="s">
        <v>4083</v>
      </c>
      <c r="J75" s="94" t="s">
        <v>4083</v>
      </c>
      <c r="K75" s="95" t="s">
        <v>4083</v>
      </c>
      <c r="L75" s="94" t="s">
        <v>4083</v>
      </c>
    </row>
    <row r="76" spans="1:12">
      <c r="A76" s="19" t="s">
        <v>4387</v>
      </c>
      <c r="B76" s="19" t="s">
        <v>4388</v>
      </c>
      <c r="C76" s="19" t="s">
        <v>4389</v>
      </c>
      <c r="D76" s="19" t="s">
        <v>4392</v>
      </c>
      <c r="E76" s="19" t="s">
        <v>4393</v>
      </c>
      <c r="F76" s="19" t="s">
        <v>2976</v>
      </c>
      <c r="G76" s="94" t="s">
        <v>4083</v>
      </c>
      <c r="H76" s="94" t="s">
        <v>4083</v>
      </c>
      <c r="I76" s="94" t="s">
        <v>4083</v>
      </c>
      <c r="J76" s="94" t="s">
        <v>4083</v>
      </c>
      <c r="K76" s="95" t="s">
        <v>4083</v>
      </c>
      <c r="L76" s="94" t="s">
        <v>4083</v>
      </c>
    </row>
    <row r="77" spans="1:12">
      <c r="A77" s="19" t="s">
        <v>4387</v>
      </c>
      <c r="B77" s="19" t="s">
        <v>4388</v>
      </c>
      <c r="C77" s="19" t="s">
        <v>4394</v>
      </c>
      <c r="D77" s="19" t="s">
        <v>4395</v>
      </c>
      <c r="E77" s="19" t="s">
        <v>4396</v>
      </c>
      <c r="F77" s="19" t="s">
        <v>2976</v>
      </c>
      <c r="G77" s="94" t="s">
        <v>4083</v>
      </c>
      <c r="H77" s="94" t="s">
        <v>4083</v>
      </c>
      <c r="I77" s="94" t="s">
        <v>4083</v>
      </c>
      <c r="J77" s="94" t="s">
        <v>4083</v>
      </c>
      <c r="K77" s="95" t="s">
        <v>4083</v>
      </c>
      <c r="L77" s="94" t="s">
        <v>4083</v>
      </c>
    </row>
    <row r="78" spans="1:12">
      <c r="A78" s="19" t="s">
        <v>4397</v>
      </c>
      <c r="B78" s="19" t="s">
        <v>467</v>
      </c>
      <c r="C78" s="19" t="s">
        <v>4398</v>
      </c>
      <c r="D78" s="19" t="s">
        <v>4399</v>
      </c>
      <c r="E78" s="19" t="s">
        <v>4400</v>
      </c>
      <c r="F78" s="19" t="s">
        <v>2976</v>
      </c>
      <c r="H78" s="19" t="s">
        <v>2976</v>
      </c>
    </row>
    <row r="79" spans="1:12">
      <c r="A79" s="19" t="s">
        <v>4387</v>
      </c>
      <c r="B79" s="19" t="s">
        <v>4388</v>
      </c>
      <c r="C79" s="19" t="s">
        <v>4401</v>
      </c>
      <c r="D79" s="19" t="s">
        <v>4402</v>
      </c>
      <c r="E79" s="19" t="s">
        <v>4403</v>
      </c>
      <c r="F79" s="19" t="s">
        <v>2976</v>
      </c>
      <c r="G79" s="94" t="s">
        <v>4083</v>
      </c>
      <c r="H79" s="94" t="s">
        <v>4083</v>
      </c>
      <c r="I79" s="94" t="s">
        <v>4083</v>
      </c>
      <c r="J79" s="94" t="s">
        <v>4083</v>
      </c>
      <c r="K79" s="95" t="s">
        <v>4083</v>
      </c>
      <c r="L79" s="87" t="s">
        <v>4119</v>
      </c>
    </row>
    <row r="80" spans="1:12">
      <c r="A80" s="19" t="s">
        <v>4387</v>
      </c>
      <c r="B80" s="19" t="s">
        <v>4388</v>
      </c>
      <c r="C80" s="19" t="s">
        <v>4404</v>
      </c>
      <c r="D80" s="19" t="s">
        <v>4405</v>
      </c>
      <c r="E80" s="19" t="s">
        <v>4406</v>
      </c>
      <c r="F80" s="19" t="s">
        <v>2976</v>
      </c>
      <c r="G80" s="94" t="s">
        <v>4083</v>
      </c>
      <c r="H80" s="94" t="s">
        <v>4083</v>
      </c>
      <c r="I80" s="94" t="s">
        <v>4083</v>
      </c>
      <c r="J80" s="94" t="s">
        <v>4083</v>
      </c>
      <c r="K80" s="95" t="s">
        <v>4083</v>
      </c>
      <c r="L80" s="94" t="s">
        <v>4083</v>
      </c>
    </row>
    <row r="81" spans="1:12">
      <c r="A81" s="19" t="s">
        <v>4407</v>
      </c>
      <c r="B81" s="19" t="s">
        <v>3331</v>
      </c>
      <c r="C81" s="19" t="s">
        <v>4408</v>
      </c>
      <c r="D81" s="19" t="s">
        <v>4409</v>
      </c>
      <c r="E81" s="19" t="s">
        <v>4410</v>
      </c>
      <c r="F81" s="19" t="s">
        <v>2976</v>
      </c>
      <c r="G81" s="19" t="s">
        <v>2976</v>
      </c>
      <c r="H81" s="19" t="s">
        <v>2976</v>
      </c>
      <c r="J81" s="19" t="s">
        <v>2976</v>
      </c>
      <c r="K81" s="55" t="s">
        <v>2976</v>
      </c>
    </row>
    <row r="82" spans="1:12">
      <c r="A82" s="19" t="s">
        <v>4097</v>
      </c>
      <c r="B82" s="19" t="s">
        <v>4411</v>
      </c>
      <c r="C82" s="19" t="s">
        <v>4412</v>
      </c>
      <c r="D82" s="19" t="s">
        <v>4413</v>
      </c>
      <c r="E82" s="19" t="s">
        <v>4414</v>
      </c>
      <c r="F82" s="87" t="s">
        <v>2976</v>
      </c>
      <c r="G82" s="84" t="s">
        <v>4083</v>
      </c>
      <c r="H82" s="84"/>
      <c r="I82" s="84"/>
      <c r="J82" s="84" t="s">
        <v>4083</v>
      </c>
      <c r="K82" s="89" t="s">
        <v>4083</v>
      </c>
      <c r="L82" s="84"/>
    </row>
    <row r="83" spans="1:12">
      <c r="A83" s="19" t="s">
        <v>2579</v>
      </c>
      <c r="B83" s="19" t="s">
        <v>4415</v>
      </c>
      <c r="C83" s="19" t="s">
        <v>4416</v>
      </c>
      <c r="D83" s="19" t="s">
        <v>4417</v>
      </c>
      <c r="E83" s="19" t="s">
        <v>4418</v>
      </c>
      <c r="F83" s="19" t="s">
        <v>2976</v>
      </c>
      <c r="G83" s="84" t="s">
        <v>4083</v>
      </c>
      <c r="H83" s="84"/>
      <c r="I83" s="84" t="s">
        <v>4083</v>
      </c>
      <c r="J83" s="87" t="s">
        <v>2976</v>
      </c>
      <c r="K83" s="89" t="s">
        <v>4083</v>
      </c>
      <c r="L83" s="87" t="s">
        <v>2976</v>
      </c>
    </row>
    <row r="84" spans="1:12">
      <c r="A84" s="19" t="s">
        <v>4419</v>
      </c>
      <c r="B84" s="19" t="s">
        <v>1260</v>
      </c>
      <c r="C84" s="19" t="s">
        <v>4420</v>
      </c>
      <c r="D84" s="19" t="s">
        <v>4421</v>
      </c>
      <c r="E84" s="19" t="s">
        <v>4422</v>
      </c>
      <c r="F84" s="19" t="s">
        <v>2976</v>
      </c>
      <c r="G84" s="84" t="s">
        <v>4083</v>
      </c>
      <c r="H84" s="87" t="s">
        <v>2976</v>
      </c>
      <c r="I84" s="84" t="s">
        <v>4083</v>
      </c>
      <c r="J84" s="84" t="s">
        <v>4083</v>
      </c>
      <c r="K84" s="89" t="s">
        <v>4083</v>
      </c>
      <c r="L84" s="87"/>
    </row>
    <row r="85" spans="1:12">
      <c r="A85" s="19" t="s">
        <v>4423</v>
      </c>
      <c r="B85" s="19" t="s">
        <v>4424</v>
      </c>
      <c r="C85" s="19" t="s">
        <v>4425</v>
      </c>
      <c r="D85" s="19" t="s">
        <v>4426</v>
      </c>
      <c r="E85" s="19" t="s">
        <v>4427</v>
      </c>
      <c r="F85" s="19" t="s">
        <v>2976</v>
      </c>
      <c r="G85" s="19" t="s">
        <v>2976</v>
      </c>
      <c r="H85" s="19" t="s">
        <v>2976</v>
      </c>
      <c r="J85" s="19" t="s">
        <v>2976</v>
      </c>
      <c r="L85" s="87" t="s">
        <v>2976</v>
      </c>
    </row>
    <row r="86" spans="1:12">
      <c r="A86" s="19" t="s">
        <v>4428</v>
      </c>
      <c r="B86" s="19" t="s">
        <v>4429</v>
      </c>
      <c r="C86" s="19" t="s">
        <v>4430</v>
      </c>
      <c r="D86" s="19" t="s">
        <v>4431</v>
      </c>
      <c r="E86" s="19" t="s">
        <v>4432</v>
      </c>
      <c r="F86" s="19" t="s">
        <v>2976</v>
      </c>
      <c r="K86" s="55" t="s">
        <v>2976</v>
      </c>
      <c r="L86" s="87"/>
    </row>
    <row r="87" spans="1:12">
      <c r="A87" s="19" t="s">
        <v>4433</v>
      </c>
      <c r="B87" s="19" t="s">
        <v>564</v>
      </c>
      <c r="C87" s="19" t="s">
        <v>4434</v>
      </c>
      <c r="D87" s="19" t="s">
        <v>4435</v>
      </c>
      <c r="E87" s="19" t="s">
        <v>4436</v>
      </c>
      <c r="G87" s="84" t="s">
        <v>4083</v>
      </c>
      <c r="H87" s="84" t="s">
        <v>4083</v>
      </c>
      <c r="I87" s="84" t="s">
        <v>4083</v>
      </c>
      <c r="J87" s="84" t="s">
        <v>4083</v>
      </c>
      <c r="K87" s="89" t="s">
        <v>4083</v>
      </c>
      <c r="L87" s="84" t="s">
        <v>4083</v>
      </c>
    </row>
    <row r="88" spans="1:12">
      <c r="A88" s="73" t="s">
        <v>4437</v>
      </c>
      <c r="B88" s="73" t="s">
        <v>2955</v>
      </c>
      <c r="C88" s="73" t="s">
        <v>4438</v>
      </c>
      <c r="D88" s="73" t="s">
        <v>4439</v>
      </c>
      <c r="E88" s="73" t="s">
        <v>4440</v>
      </c>
      <c r="F88" s="73" t="s">
        <v>2976</v>
      </c>
      <c r="G88" s="73" t="s">
        <v>4083</v>
      </c>
      <c r="H88" s="73" t="s">
        <v>2976</v>
      </c>
      <c r="I88" s="73" t="s">
        <v>4083</v>
      </c>
      <c r="J88" s="73" t="s">
        <v>4083</v>
      </c>
      <c r="K88" s="81" t="s">
        <v>4083</v>
      </c>
      <c r="L88" s="73" t="s">
        <v>4083</v>
      </c>
    </row>
    <row r="89" spans="1:12">
      <c r="A89" s="73" t="s">
        <v>4441</v>
      </c>
      <c r="B89" s="73" t="s">
        <v>559</v>
      </c>
      <c r="C89" s="73" t="s">
        <v>4442</v>
      </c>
      <c r="D89" s="73" t="s">
        <v>4443</v>
      </c>
      <c r="E89" s="73" t="s">
        <v>4444</v>
      </c>
      <c r="F89" s="73" t="s">
        <v>2976</v>
      </c>
      <c r="G89" s="73" t="s">
        <v>4083</v>
      </c>
      <c r="H89" s="73" t="s">
        <v>2976</v>
      </c>
      <c r="I89" s="73" t="s">
        <v>2976</v>
      </c>
      <c r="J89" s="73" t="s">
        <v>4083</v>
      </c>
      <c r="K89" s="81" t="s">
        <v>4083</v>
      </c>
      <c r="L89" s="73" t="s">
        <v>4083</v>
      </c>
    </row>
    <row r="90" spans="1:12">
      <c r="A90" s="19" t="s">
        <v>4445</v>
      </c>
      <c r="B90" s="19" t="s">
        <v>2955</v>
      </c>
      <c r="C90" s="19" t="s">
        <v>4438</v>
      </c>
      <c r="D90" s="19" t="s">
        <v>4446</v>
      </c>
      <c r="E90" s="19" t="s">
        <v>4447</v>
      </c>
      <c r="F90" s="19" t="s">
        <v>2976</v>
      </c>
      <c r="H90" s="19" t="s">
        <v>2976</v>
      </c>
    </row>
    <row r="91" spans="1:12">
      <c r="A91" s="19" t="s">
        <v>4448</v>
      </c>
      <c r="D91" s="19" t="s">
        <v>4449</v>
      </c>
      <c r="E91" s="19" t="s">
        <v>4450</v>
      </c>
      <c r="F91" s="19" t="s">
        <v>2976</v>
      </c>
      <c r="H91" s="19" t="s">
        <v>2976</v>
      </c>
      <c r="I91" s="19" t="s">
        <v>2976</v>
      </c>
    </row>
    <row r="92" spans="1:12">
      <c r="A92" s="19" t="s">
        <v>65</v>
      </c>
      <c r="B92" s="19" t="s">
        <v>67</v>
      </c>
      <c r="C92" s="19" t="s">
        <v>167</v>
      </c>
      <c r="D92" s="19" t="s">
        <v>4451</v>
      </c>
      <c r="E92" s="19" t="s">
        <v>4452</v>
      </c>
      <c r="F92" s="19" t="s">
        <v>2976</v>
      </c>
      <c r="G92" s="19" t="s">
        <v>4083</v>
      </c>
      <c r="H92" s="84" t="s">
        <v>4083</v>
      </c>
      <c r="I92" s="84" t="s">
        <v>4083</v>
      </c>
      <c r="J92" s="19" t="s">
        <v>4083</v>
      </c>
      <c r="K92" s="55" t="s">
        <v>4083</v>
      </c>
      <c r="L92" s="19" t="s">
        <v>4083</v>
      </c>
    </row>
    <row r="93" spans="1:12">
      <c r="A93" s="19" t="s">
        <v>4453</v>
      </c>
      <c r="B93" s="19" t="s">
        <v>82</v>
      </c>
      <c r="C93" s="19" t="s">
        <v>4454</v>
      </c>
      <c r="D93" s="19" t="s">
        <v>4455</v>
      </c>
      <c r="E93" s="19" t="s">
        <v>4456</v>
      </c>
      <c r="F93" s="94" t="s">
        <v>4083</v>
      </c>
      <c r="G93" s="94" t="s">
        <v>4083</v>
      </c>
      <c r="H93" s="94" t="s">
        <v>4083</v>
      </c>
      <c r="I93" s="94" t="s">
        <v>4083</v>
      </c>
      <c r="J93" s="94" t="s">
        <v>4083</v>
      </c>
      <c r="K93" s="95" t="s">
        <v>4083</v>
      </c>
      <c r="L93" s="87" t="s">
        <v>2976</v>
      </c>
    </row>
    <row r="94" spans="1:12">
      <c r="A94" s="19" t="s">
        <v>4457</v>
      </c>
      <c r="B94" s="19" t="s">
        <v>4458</v>
      </c>
      <c r="C94" s="19" t="s">
        <v>4459</v>
      </c>
      <c r="D94" s="19" t="s">
        <v>4460</v>
      </c>
      <c r="E94" s="19" t="s">
        <v>4461</v>
      </c>
      <c r="F94" s="19" t="s">
        <v>2976</v>
      </c>
      <c r="G94" s="94" t="s">
        <v>4083</v>
      </c>
      <c r="H94" s="19" t="s">
        <v>2976</v>
      </c>
      <c r="J94" s="19" t="s">
        <v>2976</v>
      </c>
      <c r="K94" s="55" t="s">
        <v>2976</v>
      </c>
      <c r="L94" s="94" t="s">
        <v>4083</v>
      </c>
    </row>
    <row r="95" spans="1:12">
      <c r="A95" s="73" t="s">
        <v>4462</v>
      </c>
      <c r="B95" s="73" t="s">
        <v>4463</v>
      </c>
      <c r="C95" s="73" t="s">
        <v>4464</v>
      </c>
      <c r="D95" s="73" t="s">
        <v>4465</v>
      </c>
      <c r="E95" s="73" t="s">
        <v>4466</v>
      </c>
      <c r="F95" s="73" t="s">
        <v>2976</v>
      </c>
      <c r="G95" s="73" t="s">
        <v>4083</v>
      </c>
      <c r="H95" s="73"/>
      <c r="I95" s="73" t="s">
        <v>4083</v>
      </c>
      <c r="J95" s="73" t="s">
        <v>4083</v>
      </c>
      <c r="K95" s="81" t="s">
        <v>4083</v>
      </c>
      <c r="L95" s="73" t="s">
        <v>4083</v>
      </c>
    </row>
    <row r="96" spans="1:12">
      <c r="A96" s="73" t="s">
        <v>4467</v>
      </c>
      <c r="B96" s="73" t="s">
        <v>467</v>
      </c>
      <c r="C96" s="73" t="s">
        <v>4468</v>
      </c>
      <c r="D96" s="73" t="s">
        <v>4469</v>
      </c>
      <c r="E96" s="73" t="s">
        <v>4470</v>
      </c>
      <c r="F96" s="73" t="s">
        <v>2976</v>
      </c>
      <c r="G96" s="73" t="s">
        <v>4083</v>
      </c>
      <c r="H96" s="73" t="s">
        <v>2976</v>
      </c>
      <c r="I96" s="73"/>
      <c r="J96" s="73" t="s">
        <v>4083</v>
      </c>
      <c r="K96" s="81" t="s">
        <v>2976</v>
      </c>
      <c r="L96" s="73" t="s">
        <v>4083</v>
      </c>
    </row>
    <row r="97" spans="1:12">
      <c r="A97" s="19" t="s">
        <v>4471</v>
      </c>
      <c r="B97" s="19" t="s">
        <v>4472</v>
      </c>
      <c r="C97" s="19" t="s">
        <v>4473</v>
      </c>
      <c r="D97" s="19" t="s">
        <v>4474</v>
      </c>
      <c r="E97" s="19" t="s">
        <v>4475</v>
      </c>
      <c r="F97" s="19" t="s">
        <v>2976</v>
      </c>
      <c r="G97" s="94" t="s">
        <v>4083</v>
      </c>
      <c r="H97" s="94" t="s">
        <v>4083</v>
      </c>
      <c r="I97" s="94"/>
      <c r="J97" s="94" t="s">
        <v>4083</v>
      </c>
      <c r="K97" s="95" t="s">
        <v>4083</v>
      </c>
      <c r="L97" s="94" t="s">
        <v>4083</v>
      </c>
    </row>
    <row r="98" spans="1:12">
      <c r="A98" s="19" t="s">
        <v>4476</v>
      </c>
      <c r="B98" s="19" t="s">
        <v>2955</v>
      </c>
      <c r="C98" s="19" t="s">
        <v>4477</v>
      </c>
      <c r="D98" s="19" t="s">
        <v>4478</v>
      </c>
      <c r="E98" s="19" t="s">
        <v>4479</v>
      </c>
      <c r="F98" s="19" t="s">
        <v>2976</v>
      </c>
      <c r="K98" s="55" t="s">
        <v>2976</v>
      </c>
      <c r="L98" s="19" t="s">
        <v>2976</v>
      </c>
    </row>
    <row r="99" spans="1:12">
      <c r="A99" s="73" t="s">
        <v>4480</v>
      </c>
      <c r="B99" s="73" t="s">
        <v>559</v>
      </c>
      <c r="C99" s="73" t="s">
        <v>4481</v>
      </c>
      <c r="D99" s="73" t="s">
        <v>4482</v>
      </c>
      <c r="E99" s="73" t="s">
        <v>4483</v>
      </c>
      <c r="F99" s="73" t="s">
        <v>2976</v>
      </c>
      <c r="G99" s="73" t="s">
        <v>4083</v>
      </c>
      <c r="H99" s="73"/>
      <c r="I99" s="73" t="s">
        <v>2976</v>
      </c>
      <c r="J99" s="73" t="s">
        <v>4083</v>
      </c>
      <c r="K99" s="81" t="s">
        <v>4083</v>
      </c>
      <c r="L99" s="73" t="s">
        <v>4083</v>
      </c>
    </row>
    <row r="100" spans="1:12">
      <c r="A100" s="19" t="s">
        <v>4484</v>
      </c>
      <c r="B100" s="19" t="s">
        <v>808</v>
      </c>
      <c r="C100" s="19" t="s">
        <v>4485</v>
      </c>
      <c r="D100" s="19" t="s">
        <v>4486</v>
      </c>
      <c r="E100" s="19" t="s">
        <v>4487</v>
      </c>
      <c r="F100" s="94" t="s">
        <v>4083</v>
      </c>
      <c r="G100" s="94" t="s">
        <v>4083</v>
      </c>
      <c r="H100" s="94" t="s">
        <v>4083</v>
      </c>
      <c r="I100" s="94"/>
      <c r="J100" s="94" t="s">
        <v>4083</v>
      </c>
      <c r="K100" s="95" t="s">
        <v>4083</v>
      </c>
      <c r="L100" s="94" t="s">
        <v>4083</v>
      </c>
    </row>
    <row r="101" spans="1:12">
      <c r="A101" s="73" t="s">
        <v>4488</v>
      </c>
      <c r="B101" s="73" t="s">
        <v>531</v>
      </c>
      <c r="C101" s="73" t="s">
        <v>4489</v>
      </c>
      <c r="D101" s="73" t="s">
        <v>4490</v>
      </c>
      <c r="E101" s="73" t="s">
        <v>4491</v>
      </c>
      <c r="F101" s="73" t="s">
        <v>2976</v>
      </c>
      <c r="G101" s="73" t="s">
        <v>4083</v>
      </c>
      <c r="H101" s="73" t="s">
        <v>4083</v>
      </c>
      <c r="I101" s="73" t="s">
        <v>2976</v>
      </c>
      <c r="J101" s="73" t="s">
        <v>4083</v>
      </c>
      <c r="K101" s="81" t="s">
        <v>2976</v>
      </c>
      <c r="L101" s="73" t="s">
        <v>2976</v>
      </c>
    </row>
    <row r="102" spans="1:12">
      <c r="A102" s="19" t="s">
        <v>4492</v>
      </c>
      <c r="B102" s="19" t="s">
        <v>4493</v>
      </c>
      <c r="C102" s="19" t="s">
        <v>4494</v>
      </c>
      <c r="D102" s="19" t="s">
        <v>4495</v>
      </c>
      <c r="E102" s="19" t="s">
        <v>4496</v>
      </c>
      <c r="F102" s="19" t="s">
        <v>2976</v>
      </c>
      <c r="G102" s="94" t="s">
        <v>4083</v>
      </c>
      <c r="H102" s="94"/>
      <c r="I102" s="94" t="s">
        <v>4083</v>
      </c>
      <c r="J102" s="94" t="s">
        <v>4083</v>
      </c>
      <c r="K102" s="95" t="s">
        <v>4083</v>
      </c>
      <c r="L102" s="94" t="s">
        <v>4083</v>
      </c>
    </row>
    <row r="103" spans="1:12">
      <c r="A103" s="19" t="s">
        <v>4497</v>
      </c>
      <c r="B103" s="19" t="s">
        <v>4498</v>
      </c>
      <c r="C103" s="19" t="s">
        <v>4499</v>
      </c>
      <c r="D103" s="19" t="s">
        <v>4500</v>
      </c>
      <c r="E103" s="19" t="s">
        <v>4501</v>
      </c>
    </row>
    <row r="104" spans="1:12">
      <c r="A104" s="19" t="s">
        <v>4502</v>
      </c>
      <c r="B104" s="19" t="s">
        <v>865</v>
      </c>
      <c r="C104" s="19" t="s">
        <v>4503</v>
      </c>
      <c r="D104" s="19" t="s">
        <v>4504</v>
      </c>
      <c r="E104" s="19" t="s">
        <v>4505</v>
      </c>
    </row>
    <row r="105" spans="1:12">
      <c r="A105" s="73" t="s">
        <v>4506</v>
      </c>
      <c r="B105" s="73" t="s">
        <v>1322</v>
      </c>
      <c r="C105" s="73" t="s">
        <v>4507</v>
      </c>
      <c r="D105" s="73" t="s">
        <v>4508</v>
      </c>
      <c r="E105" s="73" t="s">
        <v>4509</v>
      </c>
      <c r="F105" s="73" t="s">
        <v>2976</v>
      </c>
      <c r="G105" s="73" t="s">
        <v>4083</v>
      </c>
      <c r="H105" s="73" t="s">
        <v>2976</v>
      </c>
      <c r="I105" s="73" t="s">
        <v>4083</v>
      </c>
      <c r="J105" s="73" t="s">
        <v>4083</v>
      </c>
      <c r="K105" s="81" t="s">
        <v>4083</v>
      </c>
      <c r="L105" s="73" t="s">
        <v>4083</v>
      </c>
    </row>
    <row r="106" spans="1:12">
      <c r="A106" s="73" t="s">
        <v>4510</v>
      </c>
      <c r="B106" s="73" t="s">
        <v>641</v>
      </c>
      <c r="C106" s="73" t="s">
        <v>4511</v>
      </c>
      <c r="D106" s="73" t="s">
        <v>4512</v>
      </c>
      <c r="E106" s="73" t="s">
        <v>4513</v>
      </c>
      <c r="F106" s="73" t="s">
        <v>2976</v>
      </c>
      <c r="G106" s="73" t="s">
        <v>4083</v>
      </c>
      <c r="H106" s="73" t="s">
        <v>4083</v>
      </c>
      <c r="I106" s="73" t="s">
        <v>4083</v>
      </c>
      <c r="J106" s="73" t="s">
        <v>4083</v>
      </c>
      <c r="K106" s="81" t="s">
        <v>4083</v>
      </c>
      <c r="L106" s="73" t="s">
        <v>2976</v>
      </c>
    </row>
    <row r="107" spans="1:12">
      <c r="A107" s="19" t="s">
        <v>4514</v>
      </c>
      <c r="B107" s="19" t="s">
        <v>4515</v>
      </c>
      <c r="C107" s="19" t="s">
        <v>4516</v>
      </c>
      <c r="D107" s="19" t="s">
        <v>4517</v>
      </c>
      <c r="E107" s="19" t="s">
        <v>4518</v>
      </c>
    </row>
    <row r="108" spans="1:12">
      <c r="A108" s="19" t="s">
        <v>4519</v>
      </c>
      <c r="B108" s="103" t="s">
        <v>747</v>
      </c>
      <c r="C108" s="99" t="s">
        <v>4520</v>
      </c>
      <c r="D108" s="19" t="s">
        <v>4521</v>
      </c>
      <c r="E108" s="19" t="s">
        <v>4522</v>
      </c>
      <c r="F108" s="19" t="s">
        <v>2976</v>
      </c>
      <c r="G108" s="19" t="s">
        <v>4083</v>
      </c>
      <c r="H108" s="19" t="s">
        <v>2976</v>
      </c>
      <c r="I108" s="19" t="s">
        <v>2976</v>
      </c>
      <c r="J108" s="19" t="s">
        <v>2976</v>
      </c>
      <c r="K108" s="55" t="s">
        <v>4083</v>
      </c>
      <c r="L108" s="19" t="s">
        <v>4083</v>
      </c>
    </row>
    <row r="109" spans="1:12">
      <c r="A109" s="19" t="s">
        <v>4523</v>
      </c>
      <c r="B109" s="19" t="s">
        <v>4524</v>
      </c>
      <c r="C109" s="19" t="s">
        <v>4525</v>
      </c>
      <c r="D109" s="19" t="s">
        <v>4526</v>
      </c>
      <c r="E109" s="19" t="s">
        <v>4527</v>
      </c>
      <c r="F109" s="19" t="s">
        <v>2976</v>
      </c>
      <c r="G109" s="19" t="s">
        <v>2976</v>
      </c>
      <c r="H109" s="19" t="s">
        <v>2976</v>
      </c>
    </row>
    <row r="110" spans="1:12">
      <c r="A110" s="19" t="s">
        <v>4528</v>
      </c>
      <c r="B110" s="19" t="s">
        <v>3399</v>
      </c>
      <c r="C110" s="19" t="s">
        <v>4529</v>
      </c>
      <c r="D110" s="19" t="s">
        <v>4530</v>
      </c>
      <c r="E110" s="19" t="s">
        <v>4531</v>
      </c>
      <c r="F110" s="19" t="s">
        <v>2976</v>
      </c>
      <c r="H110" s="19" t="s">
        <v>2976</v>
      </c>
      <c r="I110" s="19" t="s">
        <v>2976</v>
      </c>
      <c r="J110" s="19" t="s">
        <v>2976</v>
      </c>
      <c r="K110" s="55" t="s">
        <v>2976</v>
      </c>
    </row>
    <row r="111" spans="1:12">
      <c r="A111" s="19" t="s">
        <v>4532</v>
      </c>
      <c r="B111" s="19" t="s">
        <v>4533</v>
      </c>
      <c r="C111" s="19" t="s">
        <v>4534</v>
      </c>
      <c r="D111" s="19" t="s">
        <v>4535</v>
      </c>
      <c r="E111" s="19" t="s">
        <v>4536</v>
      </c>
      <c r="F111" s="19" t="s">
        <v>2976</v>
      </c>
      <c r="G111" s="94" t="s">
        <v>4083</v>
      </c>
      <c r="H111" s="94" t="s">
        <v>4083</v>
      </c>
      <c r="I111" s="94"/>
      <c r="J111" s="94" t="s">
        <v>4083</v>
      </c>
      <c r="K111" s="95" t="s">
        <v>4083</v>
      </c>
      <c r="L111" s="19" t="s">
        <v>4083</v>
      </c>
    </row>
    <row r="112" spans="1:12">
      <c r="A112" s="19" t="s">
        <v>860</v>
      </c>
      <c r="B112" s="19" t="s">
        <v>4537</v>
      </c>
      <c r="C112" s="19" t="s">
        <v>4538</v>
      </c>
      <c r="D112" s="19" t="s">
        <v>4539</v>
      </c>
      <c r="E112" s="19" t="s">
        <v>4540</v>
      </c>
      <c r="F112" s="19" t="s">
        <v>2976</v>
      </c>
      <c r="G112" s="94" t="s">
        <v>4083</v>
      </c>
      <c r="H112" s="19" t="s">
        <v>2976</v>
      </c>
      <c r="I112" s="94" t="s">
        <v>4083</v>
      </c>
      <c r="J112" s="94" t="s">
        <v>4083</v>
      </c>
      <c r="K112" s="95" t="s">
        <v>4083</v>
      </c>
      <c r="L112" s="94" t="s">
        <v>4083</v>
      </c>
    </row>
    <row r="113" spans="1:12">
      <c r="A113" s="19" t="s">
        <v>4541</v>
      </c>
      <c r="B113" s="19" t="s">
        <v>4542</v>
      </c>
      <c r="C113" s="19" t="s">
        <v>4543</v>
      </c>
      <c r="D113" s="19" t="s">
        <v>4544</v>
      </c>
      <c r="E113" s="19" t="s">
        <v>4545</v>
      </c>
      <c r="F113" s="19" t="s">
        <v>2976</v>
      </c>
      <c r="G113" s="84" t="s">
        <v>4083</v>
      </c>
      <c r="H113" s="19" t="s">
        <v>2976</v>
      </c>
      <c r="I113" s="94" t="s">
        <v>4083</v>
      </c>
      <c r="J113" s="94" t="s">
        <v>4083</v>
      </c>
      <c r="K113" s="95" t="s">
        <v>4083</v>
      </c>
      <c r="L113" s="19" t="s">
        <v>2976</v>
      </c>
    </row>
    <row r="114" spans="1:12">
      <c r="A114" s="19" t="s">
        <v>4546</v>
      </c>
      <c r="B114" s="19" t="s">
        <v>4429</v>
      </c>
      <c r="C114" s="19" t="s">
        <v>4547</v>
      </c>
      <c r="D114" s="19" t="s">
        <v>4548</v>
      </c>
      <c r="E114" s="19" t="s">
        <v>4549</v>
      </c>
      <c r="F114" s="19" t="s">
        <v>2976</v>
      </c>
      <c r="G114" s="84" t="s">
        <v>4083</v>
      </c>
      <c r="H114" s="19" t="s">
        <v>2976</v>
      </c>
      <c r="I114" s="84" t="s">
        <v>4083</v>
      </c>
      <c r="J114" s="84" t="s">
        <v>4083</v>
      </c>
      <c r="K114" s="89" t="s">
        <v>4083</v>
      </c>
      <c r="L114" s="19" t="s">
        <v>2976</v>
      </c>
    </row>
    <row r="115" spans="1:12">
      <c r="A115" s="19" t="s">
        <v>2933</v>
      </c>
      <c r="B115" s="19" t="s">
        <v>4550</v>
      </c>
      <c r="C115" s="19" t="s">
        <v>4551</v>
      </c>
      <c r="D115" s="19" t="s">
        <v>4552</v>
      </c>
      <c r="E115" s="19" t="s">
        <v>4553</v>
      </c>
      <c r="F115" s="19" t="s">
        <v>2976</v>
      </c>
      <c r="G115" s="84" t="s">
        <v>4083</v>
      </c>
      <c r="H115" s="19" t="s">
        <v>2976</v>
      </c>
      <c r="I115" s="84" t="s">
        <v>4083</v>
      </c>
      <c r="J115" s="84" t="s">
        <v>4083</v>
      </c>
      <c r="K115" s="89" t="s">
        <v>4083</v>
      </c>
      <c r="L115" s="19" t="s">
        <v>2976</v>
      </c>
    </row>
    <row r="116" spans="1:12">
      <c r="A116" s="19" t="s">
        <v>4554</v>
      </c>
      <c r="B116" s="19" t="s">
        <v>4555</v>
      </c>
      <c r="C116" s="19" t="s">
        <v>4556</v>
      </c>
      <c r="D116" s="19" t="s">
        <v>4557</v>
      </c>
      <c r="E116" s="19" t="s">
        <v>4558</v>
      </c>
      <c r="F116" s="19" t="s">
        <v>2976</v>
      </c>
      <c r="G116" s="84" t="s">
        <v>4083</v>
      </c>
      <c r="H116" s="19" t="s">
        <v>2976</v>
      </c>
      <c r="I116" s="84" t="s">
        <v>4083</v>
      </c>
      <c r="J116" s="84" t="s">
        <v>4083</v>
      </c>
      <c r="K116" s="89" t="s">
        <v>4083</v>
      </c>
      <c r="L116" s="84" t="s">
        <v>4083</v>
      </c>
    </row>
    <row r="117" spans="1:12">
      <c r="A117" s="19" t="s">
        <v>4559</v>
      </c>
      <c r="B117" s="19" t="s">
        <v>4560</v>
      </c>
      <c r="D117" s="19" t="s">
        <v>4561</v>
      </c>
      <c r="E117" s="19" t="s">
        <v>4562</v>
      </c>
      <c r="F117" s="19" t="s">
        <v>2976</v>
      </c>
      <c r="G117" s="84" t="s">
        <v>4083</v>
      </c>
      <c r="H117" s="84" t="s">
        <v>4083</v>
      </c>
      <c r="I117" s="84" t="s">
        <v>4083</v>
      </c>
      <c r="J117" s="84" t="s">
        <v>4083</v>
      </c>
      <c r="K117" s="55" t="s">
        <v>2976</v>
      </c>
      <c r="L117" s="84" t="s">
        <v>4083</v>
      </c>
    </row>
    <row r="118" spans="1:12">
      <c r="A118" s="19" t="s">
        <v>593</v>
      </c>
      <c r="B118" s="19" t="s">
        <v>4563</v>
      </c>
      <c r="C118" s="19" t="s">
        <v>4564</v>
      </c>
      <c r="D118" s="19" t="s">
        <v>4565</v>
      </c>
      <c r="E118" s="19" t="s">
        <v>4566</v>
      </c>
      <c r="F118" s="19" t="s">
        <v>2976</v>
      </c>
      <c r="G118" s="84" t="s">
        <v>4083</v>
      </c>
      <c r="H118" s="84" t="s">
        <v>4083</v>
      </c>
      <c r="I118" s="84" t="s">
        <v>4083</v>
      </c>
      <c r="J118" s="84" t="s">
        <v>4083</v>
      </c>
      <c r="K118" s="89" t="s">
        <v>4083</v>
      </c>
      <c r="L118" s="84" t="s">
        <v>4083</v>
      </c>
    </row>
    <row r="119" spans="1:12">
      <c r="A119" s="19" t="s">
        <v>4567</v>
      </c>
      <c r="B119" s="19" t="s">
        <v>4568</v>
      </c>
      <c r="C119" s="19" t="s">
        <v>4569</v>
      </c>
      <c r="D119" s="19" t="s">
        <v>4570</v>
      </c>
      <c r="E119" s="19" t="s">
        <v>4571</v>
      </c>
      <c r="F119" s="19" t="s">
        <v>2976</v>
      </c>
      <c r="H119" s="19" t="s">
        <v>2976</v>
      </c>
      <c r="I119" s="84" t="s">
        <v>4083</v>
      </c>
      <c r="K119" s="89" t="s">
        <v>4083</v>
      </c>
      <c r="L119" s="19" t="s">
        <v>2976</v>
      </c>
    </row>
    <row r="120" spans="1:12">
      <c r="A120" s="19" t="s">
        <v>4572</v>
      </c>
      <c r="B120" s="19" t="s">
        <v>4573</v>
      </c>
      <c r="C120" s="19" t="s">
        <v>4574</v>
      </c>
      <c r="D120" s="19" t="s">
        <v>4575</v>
      </c>
      <c r="E120" s="19" t="s">
        <v>4576</v>
      </c>
      <c r="F120" s="19" t="s">
        <v>2976</v>
      </c>
      <c r="G120" s="84" t="s">
        <v>4083</v>
      </c>
      <c r="H120" s="19" t="s">
        <v>2976</v>
      </c>
      <c r="I120" s="84" t="s">
        <v>4083</v>
      </c>
      <c r="J120" s="84" t="s">
        <v>4083</v>
      </c>
      <c r="K120" s="89" t="s">
        <v>4083</v>
      </c>
      <c r="L120" s="84" t="s">
        <v>4083</v>
      </c>
    </row>
    <row r="121" spans="1:12">
      <c r="A121" s="19" t="s">
        <v>4577</v>
      </c>
      <c r="B121" s="19" t="s">
        <v>526</v>
      </c>
      <c r="C121" s="19" t="s">
        <v>4578</v>
      </c>
      <c r="D121" s="19" t="s">
        <v>4579</v>
      </c>
      <c r="E121" s="19" t="s">
        <v>4580</v>
      </c>
      <c r="F121" s="19" t="s">
        <v>2976</v>
      </c>
      <c r="G121" s="84" t="s">
        <v>4083</v>
      </c>
      <c r="H121" s="84" t="s">
        <v>4083</v>
      </c>
      <c r="J121" s="84" t="s">
        <v>4083</v>
      </c>
      <c r="K121" s="55" t="s">
        <v>2976</v>
      </c>
      <c r="L121" s="84" t="s">
        <v>4083</v>
      </c>
    </row>
    <row r="122" spans="1:12">
      <c r="A122" s="19" t="s">
        <v>4581</v>
      </c>
      <c r="B122" s="19" t="s">
        <v>3320</v>
      </c>
      <c r="C122" s="19" t="s">
        <v>4582</v>
      </c>
      <c r="D122" s="19" t="s">
        <v>4583</v>
      </c>
      <c r="E122" s="19" t="s">
        <v>4584</v>
      </c>
      <c r="F122" s="19" t="s">
        <v>2976</v>
      </c>
      <c r="G122" s="84" t="s">
        <v>4083</v>
      </c>
      <c r="H122" s="19" t="s">
        <v>2976</v>
      </c>
      <c r="I122" s="84" t="s">
        <v>4083</v>
      </c>
      <c r="J122" s="84" t="s">
        <v>4083</v>
      </c>
      <c r="K122" s="89" t="s">
        <v>4083</v>
      </c>
      <c r="L122" s="19" t="s">
        <v>2976</v>
      </c>
    </row>
    <row r="123" spans="1:12">
      <c r="A123" s="19" t="s">
        <v>4585</v>
      </c>
      <c r="B123" s="19" t="s">
        <v>4573</v>
      </c>
      <c r="C123" s="19" t="s">
        <v>4586</v>
      </c>
      <c r="D123" s="19" t="s">
        <v>4587</v>
      </c>
      <c r="E123" s="19" t="s">
        <v>4588</v>
      </c>
      <c r="F123" s="19" t="s">
        <v>2976</v>
      </c>
      <c r="G123" s="84" t="s">
        <v>4083</v>
      </c>
      <c r="H123" s="84" t="s">
        <v>4083</v>
      </c>
      <c r="I123" s="84" t="s">
        <v>4083</v>
      </c>
      <c r="J123" s="84" t="s">
        <v>4083</v>
      </c>
      <c r="K123" s="89" t="s">
        <v>4083</v>
      </c>
      <c r="L123" s="84" t="s">
        <v>4083</v>
      </c>
    </row>
    <row r="124" spans="1:12">
      <c r="A124" s="19" t="s">
        <v>4589</v>
      </c>
      <c r="B124" s="99" t="s">
        <v>4590</v>
      </c>
      <c r="C124" s="19" t="s">
        <v>4591</v>
      </c>
      <c r="D124" s="19" t="s">
        <v>4592</v>
      </c>
      <c r="E124" s="19" t="s">
        <v>4593</v>
      </c>
      <c r="F124" s="19" t="s">
        <v>2976</v>
      </c>
      <c r="G124" s="84" t="s">
        <v>4083</v>
      </c>
      <c r="H124" s="84" t="s">
        <v>4083</v>
      </c>
      <c r="I124" s="84" t="s">
        <v>4083</v>
      </c>
      <c r="J124" s="84" t="s">
        <v>4083</v>
      </c>
      <c r="K124" s="55" t="s">
        <v>2976</v>
      </c>
      <c r="L124" s="84" t="s">
        <v>4083</v>
      </c>
    </row>
    <row r="125" spans="1:12">
      <c r="A125" s="19" t="s">
        <v>4594</v>
      </c>
      <c r="B125" s="99" t="s">
        <v>4590</v>
      </c>
      <c r="C125" s="19" t="s">
        <v>4595</v>
      </c>
      <c r="D125" s="19" t="s">
        <v>4596</v>
      </c>
      <c r="E125" s="19" t="s">
        <v>4597</v>
      </c>
      <c r="F125" s="19" t="s">
        <v>2976</v>
      </c>
      <c r="G125" s="84" t="s">
        <v>4083</v>
      </c>
      <c r="H125" s="84" t="s">
        <v>4083</v>
      </c>
      <c r="I125" s="84" t="s">
        <v>4083</v>
      </c>
      <c r="J125" s="84" t="s">
        <v>4083</v>
      </c>
      <c r="K125" s="89" t="s">
        <v>4083</v>
      </c>
      <c r="L125" s="84" t="s">
        <v>4083</v>
      </c>
    </row>
    <row r="126" spans="1:12">
      <c r="A126" s="19" t="s">
        <v>535</v>
      </c>
      <c r="B126" s="19" t="s">
        <v>4598</v>
      </c>
      <c r="C126" s="99" t="s">
        <v>4599</v>
      </c>
      <c r="D126" s="19" t="s">
        <v>4600</v>
      </c>
      <c r="E126" s="19" t="s">
        <v>4601</v>
      </c>
      <c r="F126" s="19" t="s">
        <v>2976</v>
      </c>
      <c r="G126" s="84" t="s">
        <v>4083</v>
      </c>
      <c r="H126" s="84" t="s">
        <v>4083</v>
      </c>
      <c r="I126" s="84" t="s">
        <v>4083</v>
      </c>
      <c r="J126" s="84" t="s">
        <v>4083</v>
      </c>
      <c r="K126" s="55" t="s">
        <v>2976</v>
      </c>
      <c r="L126" s="84" t="s">
        <v>4083</v>
      </c>
    </row>
    <row r="127" spans="1:12">
      <c r="A127" s="19" t="s">
        <v>4602</v>
      </c>
      <c r="B127" s="19" t="s">
        <v>4603</v>
      </c>
      <c r="C127" s="19" t="s">
        <v>4604</v>
      </c>
      <c r="D127" s="19" t="s">
        <v>4605</v>
      </c>
      <c r="E127" s="19" t="s">
        <v>4606</v>
      </c>
      <c r="F127" s="19" t="s">
        <v>2976</v>
      </c>
      <c r="G127" s="84" t="s">
        <v>4083</v>
      </c>
      <c r="H127" s="19" t="s">
        <v>2976</v>
      </c>
      <c r="J127" s="19" t="s">
        <v>2976</v>
      </c>
      <c r="K127" s="89" t="s">
        <v>4083</v>
      </c>
      <c r="L127" s="84" t="s">
        <v>4083</v>
      </c>
    </row>
    <row r="128" spans="1:12">
      <c r="A128" s="19" t="s">
        <v>139</v>
      </c>
      <c r="B128" s="19" t="s">
        <v>666</v>
      </c>
      <c r="C128" s="19" t="s">
        <v>4607</v>
      </c>
      <c r="D128" s="19" t="s">
        <v>4608</v>
      </c>
      <c r="E128" s="19" t="s">
        <v>4609</v>
      </c>
      <c r="F128" s="19" t="s">
        <v>2976</v>
      </c>
      <c r="G128" s="84" t="s">
        <v>4083</v>
      </c>
      <c r="H128" s="19" t="s">
        <v>2976</v>
      </c>
      <c r="I128" s="84" t="s">
        <v>4083</v>
      </c>
      <c r="J128" s="84" t="s">
        <v>4083</v>
      </c>
      <c r="K128" s="89" t="s">
        <v>4083</v>
      </c>
      <c r="L128" s="84" t="s">
        <v>4083</v>
      </c>
    </row>
    <row r="129" spans="1:12">
      <c r="A129" s="19" t="s">
        <v>4610</v>
      </c>
      <c r="B129" s="19" t="s">
        <v>4611</v>
      </c>
      <c r="C129" s="19" t="s">
        <v>4612</v>
      </c>
      <c r="D129" s="19" t="s">
        <v>4613</v>
      </c>
      <c r="E129" s="19" t="s">
        <v>4614</v>
      </c>
      <c r="F129" s="19" t="s">
        <v>2976</v>
      </c>
      <c r="G129" s="84" t="s">
        <v>4083</v>
      </c>
      <c r="H129" s="19" t="s">
        <v>2976</v>
      </c>
      <c r="I129" s="84" t="s">
        <v>4083</v>
      </c>
      <c r="J129" s="84" t="s">
        <v>4083</v>
      </c>
      <c r="K129" s="89" t="s">
        <v>4083</v>
      </c>
      <c r="L129" s="19" t="s">
        <v>2976</v>
      </c>
    </row>
    <row r="130" spans="1:12">
      <c r="A130" s="19" t="s">
        <v>4615</v>
      </c>
      <c r="B130" s="19" t="s">
        <v>4616</v>
      </c>
      <c r="C130" s="19" t="s">
        <v>4617</v>
      </c>
      <c r="D130" s="19" t="s">
        <v>4618</v>
      </c>
      <c r="E130" s="19" t="s">
        <v>4619</v>
      </c>
      <c r="F130" s="19" t="s">
        <v>2976</v>
      </c>
      <c r="G130" s="87" t="s">
        <v>2976</v>
      </c>
      <c r="H130" s="19" t="s">
        <v>2976</v>
      </c>
      <c r="I130" s="84" t="s">
        <v>4083</v>
      </c>
      <c r="J130" s="84" t="s">
        <v>4083</v>
      </c>
      <c r="K130" s="89" t="s">
        <v>4083</v>
      </c>
      <c r="L130" s="84" t="s">
        <v>4083</v>
      </c>
    </row>
    <row r="131" spans="1:12">
      <c r="A131" s="19" t="s">
        <v>4620</v>
      </c>
      <c r="B131" s="19" t="s">
        <v>4621</v>
      </c>
      <c r="C131" s="19" t="s">
        <v>4622</v>
      </c>
      <c r="D131" s="19" t="s">
        <v>4623</v>
      </c>
      <c r="E131" s="19" t="s">
        <v>4624</v>
      </c>
      <c r="F131" s="19" t="s">
        <v>2976</v>
      </c>
      <c r="G131" s="84" t="s">
        <v>4083</v>
      </c>
      <c r="H131" s="84" t="s">
        <v>4083</v>
      </c>
      <c r="I131" s="84" t="s">
        <v>4083</v>
      </c>
      <c r="J131" s="84" t="s">
        <v>4083</v>
      </c>
      <c r="K131" s="89" t="s">
        <v>4083</v>
      </c>
      <c r="L131" s="84" t="s">
        <v>4083</v>
      </c>
    </row>
    <row r="132" spans="1:12">
      <c r="A132" s="19" t="s">
        <v>4625</v>
      </c>
      <c r="B132" s="19" t="s">
        <v>4429</v>
      </c>
      <c r="C132" s="19" t="s">
        <v>4626</v>
      </c>
      <c r="D132" s="19" t="s">
        <v>4627</v>
      </c>
      <c r="E132" s="19" t="s">
        <v>4628</v>
      </c>
      <c r="G132" s="84" t="s">
        <v>4083</v>
      </c>
      <c r="H132" s="19" t="s">
        <v>2976</v>
      </c>
      <c r="I132" s="84" t="s">
        <v>4083</v>
      </c>
      <c r="J132" s="84" t="s">
        <v>4083</v>
      </c>
      <c r="K132" s="89" t="s">
        <v>4083</v>
      </c>
      <c r="L132" s="19" t="s">
        <v>2976</v>
      </c>
    </row>
    <row r="133" spans="1:12">
      <c r="A133" s="19" t="s">
        <v>4629</v>
      </c>
      <c r="B133" s="19" t="s">
        <v>4630</v>
      </c>
      <c r="C133" s="19" t="s">
        <v>4631</v>
      </c>
      <c r="D133" s="19" t="s">
        <v>4632</v>
      </c>
      <c r="E133" s="19" t="s">
        <v>4633</v>
      </c>
      <c r="F133" s="19" t="s">
        <v>2976</v>
      </c>
      <c r="G133" s="19" t="s">
        <v>2976</v>
      </c>
      <c r="H133" s="19" t="s">
        <v>2976</v>
      </c>
      <c r="I133" s="84" t="s">
        <v>4083</v>
      </c>
      <c r="J133" s="87" t="s">
        <v>2976</v>
      </c>
      <c r="K133" s="89" t="s">
        <v>4083</v>
      </c>
    </row>
    <row r="134" spans="1:12">
      <c r="A134" s="19" t="s">
        <v>169</v>
      </c>
      <c r="B134" s="19" t="s">
        <v>4634</v>
      </c>
      <c r="C134" s="19" t="s">
        <v>170</v>
      </c>
      <c r="D134" s="19" t="s">
        <v>4635</v>
      </c>
      <c r="E134" s="19" t="s">
        <v>4636</v>
      </c>
      <c r="F134" s="19" t="s">
        <v>2976</v>
      </c>
      <c r="G134" s="84" t="s">
        <v>4083</v>
      </c>
      <c r="H134" s="19" t="s">
        <v>2976</v>
      </c>
      <c r="I134" s="84" t="s">
        <v>4083</v>
      </c>
      <c r="J134" s="84" t="s">
        <v>4083</v>
      </c>
      <c r="K134" s="89" t="s">
        <v>4083</v>
      </c>
      <c r="L134" s="84" t="s">
        <v>4083</v>
      </c>
    </row>
    <row r="135" spans="1:12">
      <c r="A135" s="19" t="s">
        <v>4637</v>
      </c>
      <c r="B135" s="19" t="s">
        <v>4638</v>
      </c>
      <c r="C135" s="19" t="s">
        <v>4639</v>
      </c>
      <c r="D135" s="19" t="s">
        <v>4640</v>
      </c>
      <c r="E135" s="19" t="s">
        <v>4641</v>
      </c>
      <c r="F135" s="19" t="s">
        <v>2976</v>
      </c>
      <c r="G135" s="84" t="s">
        <v>4083</v>
      </c>
      <c r="H135" s="19" t="s">
        <v>2976</v>
      </c>
      <c r="I135" s="84" t="s">
        <v>4083</v>
      </c>
      <c r="J135" s="84" t="s">
        <v>4083</v>
      </c>
      <c r="K135" s="89" t="s">
        <v>4083</v>
      </c>
      <c r="L135" s="84" t="s">
        <v>4083</v>
      </c>
    </row>
    <row r="136" spans="1:12">
      <c r="A136" s="19" t="s">
        <v>4642</v>
      </c>
      <c r="B136" s="19" t="s">
        <v>4643</v>
      </c>
      <c r="C136" s="19" t="s">
        <v>4644</v>
      </c>
      <c r="D136" s="19" t="s">
        <v>4645</v>
      </c>
      <c r="E136" s="19" t="s">
        <v>4646</v>
      </c>
      <c r="G136" s="84" t="s">
        <v>4083</v>
      </c>
      <c r="H136" s="84" t="s">
        <v>4083</v>
      </c>
      <c r="I136" s="84" t="s">
        <v>4083</v>
      </c>
      <c r="J136" s="84" t="s">
        <v>4083</v>
      </c>
      <c r="K136" s="89" t="s">
        <v>4083</v>
      </c>
      <c r="L136" s="19" t="s">
        <v>2976</v>
      </c>
    </row>
    <row r="137" spans="1:12">
      <c r="A137" s="19" t="s">
        <v>4647</v>
      </c>
      <c r="B137" s="19" t="s">
        <v>4648</v>
      </c>
      <c r="C137" s="19" t="s">
        <v>4649</v>
      </c>
      <c r="D137" s="19" t="s">
        <v>4650</v>
      </c>
      <c r="E137" s="19" t="s">
        <v>4651</v>
      </c>
      <c r="F137" s="84" t="s">
        <v>4083</v>
      </c>
      <c r="G137" s="84" t="s">
        <v>4083</v>
      </c>
      <c r="H137" s="84" t="s">
        <v>4083</v>
      </c>
      <c r="I137" s="84" t="s">
        <v>4083</v>
      </c>
      <c r="J137" s="19" t="s">
        <v>2976</v>
      </c>
      <c r="K137" s="89" t="s">
        <v>4083</v>
      </c>
      <c r="L137" s="19" t="s">
        <v>2976</v>
      </c>
    </row>
    <row r="138" spans="1:12">
      <c r="A138" s="19" t="s">
        <v>4652</v>
      </c>
      <c r="B138" s="19" t="s">
        <v>4653</v>
      </c>
      <c r="C138" s="19" t="s">
        <v>4653</v>
      </c>
      <c r="D138" s="19" t="s">
        <v>4654</v>
      </c>
      <c r="E138" s="19" t="s">
        <v>4655</v>
      </c>
      <c r="F138" s="19" t="s">
        <v>2976</v>
      </c>
      <c r="G138" s="84" t="s">
        <v>4083</v>
      </c>
      <c r="H138" s="19" t="s">
        <v>2976</v>
      </c>
      <c r="I138" s="84" t="s">
        <v>4083</v>
      </c>
      <c r="J138" s="84" t="s">
        <v>4083</v>
      </c>
      <c r="K138" s="89" t="s">
        <v>4083</v>
      </c>
      <c r="L138" s="19" t="s">
        <v>2976</v>
      </c>
    </row>
    <row r="139" spans="1:12">
      <c r="A139" s="19" t="s">
        <v>4656</v>
      </c>
      <c r="B139" s="19" t="s">
        <v>3259</v>
      </c>
      <c r="C139" s="19" t="s">
        <v>4657</v>
      </c>
      <c r="D139" s="19" t="s">
        <v>4658</v>
      </c>
      <c r="E139" s="19" t="s">
        <v>4659</v>
      </c>
      <c r="F139" s="19" t="s">
        <v>2976</v>
      </c>
      <c r="G139" s="84" t="s">
        <v>4083</v>
      </c>
      <c r="H139" s="19" t="s">
        <v>2976</v>
      </c>
      <c r="I139" s="84" t="s">
        <v>4083</v>
      </c>
      <c r="J139" s="84" t="s">
        <v>4083</v>
      </c>
      <c r="K139" s="89" t="s">
        <v>4083</v>
      </c>
      <c r="L139" s="84" t="s">
        <v>4083</v>
      </c>
    </row>
    <row r="140" spans="1:12">
      <c r="A140" s="19" t="s">
        <v>4660</v>
      </c>
      <c r="B140" s="19" t="s">
        <v>2955</v>
      </c>
      <c r="C140" s="29" t="s">
        <v>4661</v>
      </c>
      <c r="D140" s="19" t="s">
        <v>4662</v>
      </c>
      <c r="E140" s="19" t="s">
        <v>4663</v>
      </c>
      <c r="F140" s="19" t="s">
        <v>2976</v>
      </c>
      <c r="G140" s="84" t="s">
        <v>4083</v>
      </c>
      <c r="H140" s="19" t="s">
        <v>2976</v>
      </c>
      <c r="I140" s="84" t="s">
        <v>4083</v>
      </c>
      <c r="J140" s="84" t="s">
        <v>4083</v>
      </c>
      <c r="K140" s="89" t="s">
        <v>4083</v>
      </c>
      <c r="L140" s="19" t="s">
        <v>2976</v>
      </c>
    </row>
    <row r="141" spans="1:12">
      <c r="A141" s="19" t="s">
        <v>4664</v>
      </c>
      <c r="B141" s="19" t="s">
        <v>4665</v>
      </c>
      <c r="C141" s="19" t="s">
        <v>4666</v>
      </c>
      <c r="D141" s="19" t="s">
        <v>4667</v>
      </c>
      <c r="E141" s="19" t="s">
        <v>4668</v>
      </c>
      <c r="F141" s="19" t="s">
        <v>2976</v>
      </c>
      <c r="G141" s="84" t="s">
        <v>4083</v>
      </c>
      <c r="H141" s="19" t="s">
        <v>2976</v>
      </c>
      <c r="I141" s="84" t="s">
        <v>4083</v>
      </c>
      <c r="J141" s="84" t="s">
        <v>4083</v>
      </c>
      <c r="K141" s="89" t="s">
        <v>4083</v>
      </c>
      <c r="L141" s="84" t="s">
        <v>4083</v>
      </c>
    </row>
    <row r="142" spans="1:12">
      <c r="A142" s="19" t="s">
        <v>2917</v>
      </c>
      <c r="B142" s="19" t="s">
        <v>2918</v>
      </c>
      <c r="C142" s="19" t="s">
        <v>2919</v>
      </c>
      <c r="D142" s="19" t="s">
        <v>4669</v>
      </c>
      <c r="E142" s="19" t="s">
        <v>4670</v>
      </c>
      <c r="F142" s="19" t="s">
        <v>2976</v>
      </c>
      <c r="G142" s="84" t="s">
        <v>4083</v>
      </c>
      <c r="I142" s="84" t="s">
        <v>4083</v>
      </c>
      <c r="J142" s="84" t="s">
        <v>4083</v>
      </c>
      <c r="K142" s="89" t="s">
        <v>4083</v>
      </c>
      <c r="L142" s="19" t="s">
        <v>2976</v>
      </c>
    </row>
    <row r="143" spans="1:12">
      <c r="A143" s="19" t="s">
        <v>586</v>
      </c>
      <c r="B143" s="19" t="s">
        <v>4671</v>
      </c>
      <c r="C143" s="19" t="s">
        <v>4672</v>
      </c>
      <c r="D143" s="19" t="s">
        <v>4673</v>
      </c>
      <c r="E143" s="19" t="s">
        <v>4674</v>
      </c>
      <c r="F143" s="19" t="s">
        <v>2976</v>
      </c>
      <c r="G143" s="84" t="s">
        <v>4083</v>
      </c>
      <c r="H143" s="19" t="s">
        <v>2976</v>
      </c>
      <c r="I143" s="19" t="s">
        <v>2976</v>
      </c>
      <c r="J143" s="84" t="s">
        <v>4083</v>
      </c>
      <c r="K143" s="89" t="s">
        <v>4083</v>
      </c>
      <c r="L143" s="84" t="s">
        <v>4083</v>
      </c>
    </row>
    <row r="144" spans="1:12" ht="15" customHeight="1">
      <c r="A144" s="19" t="s">
        <v>76</v>
      </c>
      <c r="B144" s="29" t="s">
        <v>77</v>
      </c>
      <c r="C144" s="19" t="s">
        <v>78</v>
      </c>
      <c r="D144" s="19" t="s">
        <v>4675</v>
      </c>
      <c r="E144" t="s">
        <v>4676</v>
      </c>
      <c r="F144" s="19" t="s">
        <v>2976</v>
      </c>
      <c r="G144" s="84" t="s">
        <v>4083</v>
      </c>
      <c r="I144" s="84" t="s">
        <v>4083</v>
      </c>
      <c r="J144" s="19" t="s">
        <v>2976</v>
      </c>
      <c r="K144" s="89" t="s">
        <v>4083</v>
      </c>
      <c r="L144" s="84" t="s">
        <v>4083</v>
      </c>
    </row>
    <row r="145" spans="1:12">
      <c r="A145" s="19" t="s">
        <v>4677</v>
      </c>
      <c r="B145" s="19" t="s">
        <v>811</v>
      </c>
      <c r="C145" s="19" t="s">
        <v>812</v>
      </c>
      <c r="D145" s="19" t="s">
        <v>4678</v>
      </c>
      <c r="E145" t="s">
        <v>4679</v>
      </c>
      <c r="F145" s="19" t="s">
        <v>2976</v>
      </c>
      <c r="G145" s="84" t="s">
        <v>4083</v>
      </c>
      <c r="H145" s="19" t="s">
        <v>2976</v>
      </c>
      <c r="I145" s="84" t="s">
        <v>4083</v>
      </c>
      <c r="J145" s="84" t="s">
        <v>4083</v>
      </c>
      <c r="K145" s="89" t="s">
        <v>4083</v>
      </c>
      <c r="L145" s="84" t="s">
        <v>4083</v>
      </c>
    </row>
    <row r="146" spans="1:12">
      <c r="A146" s="19" t="s">
        <v>209</v>
      </c>
      <c r="B146" s="29" t="s">
        <v>210</v>
      </c>
      <c r="C146" s="19" t="s">
        <v>211</v>
      </c>
      <c r="D146" s="19" t="s">
        <v>4680</v>
      </c>
      <c r="E146" s="19" t="s">
        <v>4681</v>
      </c>
      <c r="F146" s="19" t="s">
        <v>2976</v>
      </c>
      <c r="H146" s="19" t="s">
        <v>2976</v>
      </c>
      <c r="I146" s="84" t="s">
        <v>4083</v>
      </c>
      <c r="K146" s="89" t="s">
        <v>4083</v>
      </c>
      <c r="L146" s="19" t="s">
        <v>2976</v>
      </c>
    </row>
    <row r="147" spans="1:12">
      <c r="A147" s="19" t="s">
        <v>4682</v>
      </c>
      <c r="B147" s="19" t="s">
        <v>4683</v>
      </c>
      <c r="C147" s="19" t="s">
        <v>4684</v>
      </c>
      <c r="D147" s="19" t="s">
        <v>4685</v>
      </c>
      <c r="E147" s="19" t="s">
        <v>4686</v>
      </c>
      <c r="F147" s="19" t="s">
        <v>2976</v>
      </c>
      <c r="G147" s="84" t="s">
        <v>4083</v>
      </c>
      <c r="H147" s="19" t="s">
        <v>2976</v>
      </c>
      <c r="I147" s="84" t="s">
        <v>4083</v>
      </c>
      <c r="J147" s="84" t="s">
        <v>4083</v>
      </c>
      <c r="K147" s="89" t="s">
        <v>4083</v>
      </c>
      <c r="L147" s="19" t="s">
        <v>2976</v>
      </c>
    </row>
    <row r="148" spans="1:12">
      <c r="A148" s="19" t="s">
        <v>4687</v>
      </c>
      <c r="B148" s="31" t="s">
        <v>2918</v>
      </c>
      <c r="C148" s="19" t="s">
        <v>4688</v>
      </c>
      <c r="D148" s="19" t="s">
        <v>4689</v>
      </c>
      <c r="E148" s="19" t="s">
        <v>4690</v>
      </c>
      <c r="G148" s="84" t="s">
        <v>4083</v>
      </c>
      <c r="H148" s="19" t="s">
        <v>2976</v>
      </c>
      <c r="I148" s="84" t="s">
        <v>4083</v>
      </c>
      <c r="J148" s="84" t="s">
        <v>4083</v>
      </c>
      <c r="K148" s="89" t="s">
        <v>4083</v>
      </c>
      <c r="L148" s="19" t="s">
        <v>2976</v>
      </c>
    </row>
    <row r="149" spans="1:12">
      <c r="A149" s="19" t="s">
        <v>4691</v>
      </c>
      <c r="B149" s="19" t="s">
        <v>2955</v>
      </c>
      <c r="C149" s="19" t="s">
        <v>4692</v>
      </c>
      <c r="D149" s="19" t="s">
        <v>4693</v>
      </c>
      <c r="E149" t="s">
        <v>4694</v>
      </c>
      <c r="F149" s="19" t="s">
        <v>2976</v>
      </c>
      <c r="G149" s="84" t="s">
        <v>4083</v>
      </c>
      <c r="H149" s="19" t="s">
        <v>2976</v>
      </c>
      <c r="I149" s="84" t="s">
        <v>4083</v>
      </c>
      <c r="J149" s="84" t="s">
        <v>4083</v>
      </c>
      <c r="K149" s="89" t="s">
        <v>4083</v>
      </c>
      <c r="L149" s="19" t="s">
        <v>2976</v>
      </c>
    </row>
    <row r="150" spans="1:12">
      <c r="A150" s="19" t="s">
        <v>2967</v>
      </c>
      <c r="B150" s="19" t="s">
        <v>2921</v>
      </c>
      <c r="C150" s="19" t="s">
        <v>2968</v>
      </c>
      <c r="D150" s="19" t="s">
        <v>4695</v>
      </c>
      <c r="E150" s="19" t="s">
        <v>4696</v>
      </c>
      <c r="F150" s="19" t="s">
        <v>2976</v>
      </c>
      <c r="G150" s="84" t="s">
        <v>4083</v>
      </c>
      <c r="H150" s="19" t="s">
        <v>2976</v>
      </c>
      <c r="I150" s="84" t="s">
        <v>4083</v>
      </c>
      <c r="J150" s="84" t="s">
        <v>4083</v>
      </c>
      <c r="K150" s="89" t="s">
        <v>4083</v>
      </c>
      <c r="L150" s="87" t="s">
        <v>2976</v>
      </c>
    </row>
    <row r="151" spans="1:12">
      <c r="A151" s="19" t="s">
        <v>4697</v>
      </c>
      <c r="B151" s="19" t="s">
        <v>2921</v>
      </c>
      <c r="C151" s="19" t="s">
        <v>4698</v>
      </c>
      <c r="D151" s="19" t="s">
        <v>4699</v>
      </c>
      <c r="E151" s="19" t="s">
        <v>4700</v>
      </c>
      <c r="F151" s="19" t="s">
        <v>2976</v>
      </c>
      <c r="G151" s="84" t="s">
        <v>4083</v>
      </c>
      <c r="H151" s="87" t="s">
        <v>2976</v>
      </c>
      <c r="I151" s="84" t="s">
        <v>4083</v>
      </c>
      <c r="J151" s="84" t="s">
        <v>4083</v>
      </c>
      <c r="K151" s="89" t="s">
        <v>4083</v>
      </c>
      <c r="L151" s="19" t="s">
        <v>2976</v>
      </c>
    </row>
    <row r="152" spans="1:12">
      <c r="A152" s="19" t="s">
        <v>4701</v>
      </c>
      <c r="B152" s="19" t="s">
        <v>1142</v>
      </c>
      <c r="C152" s="19" t="s">
        <v>715</v>
      </c>
      <c r="D152" s="19" t="s">
        <v>4702</v>
      </c>
      <c r="E152" s="69" t="s">
        <v>4703</v>
      </c>
      <c r="F152" s="19" t="s">
        <v>2976</v>
      </c>
      <c r="G152" s="84" t="s">
        <v>4083</v>
      </c>
      <c r="H152" s="19" t="s">
        <v>2976</v>
      </c>
      <c r="I152" s="84" t="s">
        <v>4083</v>
      </c>
      <c r="J152" s="84" t="s">
        <v>4083</v>
      </c>
      <c r="K152" s="89" t="s">
        <v>4083</v>
      </c>
      <c r="L152" s="84" t="s">
        <v>4083</v>
      </c>
    </row>
    <row r="153" spans="1:12">
      <c r="A153" s="19" t="s">
        <v>4704</v>
      </c>
      <c r="B153" s="19" t="s">
        <v>911</v>
      </c>
      <c r="C153" s="19" t="s">
        <v>944</v>
      </c>
      <c r="D153" s="19" t="s">
        <v>4705</v>
      </c>
      <c r="E153" s="19" t="s">
        <v>4706</v>
      </c>
      <c r="F153" s="19" t="s">
        <v>2976</v>
      </c>
      <c r="G153" s="84" t="s">
        <v>4083</v>
      </c>
      <c r="H153" s="19" t="s">
        <v>2976</v>
      </c>
      <c r="I153" s="84" t="s">
        <v>4083</v>
      </c>
      <c r="J153" s="84" t="s">
        <v>4083</v>
      </c>
      <c r="K153" s="95" t="s">
        <v>4083</v>
      </c>
      <c r="L153" s="94" t="s">
        <v>4083</v>
      </c>
    </row>
    <row r="154" spans="1:12">
      <c r="A154" s="19" t="s">
        <v>4707</v>
      </c>
      <c r="B154" s="19" t="s">
        <v>1325</v>
      </c>
      <c r="C154" s="19" t="s">
        <v>4708</v>
      </c>
      <c r="D154" s="19" t="s">
        <v>4709</v>
      </c>
      <c r="E154" s="104" t="s">
        <v>4710</v>
      </c>
      <c r="F154" s="19" t="s">
        <v>2976</v>
      </c>
      <c r="G154" s="84" t="s">
        <v>4083</v>
      </c>
      <c r="H154" s="19" t="s">
        <v>2976</v>
      </c>
      <c r="I154" s="84" t="s">
        <v>4083</v>
      </c>
      <c r="J154" s="87" t="s">
        <v>2976</v>
      </c>
      <c r="K154" s="89" t="s">
        <v>4083</v>
      </c>
    </row>
    <row r="155" spans="1:12">
      <c r="A155" s="19" t="s">
        <v>4711</v>
      </c>
      <c r="B155" s="19" t="s">
        <v>821</v>
      </c>
      <c r="C155" s="19" t="s">
        <v>4712</v>
      </c>
      <c r="D155" s="19" t="s">
        <v>4713</v>
      </c>
      <c r="E155" s="105" t="s">
        <v>4714</v>
      </c>
      <c r="F155" s="19" t="s">
        <v>2976</v>
      </c>
      <c r="G155" s="84" t="s">
        <v>4083</v>
      </c>
      <c r="H155" s="19" t="s">
        <v>2976</v>
      </c>
      <c r="I155" s="84" t="s">
        <v>4083</v>
      </c>
      <c r="J155" s="19" t="s">
        <v>2976</v>
      </c>
      <c r="K155" s="89" t="s">
        <v>4083</v>
      </c>
      <c r="L155" s="84" t="s">
        <v>4083</v>
      </c>
    </row>
    <row r="156" spans="1:12">
      <c r="A156" s="19" t="s">
        <v>4715</v>
      </c>
      <c r="B156" s="19" t="s">
        <v>553</v>
      </c>
      <c r="C156" s="19" t="s">
        <v>4716</v>
      </c>
      <c r="D156" s="19" t="s">
        <v>4717</v>
      </c>
      <c r="E156" s="105" t="s">
        <v>4718</v>
      </c>
      <c r="F156" s="19" t="s">
        <v>2976</v>
      </c>
      <c r="G156" s="84" t="s">
        <v>4083</v>
      </c>
      <c r="H156" s="84" t="s">
        <v>4083</v>
      </c>
      <c r="I156" s="84" t="s">
        <v>4083</v>
      </c>
      <c r="J156" s="84" t="s">
        <v>4083</v>
      </c>
      <c r="K156" s="55" t="s">
        <v>2976</v>
      </c>
      <c r="L156" s="84" t="s">
        <v>4083</v>
      </c>
    </row>
    <row r="157" spans="1:12">
      <c r="A157" s="19" t="s">
        <v>4719</v>
      </c>
      <c r="B157" s="19" t="s">
        <v>2955</v>
      </c>
      <c r="C157" s="19" t="s">
        <v>4720</v>
      </c>
      <c r="D157" s="19" t="s">
        <v>4721</v>
      </c>
      <c r="E157" s="105" t="s">
        <v>4722</v>
      </c>
      <c r="F157" s="19" t="s">
        <v>2976</v>
      </c>
      <c r="G157" s="84" t="s">
        <v>4083</v>
      </c>
      <c r="H157" s="19" t="s">
        <v>2976</v>
      </c>
      <c r="I157" s="84" t="s">
        <v>4083</v>
      </c>
      <c r="J157" s="84" t="s">
        <v>4083</v>
      </c>
      <c r="K157" s="89" t="s">
        <v>4083</v>
      </c>
      <c r="L157" s="19" t="s">
        <v>2976</v>
      </c>
    </row>
    <row r="158" spans="1:12">
      <c r="A158" s="19" t="s">
        <v>3027</v>
      </c>
      <c r="B158" s="19" t="s">
        <v>2921</v>
      </c>
      <c r="C158" s="19" t="s">
        <v>3028</v>
      </c>
      <c r="D158" s="19" t="s">
        <v>4723</v>
      </c>
      <c r="E158" s="106" t="s">
        <v>4724</v>
      </c>
      <c r="F158" s="19" t="s">
        <v>2976</v>
      </c>
      <c r="G158" s="84" t="s">
        <v>4083</v>
      </c>
      <c r="H158" s="19" t="s">
        <v>2976</v>
      </c>
      <c r="I158" s="84" t="s">
        <v>4083</v>
      </c>
      <c r="J158" s="84" t="s">
        <v>4083</v>
      </c>
      <c r="K158" s="89" t="s">
        <v>4083</v>
      </c>
      <c r="L158" s="19" t="s">
        <v>2976</v>
      </c>
    </row>
    <row r="159" spans="1:12">
      <c r="A159" s="19" t="s">
        <v>4725</v>
      </c>
      <c r="B159" s="19" t="s">
        <v>1086</v>
      </c>
      <c r="C159" s="19" t="s">
        <v>4726</v>
      </c>
      <c r="D159" s="19" t="s">
        <v>4727</v>
      </c>
      <c r="E159" s="19" t="s">
        <v>4728</v>
      </c>
      <c r="F159" s="19" t="s">
        <v>2976</v>
      </c>
      <c r="G159" s="84" t="s">
        <v>4083</v>
      </c>
      <c r="H159" s="19" t="s">
        <v>2976</v>
      </c>
      <c r="I159" s="84" t="s">
        <v>4083</v>
      </c>
      <c r="J159" s="19" t="s">
        <v>2976</v>
      </c>
      <c r="K159" s="89" t="s">
        <v>4083</v>
      </c>
      <c r="L159" s="19" t="s">
        <v>2976</v>
      </c>
    </row>
    <row r="160" spans="1:12">
      <c r="A160" s="19" t="s">
        <v>2914</v>
      </c>
      <c r="B160" s="19" t="s">
        <v>2912</v>
      </c>
      <c r="C160" s="19" t="s">
        <v>2915</v>
      </c>
      <c r="D160" s="19" t="s">
        <v>4729</v>
      </c>
      <c r="E160" s="19" t="s">
        <v>4730</v>
      </c>
      <c r="F160" s="19" t="s">
        <v>2976</v>
      </c>
      <c r="G160" s="19" t="s">
        <v>2976</v>
      </c>
      <c r="I160" s="19" t="s">
        <v>2976</v>
      </c>
      <c r="J160" s="84" t="s">
        <v>4083</v>
      </c>
      <c r="K160" s="89" t="s">
        <v>4083</v>
      </c>
    </row>
    <row r="161" spans="1:12">
      <c r="A161" s="19" t="s">
        <v>4731</v>
      </c>
      <c r="B161" s="19" t="s">
        <v>137</v>
      </c>
      <c r="C161" s="19" t="s">
        <v>138</v>
      </c>
      <c r="D161" s="19" t="s">
        <v>4732</v>
      </c>
      <c r="E161" s="106" t="s">
        <v>4733</v>
      </c>
      <c r="F161" s="19" t="s">
        <v>2976</v>
      </c>
      <c r="G161" s="84" t="s">
        <v>4083</v>
      </c>
      <c r="H161" s="84" t="s">
        <v>4083</v>
      </c>
      <c r="I161" s="19" t="s">
        <v>2976</v>
      </c>
      <c r="J161" s="84" t="s">
        <v>4083</v>
      </c>
      <c r="K161" s="89" t="s">
        <v>4083</v>
      </c>
      <c r="L161" s="84" t="s">
        <v>4083</v>
      </c>
    </row>
    <row r="162" spans="1:12">
      <c r="A162" s="19" t="s">
        <v>4734</v>
      </c>
      <c r="B162" s="19" t="s">
        <v>187</v>
      </c>
      <c r="C162" s="19" t="s">
        <v>4735</v>
      </c>
      <c r="D162" s="19" t="s">
        <v>4736</v>
      </c>
      <c r="E162" s="19" t="s">
        <v>4737</v>
      </c>
      <c r="F162" s="19" t="s">
        <v>2976</v>
      </c>
      <c r="G162" s="84" t="s">
        <v>4083</v>
      </c>
      <c r="H162" s="87" t="s">
        <v>2976</v>
      </c>
      <c r="I162" s="84" t="s">
        <v>4083</v>
      </c>
      <c r="K162" s="89" t="s">
        <v>4083</v>
      </c>
      <c r="L162" s="84" t="s">
        <v>4083</v>
      </c>
    </row>
    <row r="163" spans="1:12">
      <c r="A163" s="19" t="s">
        <v>672</v>
      </c>
      <c r="B163" s="19" t="s">
        <v>127</v>
      </c>
      <c r="C163" s="19" t="s">
        <v>673</v>
      </c>
      <c r="D163" s="19" t="s">
        <v>4738</v>
      </c>
      <c r="E163" s="19" t="s">
        <v>4739</v>
      </c>
      <c r="F163" s="19" t="s">
        <v>2976</v>
      </c>
      <c r="G163" s="84" t="s">
        <v>4083</v>
      </c>
      <c r="H163" s="19" t="s">
        <v>2976</v>
      </c>
      <c r="I163" s="84" t="s">
        <v>4083</v>
      </c>
      <c r="J163" s="19" t="s">
        <v>2976</v>
      </c>
      <c r="K163" s="89" t="s">
        <v>4083</v>
      </c>
      <c r="L163" s="84" t="s">
        <v>4083</v>
      </c>
    </row>
    <row r="164" spans="1:12">
      <c r="A164" s="19" t="s">
        <v>4740</v>
      </c>
      <c r="B164" s="19" t="s">
        <v>641</v>
      </c>
      <c r="C164" s="19" t="s">
        <v>4741</v>
      </c>
      <c r="D164" s="19" t="s">
        <v>4742</v>
      </c>
      <c r="E164" s="19" t="s">
        <v>4743</v>
      </c>
      <c r="F164" s="19" t="s">
        <v>2976</v>
      </c>
      <c r="G164" s="84" t="s">
        <v>4083</v>
      </c>
      <c r="H164" s="84" t="s">
        <v>4083</v>
      </c>
      <c r="I164" s="84" t="s">
        <v>4083</v>
      </c>
      <c r="J164" s="84" t="s">
        <v>4083</v>
      </c>
      <c r="K164" s="89" t="s">
        <v>4083</v>
      </c>
      <c r="L164" s="84" t="s">
        <v>4083</v>
      </c>
    </row>
    <row r="165" spans="1:12">
      <c r="A165" s="19" t="s">
        <v>4744</v>
      </c>
      <c r="B165" s="19" t="s">
        <v>3175</v>
      </c>
      <c r="C165" s="19" t="s">
        <v>4745</v>
      </c>
      <c r="D165" s="19" t="s">
        <v>4746</v>
      </c>
      <c r="E165" s="19" t="s">
        <v>4747</v>
      </c>
      <c r="F165" s="19" t="s">
        <v>2976</v>
      </c>
      <c r="G165" s="84" t="s">
        <v>4083</v>
      </c>
      <c r="H165" s="19" t="s">
        <v>2976</v>
      </c>
      <c r="I165" s="84" t="s">
        <v>4083</v>
      </c>
      <c r="J165" s="84" t="s">
        <v>4083</v>
      </c>
      <c r="K165" s="89" t="s">
        <v>4083</v>
      </c>
      <c r="L165" s="84" t="s">
        <v>4083</v>
      </c>
    </row>
    <row r="166" spans="1:12">
      <c r="A166" s="19" t="s">
        <v>504</v>
      </c>
      <c r="B166" s="19" t="s">
        <v>506</v>
      </c>
      <c r="C166" s="19" t="s">
        <v>507</v>
      </c>
      <c r="D166" s="19" t="s">
        <v>4748</v>
      </c>
      <c r="E166" s="19" t="s">
        <v>4749</v>
      </c>
      <c r="F166" s="19" t="s">
        <v>2976</v>
      </c>
      <c r="G166" s="84" t="s">
        <v>4083</v>
      </c>
      <c r="H166" s="19" t="s">
        <v>2976</v>
      </c>
      <c r="I166" s="84" t="s">
        <v>4083</v>
      </c>
      <c r="J166" s="84" t="s">
        <v>4083</v>
      </c>
      <c r="K166" s="55" t="s">
        <v>2976</v>
      </c>
      <c r="L166" s="84" t="s">
        <v>4083</v>
      </c>
    </row>
    <row r="167" spans="1:12" s="107" customFormat="1">
      <c r="A167" s="19" t="s">
        <v>4750</v>
      </c>
      <c r="B167" s="19" t="s">
        <v>4751</v>
      </c>
      <c r="C167" s="19" t="s">
        <v>4752</v>
      </c>
      <c r="D167" s="19" t="s">
        <v>4753</v>
      </c>
      <c r="E167" s="19" t="s">
        <v>4754</v>
      </c>
      <c r="F167" s="19" t="s">
        <v>2976</v>
      </c>
      <c r="G167" s="84" t="s">
        <v>4083</v>
      </c>
      <c r="H167" s="19" t="s">
        <v>2976</v>
      </c>
      <c r="I167" s="84" t="s">
        <v>4083</v>
      </c>
      <c r="J167" s="84" t="s">
        <v>4083</v>
      </c>
      <c r="K167" s="89" t="s">
        <v>4083</v>
      </c>
      <c r="L167" s="84" t="s">
        <v>4083</v>
      </c>
    </row>
    <row r="168" spans="1:12">
      <c r="A168" s="108" t="s">
        <v>875</v>
      </c>
      <c r="B168" s="108" t="s">
        <v>609</v>
      </c>
      <c r="C168" s="108" t="s">
        <v>1171</v>
      </c>
      <c r="D168" s="108" t="s">
        <v>4755</v>
      </c>
      <c r="E168" s="108" t="s">
        <v>4756</v>
      </c>
      <c r="F168" s="108" t="s">
        <v>2976</v>
      </c>
      <c r="G168" s="84" t="s">
        <v>4083</v>
      </c>
      <c r="H168" s="108" t="s">
        <v>2976</v>
      </c>
      <c r="I168" s="84" t="s">
        <v>4083</v>
      </c>
      <c r="J168" s="84" t="s">
        <v>4083</v>
      </c>
      <c r="K168" s="89" t="s">
        <v>4083</v>
      </c>
      <c r="L168" s="84" t="s">
        <v>4083</v>
      </c>
    </row>
    <row r="169" spans="1:12">
      <c r="A169" s="19" t="s">
        <v>4757</v>
      </c>
      <c r="B169" s="108" t="s">
        <v>3217</v>
      </c>
      <c r="C169" s="19" t="s">
        <v>4758</v>
      </c>
      <c r="D169" s="19" t="s">
        <v>4759</v>
      </c>
      <c r="E169" s="19" t="s">
        <v>4760</v>
      </c>
      <c r="F169" s="19" t="s">
        <v>2976</v>
      </c>
      <c r="G169" s="84" t="s">
        <v>4083</v>
      </c>
      <c r="I169" s="84" t="s">
        <v>4083</v>
      </c>
      <c r="J169" s="84" t="s">
        <v>4083</v>
      </c>
      <c r="K169" s="89" t="s">
        <v>4083</v>
      </c>
      <c r="L169" s="19" t="s">
        <v>2976</v>
      </c>
    </row>
    <row r="170" spans="1:12">
      <c r="A170" s="19" t="s">
        <v>4761</v>
      </c>
      <c r="B170" s="108" t="s">
        <v>4762</v>
      </c>
      <c r="C170" s="108" t="s">
        <v>4763</v>
      </c>
      <c r="D170" s="19" t="s">
        <v>4764</v>
      </c>
      <c r="E170" s="19" t="s">
        <v>4765</v>
      </c>
      <c r="F170" s="19" t="s">
        <v>2976</v>
      </c>
      <c r="G170" s="84" t="s">
        <v>4083</v>
      </c>
      <c r="H170" s="84" t="s">
        <v>4083</v>
      </c>
      <c r="I170" s="84"/>
      <c r="J170" s="84" t="s">
        <v>4083</v>
      </c>
      <c r="K170" s="89" t="s">
        <v>4083</v>
      </c>
      <c r="L170" s="84" t="s">
        <v>4083</v>
      </c>
    </row>
    <row r="171" spans="1:12">
      <c r="A171" s="19" t="s">
        <v>4766</v>
      </c>
      <c r="B171" s="108" t="s">
        <v>101</v>
      </c>
      <c r="C171" s="108" t="s">
        <v>4767</v>
      </c>
      <c r="D171" s="19" t="s">
        <v>4768</v>
      </c>
      <c r="E171" s="19" t="s">
        <v>4769</v>
      </c>
      <c r="F171" s="19" t="s">
        <v>2976</v>
      </c>
      <c r="G171" s="84" t="s">
        <v>4083</v>
      </c>
      <c r="H171" s="87" t="s">
        <v>2976</v>
      </c>
      <c r="I171" s="84" t="s">
        <v>4083</v>
      </c>
      <c r="J171" s="84" t="s">
        <v>4083</v>
      </c>
      <c r="K171" s="89" t="s">
        <v>4083</v>
      </c>
      <c r="L171" s="84" t="s">
        <v>4083</v>
      </c>
    </row>
    <row r="172" spans="1:12">
      <c r="A172" s="19" t="s">
        <v>4770</v>
      </c>
      <c r="B172" s="19" t="s">
        <v>4771</v>
      </c>
      <c r="C172" s="19" t="s">
        <v>4772</v>
      </c>
      <c r="D172" s="19" t="s">
        <v>4773</v>
      </c>
      <c r="E172" s="19" t="s">
        <v>4774</v>
      </c>
      <c r="G172" s="84" t="s">
        <v>4083</v>
      </c>
      <c r="H172" s="19" t="s">
        <v>2976</v>
      </c>
      <c r="I172" s="84" t="s">
        <v>4083</v>
      </c>
      <c r="J172" s="84" t="s">
        <v>4083</v>
      </c>
      <c r="K172" s="89" t="s">
        <v>4083</v>
      </c>
      <c r="L172" s="84" t="s">
        <v>4083</v>
      </c>
    </row>
    <row r="173" spans="1:12">
      <c r="A173" s="19" t="s">
        <v>4775</v>
      </c>
      <c r="B173" s="19" t="s">
        <v>814</v>
      </c>
      <c r="C173" s="19" t="s">
        <v>4776</v>
      </c>
      <c r="D173" s="19" t="s">
        <v>4777</v>
      </c>
      <c r="E173" s="19" t="s">
        <v>4778</v>
      </c>
      <c r="F173" s="19" t="s">
        <v>2976</v>
      </c>
      <c r="G173" s="19" t="s">
        <v>2976</v>
      </c>
      <c r="H173" s="19" t="s">
        <v>2976</v>
      </c>
      <c r="I173" s="84" t="s">
        <v>4083</v>
      </c>
      <c r="J173" s="19" t="s">
        <v>2976</v>
      </c>
      <c r="K173" s="89" t="s">
        <v>4083</v>
      </c>
      <c r="L173" s="84" t="s">
        <v>4083</v>
      </c>
    </row>
    <row r="174" spans="1:12">
      <c r="A174" s="19" t="s">
        <v>4779</v>
      </c>
      <c r="B174" s="19" t="s">
        <v>956</v>
      </c>
      <c r="C174" s="19" t="s">
        <v>4780</v>
      </c>
      <c r="D174" s="19" t="s">
        <v>4781</v>
      </c>
      <c r="E174" s="19" t="s">
        <v>4782</v>
      </c>
      <c r="F174" s="19" t="s">
        <v>2976</v>
      </c>
      <c r="G174" s="19" t="s">
        <v>2976</v>
      </c>
      <c r="H174" s="87" t="s">
        <v>2976</v>
      </c>
      <c r="J174" s="84" t="s">
        <v>4083</v>
      </c>
      <c r="K174" s="89" t="s">
        <v>4083</v>
      </c>
      <c r="L174" s="84" t="s">
        <v>4083</v>
      </c>
    </row>
    <row r="175" spans="1:12">
      <c r="A175" s="19" t="s">
        <v>4783</v>
      </c>
      <c r="B175" s="19" t="s">
        <v>609</v>
      </c>
      <c r="C175" s="19" t="s">
        <v>4784</v>
      </c>
      <c r="D175" s="19" t="s">
        <v>4785</v>
      </c>
      <c r="E175" s="19" t="s">
        <v>4786</v>
      </c>
      <c r="F175" s="19" t="s">
        <v>2976</v>
      </c>
      <c r="G175" s="84" t="s">
        <v>4083</v>
      </c>
      <c r="H175" s="19" t="s">
        <v>2976</v>
      </c>
      <c r="I175" s="84" t="s">
        <v>4083</v>
      </c>
      <c r="J175" s="84" t="s">
        <v>4083</v>
      </c>
      <c r="L175" s="84" t="s">
        <v>4083</v>
      </c>
    </row>
    <row r="176" spans="1:12">
      <c r="A176" s="19" t="s">
        <v>4787</v>
      </c>
      <c r="B176" s="19" t="s">
        <v>467</v>
      </c>
      <c r="C176" s="19" t="s">
        <v>4788</v>
      </c>
      <c r="D176" s="19" t="s">
        <v>4789</v>
      </c>
      <c r="E176" s="19" t="s">
        <v>4790</v>
      </c>
      <c r="F176" s="19" t="s">
        <v>2976</v>
      </c>
      <c r="G176" s="84" t="s">
        <v>4083</v>
      </c>
      <c r="H176" s="19" t="s">
        <v>2976</v>
      </c>
      <c r="I176" s="84" t="s">
        <v>4083</v>
      </c>
      <c r="K176" s="55" t="s">
        <v>2976</v>
      </c>
      <c r="L176" s="19" t="s">
        <v>2976</v>
      </c>
    </row>
    <row r="177" spans="1:12">
      <c r="A177" s="19" t="s">
        <v>4791</v>
      </c>
      <c r="B177" s="19" t="s">
        <v>4792</v>
      </c>
      <c r="C177" s="19" t="s">
        <v>4793</v>
      </c>
      <c r="D177" s="19" t="s">
        <v>4794</v>
      </c>
      <c r="E177" s="19" t="s">
        <v>4795</v>
      </c>
      <c r="F177" s="19" t="s">
        <v>2976</v>
      </c>
      <c r="G177" s="84" t="s">
        <v>4083</v>
      </c>
      <c r="H177" s="84" t="s">
        <v>4083</v>
      </c>
      <c r="I177" s="84" t="s">
        <v>4083</v>
      </c>
      <c r="J177" s="84" t="s">
        <v>4083</v>
      </c>
      <c r="K177" s="55" t="s">
        <v>2976</v>
      </c>
      <c r="L177" s="84" t="s">
        <v>4083</v>
      </c>
    </row>
    <row r="178" spans="1:12">
      <c r="A178" s="19" t="s">
        <v>168</v>
      </c>
      <c r="B178" s="19" t="s">
        <v>751</v>
      </c>
      <c r="C178" s="19" t="s">
        <v>752</v>
      </c>
      <c r="D178" s="19" t="s">
        <v>4796</v>
      </c>
      <c r="E178" s="19" t="s">
        <v>4797</v>
      </c>
      <c r="F178" s="19" t="s">
        <v>2976</v>
      </c>
      <c r="G178" s="84" t="s">
        <v>4083</v>
      </c>
      <c r="H178" s="84" t="s">
        <v>4083</v>
      </c>
      <c r="J178" s="84" t="s">
        <v>4083</v>
      </c>
      <c r="K178" s="89" t="s">
        <v>4083</v>
      </c>
      <c r="L178" s="19" t="s">
        <v>2976</v>
      </c>
    </row>
    <row r="179" spans="1:12">
      <c r="A179" s="19" t="s">
        <v>4798</v>
      </c>
      <c r="B179" s="19" t="s">
        <v>127</v>
      </c>
      <c r="C179" s="19" t="s">
        <v>4799</v>
      </c>
      <c r="D179" s="19" t="s">
        <v>4800</v>
      </c>
      <c r="E179" s="19" t="s">
        <v>4801</v>
      </c>
      <c r="F179" s="84" t="s">
        <v>4083</v>
      </c>
      <c r="G179" s="84" t="s">
        <v>4083</v>
      </c>
      <c r="H179" s="19" t="s">
        <v>2976</v>
      </c>
      <c r="I179" s="84" t="s">
        <v>4083</v>
      </c>
      <c r="J179" s="19" t="s">
        <v>2976</v>
      </c>
      <c r="K179" s="89" t="s">
        <v>4083</v>
      </c>
      <c r="L179" s="84" t="s">
        <v>4083</v>
      </c>
    </row>
    <row r="180" spans="1:12">
      <c r="A180" s="19" t="s">
        <v>4802</v>
      </c>
      <c r="B180" s="19" t="s">
        <v>692</v>
      </c>
      <c r="C180" s="19" t="s">
        <v>4803</v>
      </c>
      <c r="D180" s="19" t="s">
        <v>4804</v>
      </c>
      <c r="E180" s="19" t="s">
        <v>4805</v>
      </c>
      <c r="F180" s="19" t="s">
        <v>2976</v>
      </c>
      <c r="G180" s="84" t="s">
        <v>4083</v>
      </c>
      <c r="I180" s="84" t="s">
        <v>4083</v>
      </c>
      <c r="J180" s="84" t="s">
        <v>4083</v>
      </c>
      <c r="K180" s="89" t="s">
        <v>4083</v>
      </c>
      <c r="L180" s="84" t="s">
        <v>4083</v>
      </c>
    </row>
    <row r="181" spans="1:12">
      <c r="A181" s="19" t="s">
        <v>4806</v>
      </c>
      <c r="B181" s="19" t="s">
        <v>3423</v>
      </c>
      <c r="C181" s="19" t="s">
        <v>4807</v>
      </c>
      <c r="D181" s="19" t="s">
        <v>4808</v>
      </c>
      <c r="E181" s="19" t="s">
        <v>4809</v>
      </c>
      <c r="F181" s="19" t="s">
        <v>2976</v>
      </c>
      <c r="G181" s="84" t="s">
        <v>4083</v>
      </c>
      <c r="H181" s="19" t="s">
        <v>2976</v>
      </c>
      <c r="I181" s="84" t="s">
        <v>4083</v>
      </c>
      <c r="J181" s="19" t="s">
        <v>2976</v>
      </c>
      <c r="K181" s="89" t="s">
        <v>4083</v>
      </c>
      <c r="L181" s="84" t="s">
        <v>4083</v>
      </c>
    </row>
    <row r="182" spans="1:12">
      <c r="A182" s="99" t="s">
        <v>94</v>
      </c>
      <c r="B182" s="19" t="s">
        <v>96</v>
      </c>
      <c r="C182" s="19" t="s">
        <v>1023</v>
      </c>
      <c r="D182" s="19" t="s">
        <v>4810</v>
      </c>
      <c r="E182" s="19" t="s">
        <v>4811</v>
      </c>
      <c r="F182" s="19" t="s">
        <v>2976</v>
      </c>
      <c r="G182" s="84" t="s">
        <v>4083</v>
      </c>
      <c r="H182" s="84" t="s">
        <v>4083</v>
      </c>
      <c r="I182" s="84" t="s">
        <v>4083</v>
      </c>
      <c r="J182" s="84" t="s">
        <v>4083</v>
      </c>
      <c r="K182" s="89" t="s">
        <v>4083</v>
      </c>
      <c r="L182" s="84" t="s">
        <v>4083</v>
      </c>
    </row>
    <row r="183" spans="1:12">
      <c r="A183" s="19" t="s">
        <v>4812</v>
      </c>
      <c r="B183" s="19" t="s">
        <v>82</v>
      </c>
      <c r="C183" s="19" t="s">
        <v>83</v>
      </c>
      <c r="D183" s="19" t="s">
        <v>4813</v>
      </c>
      <c r="E183" s="19" t="s">
        <v>4814</v>
      </c>
      <c r="F183" s="19" t="s">
        <v>2976</v>
      </c>
      <c r="G183" s="84" t="s">
        <v>4083</v>
      </c>
      <c r="H183" s="19" t="s">
        <v>2976</v>
      </c>
      <c r="I183" s="84" t="s">
        <v>4083</v>
      </c>
      <c r="J183" s="87" t="s">
        <v>2976</v>
      </c>
      <c r="K183" s="89" t="s">
        <v>4083</v>
      </c>
      <c r="L183" s="84" t="s">
        <v>4083</v>
      </c>
    </row>
    <row r="184" spans="1:12">
      <c r="A184" s="19" t="s">
        <v>4815</v>
      </c>
      <c r="B184" s="19" t="s">
        <v>747</v>
      </c>
      <c r="C184" s="19" t="s">
        <v>4816</v>
      </c>
      <c r="D184" s="19" t="s">
        <v>4817</v>
      </c>
      <c r="E184" s="19" t="s">
        <v>4818</v>
      </c>
      <c r="F184" s="19" t="s">
        <v>2976</v>
      </c>
      <c r="G184" s="84" t="s">
        <v>4083</v>
      </c>
      <c r="H184" s="19" t="s">
        <v>2976</v>
      </c>
      <c r="I184" s="84" t="s">
        <v>4083</v>
      </c>
      <c r="J184" s="87" t="s">
        <v>2976</v>
      </c>
      <c r="K184" s="89" t="s">
        <v>4083</v>
      </c>
      <c r="L184" s="84" t="s">
        <v>4083</v>
      </c>
    </row>
    <row r="185" spans="1:12">
      <c r="A185" s="19" t="s">
        <v>4819</v>
      </c>
      <c r="B185" s="19" t="s">
        <v>3195</v>
      </c>
      <c r="C185" s="19" t="s">
        <v>3200</v>
      </c>
      <c r="D185" s="19" t="s">
        <v>4820</v>
      </c>
      <c r="E185" s="19" t="s">
        <v>4821</v>
      </c>
      <c r="F185" s="19" t="s">
        <v>2976</v>
      </c>
      <c r="G185" s="84" t="s">
        <v>4083</v>
      </c>
      <c r="H185" s="87" t="s">
        <v>2976</v>
      </c>
      <c r="I185" s="84" t="s">
        <v>4083</v>
      </c>
      <c r="J185" s="84" t="s">
        <v>4083</v>
      </c>
      <c r="K185" s="89" t="s">
        <v>4083</v>
      </c>
      <c r="L185" s="84" t="s">
        <v>4083</v>
      </c>
    </row>
    <row r="186" spans="1:12">
      <c r="A186" s="19" t="s">
        <v>4822</v>
      </c>
      <c r="B186" s="19" t="s">
        <v>4823</v>
      </c>
      <c r="C186" s="19" t="s">
        <v>4824</v>
      </c>
      <c r="D186" s="19" t="s">
        <v>4825</v>
      </c>
      <c r="E186" s="19" t="s">
        <v>4826</v>
      </c>
      <c r="F186" s="19" t="s">
        <v>2976</v>
      </c>
      <c r="G186" s="84" t="s">
        <v>4083</v>
      </c>
      <c r="H186" s="84" t="s">
        <v>4083</v>
      </c>
      <c r="I186" s="84" t="s">
        <v>4083</v>
      </c>
      <c r="J186" s="84" t="s">
        <v>4083</v>
      </c>
      <c r="K186" s="89" t="s">
        <v>4083</v>
      </c>
      <c r="L186" s="84" t="s">
        <v>4083</v>
      </c>
    </row>
    <row r="187" spans="1:12">
      <c r="A187" s="61" t="s">
        <v>4827</v>
      </c>
      <c r="B187" s="19" t="s">
        <v>3014</v>
      </c>
      <c r="C187" s="19" t="s">
        <v>4828</v>
      </c>
      <c r="D187" s="19" t="s">
        <v>4829</v>
      </c>
      <c r="E187" s="19" t="s">
        <v>4830</v>
      </c>
      <c r="F187" s="19" t="s">
        <v>2976</v>
      </c>
      <c r="G187" s="84" t="s">
        <v>4083</v>
      </c>
      <c r="I187" s="84" t="s">
        <v>4083</v>
      </c>
      <c r="J187" s="19" t="s">
        <v>2976</v>
      </c>
      <c r="K187" s="89" t="s">
        <v>4083</v>
      </c>
      <c r="L187" s="84" t="s">
        <v>4083</v>
      </c>
    </row>
    <row r="188" spans="1:12">
      <c r="A188" s="19" t="s">
        <v>178</v>
      </c>
      <c r="B188" s="19" t="s">
        <v>304</v>
      </c>
      <c r="C188" s="19" t="s">
        <v>869</v>
      </c>
      <c r="D188" s="19" t="s">
        <v>4831</v>
      </c>
      <c r="E188" s="19" t="s">
        <v>4832</v>
      </c>
      <c r="F188" s="19" t="s">
        <v>2976</v>
      </c>
      <c r="G188" s="84" t="s">
        <v>4083</v>
      </c>
      <c r="H188" s="19" t="s">
        <v>2976</v>
      </c>
      <c r="J188" s="19" t="s">
        <v>2976</v>
      </c>
      <c r="K188" s="89" t="s">
        <v>4083</v>
      </c>
      <c r="L188" s="84" t="s">
        <v>4083</v>
      </c>
    </row>
    <row r="189" spans="1:12">
      <c r="A189" s="61" t="s">
        <v>405</v>
      </c>
      <c r="B189" s="19" t="s">
        <v>407</v>
      </c>
      <c r="C189" s="19" t="s">
        <v>408</v>
      </c>
      <c r="D189" s="19" t="s">
        <v>4833</v>
      </c>
      <c r="E189" s="19" t="s">
        <v>4834</v>
      </c>
      <c r="F189" s="19" t="s">
        <v>2976</v>
      </c>
      <c r="G189" s="84" t="s">
        <v>4083</v>
      </c>
      <c r="H189" s="84" t="s">
        <v>4083</v>
      </c>
      <c r="I189" s="19" t="s">
        <v>2976</v>
      </c>
      <c r="J189" s="19" t="s">
        <v>2976</v>
      </c>
      <c r="K189" s="89" t="s">
        <v>4083</v>
      </c>
      <c r="L189" s="19" t="s">
        <v>2976</v>
      </c>
    </row>
    <row r="190" spans="1:12">
      <c r="A190" s="19" t="s">
        <v>3130</v>
      </c>
      <c r="B190" s="19" t="s">
        <v>3313</v>
      </c>
      <c r="C190" s="19" t="s">
        <v>4835</v>
      </c>
      <c r="D190" s="19" t="s">
        <v>4836</v>
      </c>
      <c r="E190" s="19" t="s">
        <v>4837</v>
      </c>
      <c r="F190" s="19" t="s">
        <v>2976</v>
      </c>
      <c r="G190" s="84" t="s">
        <v>4083</v>
      </c>
      <c r="H190" s="84" t="s">
        <v>4083</v>
      </c>
      <c r="I190" s="84" t="s">
        <v>4083</v>
      </c>
      <c r="J190" s="84" t="s">
        <v>4083</v>
      </c>
      <c r="K190" s="89" t="s">
        <v>4083</v>
      </c>
      <c r="L190" s="84" t="s">
        <v>4083</v>
      </c>
    </row>
    <row r="191" spans="1:12">
      <c r="A191" s="19" t="s">
        <v>4838</v>
      </c>
      <c r="B191" s="19" t="s">
        <v>4839</v>
      </c>
      <c r="C191" s="19" t="s">
        <v>4840</v>
      </c>
      <c r="D191" s="19" t="s">
        <v>4841</v>
      </c>
      <c r="E191" s="19" t="s">
        <v>4842</v>
      </c>
      <c r="F191" s="19" t="s">
        <v>2976</v>
      </c>
      <c r="G191" s="84" t="s">
        <v>4083</v>
      </c>
      <c r="H191" s="84" t="s">
        <v>4083</v>
      </c>
      <c r="I191" s="84" t="s">
        <v>4083</v>
      </c>
      <c r="J191" s="84"/>
      <c r="K191" s="89" t="s">
        <v>4083</v>
      </c>
      <c r="L191" s="84" t="s">
        <v>4083</v>
      </c>
    </row>
    <row r="192" spans="1:12">
      <c r="A192" s="19" t="s">
        <v>889</v>
      </c>
      <c r="B192" s="19" t="s">
        <v>937</v>
      </c>
      <c r="C192" s="19" t="s">
        <v>946</v>
      </c>
      <c r="D192" s="19" t="s">
        <v>4843</v>
      </c>
      <c r="E192" s="19" t="s">
        <v>4844</v>
      </c>
      <c r="F192" s="19" t="s">
        <v>2976</v>
      </c>
      <c r="G192" s="84" t="s">
        <v>4083</v>
      </c>
      <c r="H192" s="84" t="s">
        <v>4083</v>
      </c>
      <c r="I192" s="84" t="s">
        <v>4083</v>
      </c>
      <c r="J192" s="84" t="s">
        <v>4083</v>
      </c>
      <c r="K192" s="89" t="s">
        <v>4083</v>
      </c>
      <c r="L192" s="84" t="s">
        <v>4083</v>
      </c>
    </row>
    <row r="193" spans="1:12">
      <c r="A193" s="61" t="s">
        <v>4845</v>
      </c>
      <c r="B193" s="19" t="s">
        <v>2972</v>
      </c>
      <c r="C193" s="19" t="s">
        <v>4846</v>
      </c>
      <c r="D193" s="19" t="s">
        <v>4847</v>
      </c>
      <c r="E193" s="19" t="s">
        <v>4848</v>
      </c>
      <c r="F193" s="19" t="s">
        <v>2976</v>
      </c>
      <c r="G193" s="84" t="s">
        <v>4849</v>
      </c>
      <c r="H193" s="87" t="s">
        <v>2976</v>
      </c>
      <c r="I193" s="84" t="s">
        <v>4083</v>
      </c>
      <c r="J193" s="84" t="s">
        <v>4083</v>
      </c>
      <c r="K193" s="89" t="s">
        <v>4083</v>
      </c>
      <c r="L193" s="84" t="s">
        <v>4083</v>
      </c>
    </row>
    <row r="194" spans="1:12">
      <c r="A194" s="61" t="s">
        <v>4850</v>
      </c>
      <c r="B194" s="19" t="s">
        <v>131</v>
      </c>
      <c r="C194" s="19" t="s">
        <v>4851</v>
      </c>
      <c r="D194" s="19" t="s">
        <v>4852</v>
      </c>
      <c r="E194" s="19" t="s">
        <v>4853</v>
      </c>
      <c r="F194" s="19" t="s">
        <v>2976</v>
      </c>
      <c r="G194" s="84" t="s">
        <v>4083</v>
      </c>
      <c r="H194" s="19" t="s">
        <v>2976</v>
      </c>
      <c r="I194" s="19" t="s">
        <v>2976</v>
      </c>
      <c r="J194" s="84" t="s">
        <v>4083</v>
      </c>
      <c r="K194" s="89" t="s">
        <v>4083</v>
      </c>
      <c r="L194" s="84" t="s">
        <v>4083</v>
      </c>
    </row>
    <row r="195" spans="1:12">
      <c r="A195" s="61" t="s">
        <v>4854</v>
      </c>
      <c r="B195" s="19" t="s">
        <v>4855</v>
      </c>
      <c r="C195" s="19" t="s">
        <v>4856</v>
      </c>
      <c r="D195" s="19" t="s">
        <v>4857</v>
      </c>
      <c r="E195" s="19" t="s">
        <v>4858</v>
      </c>
      <c r="G195" s="84" t="s">
        <v>4083</v>
      </c>
      <c r="I195" s="19" t="s">
        <v>2976</v>
      </c>
      <c r="J195" s="84" t="s">
        <v>4083</v>
      </c>
      <c r="K195" s="89" t="s">
        <v>4083</v>
      </c>
      <c r="L195" s="19" t="s">
        <v>2976</v>
      </c>
    </row>
    <row r="196" spans="1:12">
      <c r="A196" s="61" t="s">
        <v>144</v>
      </c>
      <c r="B196" s="19" t="s">
        <v>244</v>
      </c>
      <c r="C196" s="19" t="s">
        <v>367</v>
      </c>
      <c r="D196" s="19" t="s">
        <v>4859</v>
      </c>
      <c r="E196" s="19" t="s">
        <v>4860</v>
      </c>
      <c r="F196" s="19" t="s">
        <v>2976</v>
      </c>
      <c r="G196" s="84"/>
      <c r="H196" s="19" t="s">
        <v>2976</v>
      </c>
      <c r="J196" s="84" t="s">
        <v>4083</v>
      </c>
      <c r="K196" s="89" t="s">
        <v>4083</v>
      </c>
      <c r="L196" s="19" t="s">
        <v>2976</v>
      </c>
    </row>
    <row r="197" spans="1:12">
      <c r="A197" s="61" t="s">
        <v>4861</v>
      </c>
      <c r="B197" s="19" t="s">
        <v>2924</v>
      </c>
      <c r="C197" s="19" t="s">
        <v>3004</v>
      </c>
      <c r="D197" s="19" t="s">
        <v>4862</v>
      </c>
      <c r="E197" s="19" t="s">
        <v>4863</v>
      </c>
      <c r="F197" s="19" t="s">
        <v>2976</v>
      </c>
      <c r="G197" s="19" t="s">
        <v>2976</v>
      </c>
      <c r="H197" s="19" t="s">
        <v>2976</v>
      </c>
      <c r="I197" s="19" t="s">
        <v>2976</v>
      </c>
      <c r="J197" s="84" t="s">
        <v>4083</v>
      </c>
      <c r="K197" s="89" t="s">
        <v>4083</v>
      </c>
      <c r="L197" s="84" t="s">
        <v>4083</v>
      </c>
    </row>
    <row r="198" spans="1:12" ht="15" customHeight="1">
      <c r="A198" s="61" t="s">
        <v>2939</v>
      </c>
      <c r="B198" s="19" t="s">
        <v>2940</v>
      </c>
      <c r="C198" s="19" t="s">
        <v>2941</v>
      </c>
      <c r="D198" s="19" t="s">
        <v>4864</v>
      </c>
      <c r="E198" s="19" t="s">
        <v>4865</v>
      </c>
      <c r="F198" s="19" t="s">
        <v>2976</v>
      </c>
      <c r="G198" s="19" t="s">
        <v>2976</v>
      </c>
      <c r="I198" s="84" t="s">
        <v>4083</v>
      </c>
      <c r="J198" s="19" t="s">
        <v>2976</v>
      </c>
      <c r="K198" s="89" t="s">
        <v>4083</v>
      </c>
    </row>
    <row r="199" spans="1:12">
      <c r="A199" s="61" t="s">
        <v>286</v>
      </c>
      <c r="B199" s="19" t="s">
        <v>4866</v>
      </c>
      <c r="C199" s="19" t="s">
        <v>4867</v>
      </c>
      <c r="D199" s="19" t="s">
        <v>4868</v>
      </c>
      <c r="E199" s="19" t="s">
        <v>4869</v>
      </c>
      <c r="F199" s="19" t="s">
        <v>2976</v>
      </c>
      <c r="G199" s="84" t="s">
        <v>4083</v>
      </c>
      <c r="H199" s="19" t="s">
        <v>2976</v>
      </c>
      <c r="I199" s="84" t="s">
        <v>4083</v>
      </c>
      <c r="J199" s="87" t="s">
        <v>2976</v>
      </c>
      <c r="K199" s="89" t="s">
        <v>4083</v>
      </c>
      <c r="L199" s="84" t="s">
        <v>4083</v>
      </c>
    </row>
    <row r="200" spans="1:12">
      <c r="A200" s="61" t="s">
        <v>4870</v>
      </c>
      <c r="B200" s="19" t="s">
        <v>2940</v>
      </c>
      <c r="C200" s="19" t="s">
        <v>4871</v>
      </c>
      <c r="D200" s="19" t="s">
        <v>4872</v>
      </c>
      <c r="E200" s="19" t="s">
        <v>4873</v>
      </c>
      <c r="F200" s="87" t="s">
        <v>2976</v>
      </c>
      <c r="G200" s="84" t="s">
        <v>4083</v>
      </c>
      <c r="H200" s="19" t="s">
        <v>2976</v>
      </c>
      <c r="I200" s="84" t="s">
        <v>4083</v>
      </c>
      <c r="J200" s="87" t="s">
        <v>2976</v>
      </c>
      <c r="K200" s="89" t="s">
        <v>4083</v>
      </c>
      <c r="L200" s="84" t="s">
        <v>4083</v>
      </c>
    </row>
    <row r="201" spans="1:12">
      <c r="A201" s="61" t="s">
        <v>4874</v>
      </c>
      <c r="B201" s="19" t="s">
        <v>2921</v>
      </c>
      <c r="C201" s="19" t="s">
        <v>4875</v>
      </c>
      <c r="D201" s="19" t="s">
        <v>4876</v>
      </c>
      <c r="E201" s="19" t="s">
        <v>4877</v>
      </c>
      <c r="F201" s="84" t="s">
        <v>4083</v>
      </c>
      <c r="G201" s="84" t="s">
        <v>4083</v>
      </c>
      <c r="H201" s="19" t="s">
        <v>2976</v>
      </c>
      <c r="I201" s="84" t="s">
        <v>4083</v>
      </c>
      <c r="J201" s="84" t="s">
        <v>4083</v>
      </c>
      <c r="K201" s="89" t="s">
        <v>4083</v>
      </c>
      <c r="L201" s="19" t="s">
        <v>2976</v>
      </c>
    </row>
    <row r="202" spans="1:12">
      <c r="A202" s="61" t="s">
        <v>4878</v>
      </c>
      <c r="B202" s="19" t="s">
        <v>3334</v>
      </c>
      <c r="C202" s="19" t="s">
        <v>4879</v>
      </c>
      <c r="D202" s="19" t="s">
        <v>4880</v>
      </c>
      <c r="E202" s="19" t="s">
        <v>4881</v>
      </c>
      <c r="F202" s="19" t="s">
        <v>2976</v>
      </c>
      <c r="G202" s="84" t="s">
        <v>4083</v>
      </c>
      <c r="H202" s="19" t="s">
        <v>2976</v>
      </c>
      <c r="I202" s="84" t="s">
        <v>4083</v>
      </c>
      <c r="J202" s="19" t="s">
        <v>2976</v>
      </c>
      <c r="K202" s="89" t="s">
        <v>4083</v>
      </c>
      <c r="L202" s="19" t="s">
        <v>2976</v>
      </c>
    </row>
    <row r="203" spans="1:12">
      <c r="A203" s="61" t="s">
        <v>4882</v>
      </c>
      <c r="B203" s="19" t="s">
        <v>3300</v>
      </c>
      <c r="C203" s="19" t="s">
        <v>4883</v>
      </c>
      <c r="D203" s="19" t="s">
        <v>4104</v>
      </c>
      <c r="E203" s="19" t="s">
        <v>4884</v>
      </c>
      <c r="F203" s="19" t="s">
        <v>2976</v>
      </c>
      <c r="G203" s="84" t="s">
        <v>4083</v>
      </c>
      <c r="I203" s="84" t="s">
        <v>4083</v>
      </c>
      <c r="J203" s="84" t="s">
        <v>4083</v>
      </c>
      <c r="K203" s="89" t="s">
        <v>4083</v>
      </c>
      <c r="L203" s="84" t="s">
        <v>4083</v>
      </c>
    </row>
    <row r="204" spans="1:12">
      <c r="A204" s="61" t="s">
        <v>4885</v>
      </c>
      <c r="B204" s="19" t="s">
        <v>487</v>
      </c>
      <c r="C204" s="19" t="s">
        <v>4886</v>
      </c>
      <c r="D204" s="19" t="s">
        <v>4887</v>
      </c>
      <c r="E204" s="19" t="s">
        <v>4888</v>
      </c>
      <c r="F204" s="19" t="s">
        <v>2976</v>
      </c>
      <c r="H204" s="19" t="s">
        <v>2976</v>
      </c>
      <c r="J204" s="84" t="s">
        <v>4083</v>
      </c>
      <c r="K204" s="89" t="s">
        <v>4083</v>
      </c>
      <c r="L204" s="19" t="s">
        <v>2976</v>
      </c>
    </row>
    <row r="205" spans="1:12">
      <c r="A205" s="61" t="s">
        <v>98</v>
      </c>
      <c r="B205" s="19" t="s">
        <v>975</v>
      </c>
      <c r="C205" s="19" t="s">
        <v>976</v>
      </c>
      <c r="D205" s="19" t="s">
        <v>4889</v>
      </c>
      <c r="E205" s="19" t="s">
        <v>4890</v>
      </c>
      <c r="F205" s="19" t="s">
        <v>2976</v>
      </c>
      <c r="G205" s="84" t="s">
        <v>4083</v>
      </c>
      <c r="H205" s="19" t="s">
        <v>2976</v>
      </c>
      <c r="I205" s="84" t="s">
        <v>4083</v>
      </c>
      <c r="J205" s="19" t="s">
        <v>2976</v>
      </c>
      <c r="K205" s="89" t="s">
        <v>4083</v>
      </c>
      <c r="L205" s="84" t="s">
        <v>4083</v>
      </c>
    </row>
    <row r="206" spans="1:12">
      <c r="A206" s="61" t="s">
        <v>2923</v>
      </c>
      <c r="B206" s="19" t="s">
        <v>2924</v>
      </c>
      <c r="C206" s="19" t="s">
        <v>2925</v>
      </c>
      <c r="D206" s="19" t="s">
        <v>4891</v>
      </c>
      <c r="E206" s="19" t="s">
        <v>4892</v>
      </c>
      <c r="F206" s="19" t="s">
        <v>2976</v>
      </c>
      <c r="G206" s="19" t="s">
        <v>2976</v>
      </c>
      <c r="I206" s="19" t="s">
        <v>2976</v>
      </c>
      <c r="J206" s="84" t="s">
        <v>4083</v>
      </c>
      <c r="K206" s="89" t="s">
        <v>4083</v>
      </c>
    </row>
    <row r="207" spans="1:12">
      <c r="A207" s="61" t="s">
        <v>4893</v>
      </c>
      <c r="B207" s="19" t="s">
        <v>2812</v>
      </c>
      <c r="C207" s="19" t="s">
        <v>2813</v>
      </c>
      <c r="D207" s="19" t="s">
        <v>4894</v>
      </c>
      <c r="E207" s="19" t="s">
        <v>4895</v>
      </c>
      <c r="F207" s="19" t="s">
        <v>2976</v>
      </c>
      <c r="G207" s="84" t="s">
        <v>4083</v>
      </c>
      <c r="H207" s="87" t="s">
        <v>2976</v>
      </c>
      <c r="I207" s="84" t="s">
        <v>4083</v>
      </c>
      <c r="J207" s="84" t="s">
        <v>4083</v>
      </c>
      <c r="K207" s="89" t="s">
        <v>4083</v>
      </c>
      <c r="L207" s="84" t="s">
        <v>4083</v>
      </c>
    </row>
    <row r="208" spans="1:12">
      <c r="A208" s="109" t="s">
        <v>4896</v>
      </c>
      <c r="B208" s="19" t="s">
        <v>487</v>
      </c>
      <c r="C208" s="19" t="s">
        <v>4897</v>
      </c>
      <c r="D208" s="19" t="s">
        <v>4898</v>
      </c>
      <c r="E208" s="19" t="s">
        <v>4899</v>
      </c>
      <c r="G208" s="84" t="s">
        <v>4083</v>
      </c>
      <c r="H208" s="19" t="s">
        <v>2976</v>
      </c>
      <c r="K208" s="89" t="s">
        <v>4083</v>
      </c>
      <c r="L208" s="19" t="s">
        <v>2976</v>
      </c>
    </row>
    <row r="209" spans="1:12">
      <c r="A209" s="61" t="s">
        <v>4900</v>
      </c>
      <c r="B209" s="19" t="s">
        <v>196</v>
      </c>
      <c r="C209" s="19" t="s">
        <v>4901</v>
      </c>
      <c r="D209" s="19" t="s">
        <v>4902</v>
      </c>
      <c r="E209" s="19" t="s">
        <v>4903</v>
      </c>
      <c r="F209" s="19" t="s">
        <v>2976</v>
      </c>
      <c r="G209" s="84" t="s">
        <v>4083</v>
      </c>
      <c r="H209" s="19" t="s">
        <v>2976</v>
      </c>
      <c r="I209" s="84" t="s">
        <v>4083</v>
      </c>
      <c r="J209" s="19" t="s">
        <v>2976</v>
      </c>
      <c r="K209" s="89" t="s">
        <v>4083</v>
      </c>
      <c r="L209" s="19" t="s">
        <v>2976</v>
      </c>
    </row>
    <row r="210" spans="1:12">
      <c r="A210" s="61" t="s">
        <v>4904</v>
      </c>
      <c r="B210" s="19" t="s">
        <v>4905</v>
      </c>
      <c r="C210" s="19" t="s">
        <v>1033</v>
      </c>
      <c r="D210" s="19" t="s">
        <v>4906</v>
      </c>
      <c r="E210" s="19" t="s">
        <v>4907</v>
      </c>
      <c r="F210" s="19" t="s">
        <v>2976</v>
      </c>
      <c r="G210" s="84" t="s">
        <v>4083</v>
      </c>
      <c r="H210" s="19" t="s">
        <v>2976</v>
      </c>
      <c r="I210" s="84" t="s">
        <v>4083</v>
      </c>
      <c r="J210" s="84" t="s">
        <v>4083</v>
      </c>
      <c r="K210" s="89" t="s">
        <v>4083</v>
      </c>
      <c r="L210" s="84" t="s">
        <v>4083</v>
      </c>
    </row>
    <row r="211" spans="1:12">
      <c r="A211" s="61" t="s">
        <v>4908</v>
      </c>
      <c r="B211" s="19" t="s">
        <v>2921</v>
      </c>
      <c r="C211" s="19" t="s">
        <v>4909</v>
      </c>
      <c r="D211" s="19" t="s">
        <v>4910</v>
      </c>
      <c r="E211" s="19" t="s">
        <v>4911</v>
      </c>
      <c r="F211" s="19" t="s">
        <v>2976</v>
      </c>
      <c r="G211" s="84" t="s">
        <v>4083</v>
      </c>
      <c r="H211" s="19" t="s">
        <v>2976</v>
      </c>
      <c r="I211" s="84" t="s">
        <v>4083</v>
      </c>
      <c r="K211" s="89" t="s">
        <v>4083</v>
      </c>
      <c r="L211" s="19" t="s">
        <v>2976</v>
      </c>
    </row>
    <row r="212" spans="1:12">
      <c r="A212" s="61" t="s">
        <v>584</v>
      </c>
      <c r="B212" s="19" t="s">
        <v>553</v>
      </c>
      <c r="C212" s="19" t="s">
        <v>568</v>
      </c>
      <c r="D212" s="19" t="s">
        <v>4912</v>
      </c>
      <c r="E212" s="19" t="s">
        <v>4913</v>
      </c>
      <c r="F212" s="19" t="s">
        <v>2976</v>
      </c>
      <c r="G212" s="84" t="s">
        <v>4083</v>
      </c>
      <c r="H212" s="84" t="s">
        <v>4083</v>
      </c>
      <c r="I212" s="84" t="s">
        <v>4083</v>
      </c>
      <c r="J212" s="84" t="s">
        <v>4083</v>
      </c>
      <c r="K212" s="55" t="s">
        <v>2976</v>
      </c>
      <c r="L212" s="84" t="s">
        <v>4083</v>
      </c>
    </row>
    <row r="213" spans="1:12">
      <c r="A213" s="61" t="s">
        <v>4914</v>
      </c>
      <c r="B213" s="19" t="s">
        <v>244</v>
      </c>
      <c r="C213" s="19" t="s">
        <v>1042</v>
      </c>
      <c r="D213" s="19" t="s">
        <v>4859</v>
      </c>
      <c r="E213" s="19" t="s">
        <v>4915</v>
      </c>
      <c r="F213" s="19" t="s">
        <v>2976</v>
      </c>
      <c r="G213" s="84" t="s">
        <v>4083</v>
      </c>
      <c r="H213" s="19" t="s">
        <v>2976</v>
      </c>
      <c r="I213" s="84" t="s">
        <v>4083</v>
      </c>
      <c r="J213" s="84" t="s">
        <v>4083</v>
      </c>
      <c r="K213" s="89" t="s">
        <v>4083</v>
      </c>
      <c r="L213" s="19" t="s">
        <v>2976</v>
      </c>
    </row>
    <row r="214" spans="1:12">
      <c r="A214" s="61" t="s">
        <v>2807</v>
      </c>
      <c r="B214" s="19" t="s">
        <v>2808</v>
      </c>
      <c r="C214" s="19" t="s">
        <v>2809</v>
      </c>
      <c r="D214" s="19" t="s">
        <v>4916</v>
      </c>
      <c r="E214" s="19" t="s">
        <v>4917</v>
      </c>
      <c r="F214" s="19" t="s">
        <v>2976</v>
      </c>
      <c r="G214" s="84" t="s">
        <v>4083</v>
      </c>
      <c r="I214" s="84" t="s">
        <v>4083</v>
      </c>
      <c r="K214" s="89" t="s">
        <v>4083</v>
      </c>
      <c r="L214" s="19" t="s">
        <v>2976</v>
      </c>
    </row>
    <row r="215" spans="1:12">
      <c r="A215" s="61" t="s">
        <v>2644</v>
      </c>
      <c r="B215" s="19" t="s">
        <v>2832</v>
      </c>
      <c r="C215" s="19" t="s">
        <v>2833</v>
      </c>
      <c r="D215" s="19" t="s">
        <v>4918</v>
      </c>
      <c r="E215" s="19" t="s">
        <v>4919</v>
      </c>
      <c r="F215" s="19" t="s">
        <v>2976</v>
      </c>
      <c r="G215" s="84" t="s">
        <v>4083</v>
      </c>
      <c r="I215" s="84" t="s">
        <v>4083</v>
      </c>
      <c r="K215" s="89" t="s">
        <v>4083</v>
      </c>
      <c r="L215" s="19" t="s">
        <v>2976</v>
      </c>
    </row>
    <row r="216" spans="1:12">
      <c r="A216" s="61" t="s">
        <v>2920</v>
      </c>
      <c r="B216" s="19" t="s">
        <v>2921</v>
      </c>
      <c r="C216" s="19" t="s">
        <v>2922</v>
      </c>
      <c r="D216" s="19" t="s">
        <v>4920</v>
      </c>
      <c r="E216" s="19" t="s">
        <v>4921</v>
      </c>
      <c r="F216" s="19" t="s">
        <v>2976</v>
      </c>
      <c r="G216" s="84" t="s">
        <v>4083</v>
      </c>
      <c r="H216" s="19" t="s">
        <v>2976</v>
      </c>
      <c r="I216" s="84" t="s">
        <v>4083</v>
      </c>
      <c r="J216" s="84" t="s">
        <v>4083</v>
      </c>
      <c r="K216" s="89" t="s">
        <v>4083</v>
      </c>
      <c r="L216" s="19" t="s">
        <v>2976</v>
      </c>
    </row>
    <row r="217" spans="1:12">
      <c r="A217" s="61" t="s">
        <v>4922</v>
      </c>
      <c r="B217" s="19" t="s">
        <v>3324</v>
      </c>
      <c r="C217" s="19" t="s">
        <v>4923</v>
      </c>
      <c r="D217" s="19" t="s">
        <v>4924</v>
      </c>
      <c r="E217" s="19" t="s">
        <v>4925</v>
      </c>
      <c r="F217" s="19" t="s">
        <v>2976</v>
      </c>
      <c r="G217" s="84" t="s">
        <v>4083</v>
      </c>
      <c r="H217" s="19" t="s">
        <v>2976</v>
      </c>
      <c r="I217" s="84" t="s">
        <v>4083</v>
      </c>
      <c r="J217" s="84" t="s">
        <v>4083</v>
      </c>
      <c r="K217" s="89" t="s">
        <v>4083</v>
      </c>
      <c r="L217" s="87" t="s">
        <v>2976</v>
      </c>
    </row>
    <row r="218" spans="1:12">
      <c r="A218" s="61" t="s">
        <v>4926</v>
      </c>
      <c r="B218" s="19" t="s">
        <v>2918</v>
      </c>
      <c r="C218" s="19" t="s">
        <v>4927</v>
      </c>
      <c r="D218" s="19" t="s">
        <v>4928</v>
      </c>
      <c r="E218" s="19" t="s">
        <v>4929</v>
      </c>
      <c r="F218" s="19" t="s">
        <v>2976</v>
      </c>
      <c r="G218" s="84" t="s">
        <v>4083</v>
      </c>
      <c r="H218" s="19" t="s">
        <v>2976</v>
      </c>
      <c r="I218" s="84" t="s">
        <v>4083</v>
      </c>
      <c r="J218" s="84" t="s">
        <v>4083</v>
      </c>
      <c r="K218" s="89" t="s">
        <v>4083</v>
      </c>
      <c r="L218" s="19" t="s">
        <v>2976</v>
      </c>
    </row>
    <row r="219" spans="1:12">
      <c r="A219" s="61" t="s">
        <v>563</v>
      </c>
      <c r="B219" s="19" t="s">
        <v>564</v>
      </c>
      <c r="C219" s="19" t="s">
        <v>4930</v>
      </c>
      <c r="D219" s="19" t="s">
        <v>4931</v>
      </c>
      <c r="E219" s="19" t="s">
        <v>4932</v>
      </c>
      <c r="F219" s="19" t="s">
        <v>2976</v>
      </c>
      <c r="G219" s="84" t="s">
        <v>4083</v>
      </c>
      <c r="H219" s="84" t="s">
        <v>4083</v>
      </c>
      <c r="I219" s="84" t="s">
        <v>4083</v>
      </c>
      <c r="J219" s="84" t="s">
        <v>4083</v>
      </c>
      <c r="K219" s="89" t="s">
        <v>4083</v>
      </c>
      <c r="L219" s="19" t="s">
        <v>2976</v>
      </c>
    </row>
    <row r="220" spans="1:12">
      <c r="A220" s="61" t="s">
        <v>511</v>
      </c>
      <c r="B220" s="19" t="s">
        <v>512</v>
      </c>
      <c r="C220" s="19" t="s">
        <v>513</v>
      </c>
      <c r="D220" s="19" t="s">
        <v>4933</v>
      </c>
      <c r="E220" s="19" t="s">
        <v>4934</v>
      </c>
      <c r="F220" s="19" t="s">
        <v>2976</v>
      </c>
      <c r="G220" s="84" t="s">
        <v>4083</v>
      </c>
      <c r="H220" s="84" t="s">
        <v>4083</v>
      </c>
      <c r="I220" s="87" t="s">
        <v>2976</v>
      </c>
      <c r="J220" s="19" t="s">
        <v>2976</v>
      </c>
      <c r="K220" s="89" t="s">
        <v>4083</v>
      </c>
      <c r="L220" s="84" t="s">
        <v>4083</v>
      </c>
    </row>
    <row r="221" spans="1:12">
      <c r="A221" s="61" t="s">
        <v>486</v>
      </c>
      <c r="B221" s="19" t="s">
        <v>487</v>
      </c>
      <c r="C221" s="19" t="s">
        <v>488</v>
      </c>
      <c r="D221" s="19" t="s">
        <v>4935</v>
      </c>
      <c r="E221" s="19" t="s">
        <v>4936</v>
      </c>
      <c r="G221" s="84" t="s">
        <v>4083</v>
      </c>
      <c r="H221" s="19" t="s">
        <v>2976</v>
      </c>
      <c r="J221" s="84" t="s">
        <v>4083</v>
      </c>
      <c r="K221" s="89" t="s">
        <v>4083</v>
      </c>
      <c r="L221" s="84" t="s">
        <v>4083</v>
      </c>
    </row>
    <row r="222" spans="1:12">
      <c r="A222" s="110" t="s">
        <v>4937</v>
      </c>
      <c r="B222" s="19" t="s">
        <v>341</v>
      </c>
      <c r="C222" s="19" t="s">
        <v>712</v>
      </c>
      <c r="D222" s="19" t="s">
        <v>4938</v>
      </c>
      <c r="E222" s="19" t="s">
        <v>4939</v>
      </c>
      <c r="F222" s="19" t="s">
        <v>2976</v>
      </c>
      <c r="G222" s="84" t="s">
        <v>4083</v>
      </c>
      <c r="H222" s="84" t="s">
        <v>4083</v>
      </c>
      <c r="I222" s="84" t="s">
        <v>4083</v>
      </c>
      <c r="J222" s="84" t="s">
        <v>4083</v>
      </c>
      <c r="K222" s="89" t="s">
        <v>4083</v>
      </c>
      <c r="L222" s="19" t="s">
        <v>2976</v>
      </c>
    </row>
    <row r="223" spans="1:12">
      <c r="A223" s="111" t="s">
        <v>4940</v>
      </c>
      <c r="B223" s="19" t="s">
        <v>2924</v>
      </c>
      <c r="C223" s="19" t="s">
        <v>4941</v>
      </c>
      <c r="D223" s="19" t="s">
        <v>4942</v>
      </c>
      <c r="E223" s="19" t="s">
        <v>4943</v>
      </c>
      <c r="F223" s="19" t="s">
        <v>2976</v>
      </c>
      <c r="G223" s="19" t="s">
        <v>2976</v>
      </c>
      <c r="I223" s="19" t="s">
        <v>2976</v>
      </c>
      <c r="J223" s="84" t="s">
        <v>4083</v>
      </c>
      <c r="K223" s="89" t="s">
        <v>4083</v>
      </c>
      <c r="L223" s="19" t="s">
        <v>2976</v>
      </c>
    </row>
    <row r="224" spans="1:12">
      <c r="A224" s="61" t="s">
        <v>172</v>
      </c>
      <c r="B224" s="19" t="s">
        <v>1038</v>
      </c>
      <c r="C224" s="19" t="s">
        <v>1039</v>
      </c>
      <c r="D224" s="19" t="s">
        <v>4944</v>
      </c>
      <c r="E224" s="19" t="s">
        <v>4945</v>
      </c>
      <c r="F224" s="19" t="s">
        <v>2976</v>
      </c>
      <c r="G224" s="84" t="s">
        <v>4083</v>
      </c>
      <c r="H224" s="19" t="s">
        <v>2976</v>
      </c>
      <c r="J224" s="19" t="s">
        <v>2976</v>
      </c>
      <c r="K224" s="89" t="s">
        <v>4083</v>
      </c>
      <c r="L224" s="84" t="s">
        <v>4083</v>
      </c>
    </row>
    <row r="225" spans="1:12">
      <c r="A225" s="61" t="s">
        <v>4946</v>
      </c>
      <c r="B225" s="19" t="s">
        <v>3334</v>
      </c>
      <c r="C225" s="19" t="s">
        <v>4947</v>
      </c>
      <c r="D225" s="19" t="s">
        <v>4948</v>
      </c>
      <c r="E225" s="19" t="s">
        <v>4949</v>
      </c>
      <c r="F225" s="19" t="s">
        <v>2976</v>
      </c>
      <c r="G225" s="84" t="s">
        <v>4083</v>
      </c>
      <c r="H225" s="19" t="s">
        <v>2976</v>
      </c>
      <c r="I225" s="84" t="s">
        <v>4083</v>
      </c>
      <c r="J225" s="87" t="s">
        <v>2976</v>
      </c>
      <c r="K225" s="89" t="s">
        <v>4083</v>
      </c>
      <c r="L225" s="19" t="s">
        <v>2976</v>
      </c>
    </row>
    <row r="226" spans="1:12">
      <c r="A226" s="61" t="s">
        <v>118</v>
      </c>
      <c r="B226" s="19" t="s">
        <v>119</v>
      </c>
      <c r="C226" s="19" t="s">
        <v>120</v>
      </c>
      <c r="D226" s="19" t="s">
        <v>4950</v>
      </c>
      <c r="E226" s="19" t="s">
        <v>4951</v>
      </c>
      <c r="F226" s="19" t="s">
        <v>2976</v>
      </c>
      <c r="G226" s="84" t="s">
        <v>4083</v>
      </c>
      <c r="H226" s="19" t="s">
        <v>2976</v>
      </c>
      <c r="I226" s="84" t="s">
        <v>4083</v>
      </c>
      <c r="J226" s="84" t="s">
        <v>4083</v>
      </c>
      <c r="K226" s="89" t="s">
        <v>4083</v>
      </c>
      <c r="L226" s="84" t="s">
        <v>4083</v>
      </c>
    </row>
    <row r="227" spans="1:12">
      <c r="A227" s="61" t="s">
        <v>4952</v>
      </c>
      <c r="B227" s="19" t="s">
        <v>3187</v>
      </c>
      <c r="C227" s="19" t="s">
        <v>4953</v>
      </c>
      <c r="D227" s="19" t="s">
        <v>4954</v>
      </c>
      <c r="E227" s="19" t="s">
        <v>4955</v>
      </c>
      <c r="F227" s="19" t="s">
        <v>2976</v>
      </c>
      <c r="G227" s="84" t="s">
        <v>4083</v>
      </c>
      <c r="H227" s="19" t="s">
        <v>2976</v>
      </c>
      <c r="K227" s="89" t="s">
        <v>4083</v>
      </c>
      <c r="L227" s="84" t="s">
        <v>4083</v>
      </c>
    </row>
    <row r="228" spans="1:12">
      <c r="A228" s="61" t="s">
        <v>2574</v>
      </c>
      <c r="B228" s="19" t="s">
        <v>2575</v>
      </c>
      <c r="C228" s="19" t="s">
        <v>2576</v>
      </c>
      <c r="D228" s="19" t="s">
        <v>4956</v>
      </c>
      <c r="E228" s="19" t="s">
        <v>4957</v>
      </c>
      <c r="F228" s="19" t="s">
        <v>2976</v>
      </c>
      <c r="G228" s="84" t="s">
        <v>4083</v>
      </c>
      <c r="H228" s="19" t="s">
        <v>2976</v>
      </c>
      <c r="I228" s="84" t="s">
        <v>4083</v>
      </c>
      <c r="J228" s="84" t="s">
        <v>4083</v>
      </c>
      <c r="K228" s="89" t="s">
        <v>4083</v>
      </c>
      <c r="L228" s="84" t="s">
        <v>4083</v>
      </c>
    </row>
    <row r="229" spans="1:12">
      <c r="A229" s="109" t="s">
        <v>4958</v>
      </c>
      <c r="B229" s="19" t="s">
        <v>4959</v>
      </c>
      <c r="C229" s="19" t="s">
        <v>4960</v>
      </c>
      <c r="D229" s="19" t="s">
        <v>4961</v>
      </c>
      <c r="E229" s="19" t="s">
        <v>4962</v>
      </c>
      <c r="F229" s="19" t="s">
        <v>2976</v>
      </c>
      <c r="G229" s="84" t="s">
        <v>4083</v>
      </c>
      <c r="H229" s="19" t="s">
        <v>2976</v>
      </c>
      <c r="I229" s="84" t="s">
        <v>4083</v>
      </c>
      <c r="J229" s="84" t="s">
        <v>4083</v>
      </c>
      <c r="K229" s="89" t="s">
        <v>4083</v>
      </c>
      <c r="L229" s="19" t="s">
        <v>2976</v>
      </c>
    </row>
    <row r="230" spans="1:12">
      <c r="A230" s="61" t="s">
        <v>651</v>
      </c>
      <c r="B230" s="19" t="s">
        <v>652</v>
      </c>
      <c r="C230" s="19" t="s">
        <v>653</v>
      </c>
      <c r="D230" s="19" t="s">
        <v>4963</v>
      </c>
      <c r="E230" s="19" t="s">
        <v>4964</v>
      </c>
      <c r="F230" s="19" t="s">
        <v>2976</v>
      </c>
      <c r="G230" s="84" t="s">
        <v>4083</v>
      </c>
      <c r="H230" s="84" t="s">
        <v>4083</v>
      </c>
      <c r="I230" s="84" t="s">
        <v>4083</v>
      </c>
      <c r="J230" s="84" t="s">
        <v>4083</v>
      </c>
      <c r="K230" s="89" t="s">
        <v>4083</v>
      </c>
      <c r="L230" s="84" t="s">
        <v>4083</v>
      </c>
    </row>
    <row r="231" spans="1:12">
      <c r="A231" s="61" t="s">
        <v>89</v>
      </c>
      <c r="B231" s="19" t="s">
        <v>91</v>
      </c>
      <c r="C231" s="19" t="s">
        <v>92</v>
      </c>
      <c r="D231" s="19" t="s">
        <v>4965</v>
      </c>
      <c r="E231" s="19" t="s">
        <v>4966</v>
      </c>
      <c r="F231" s="19" t="s">
        <v>2976</v>
      </c>
      <c r="G231" s="19" t="s">
        <v>2976</v>
      </c>
      <c r="H231" s="19" t="s">
        <v>2976</v>
      </c>
      <c r="I231" s="84" t="s">
        <v>4083</v>
      </c>
      <c r="J231" s="84" t="s">
        <v>4083</v>
      </c>
      <c r="K231" s="89" t="s">
        <v>4083</v>
      </c>
      <c r="L231" s="19" t="s">
        <v>2976</v>
      </c>
    </row>
    <row r="232" spans="1:12">
      <c r="A232" s="61" t="s">
        <v>4967</v>
      </c>
      <c r="B232" s="112" t="s">
        <v>956</v>
      </c>
      <c r="C232" s="19" t="s">
        <v>4968</v>
      </c>
      <c r="D232" s="19" t="s">
        <v>4969</v>
      </c>
      <c r="E232" s="19" t="s">
        <v>4970</v>
      </c>
      <c r="F232" s="19" t="s">
        <v>2976</v>
      </c>
      <c r="G232" s="19" t="s">
        <v>2976</v>
      </c>
      <c r="I232" s="84" t="s">
        <v>4083</v>
      </c>
      <c r="J232" s="84" t="s">
        <v>4083</v>
      </c>
      <c r="K232" s="113" t="s">
        <v>2976</v>
      </c>
      <c r="L232" s="84" t="s">
        <v>4083</v>
      </c>
    </row>
    <row r="233" spans="1:12">
      <c r="A233" s="61" t="s">
        <v>4971</v>
      </c>
      <c r="B233" s="19" t="s">
        <v>2934</v>
      </c>
      <c r="C233" s="19" t="s">
        <v>4972</v>
      </c>
      <c r="D233" s="19" t="s">
        <v>4973</v>
      </c>
      <c r="E233" s="107" t="s">
        <v>4974</v>
      </c>
      <c r="F233" s="19" t="s">
        <v>2976</v>
      </c>
      <c r="G233" s="84" t="s">
        <v>4083</v>
      </c>
      <c r="H233" s="19" t="s">
        <v>2976</v>
      </c>
      <c r="I233" s="84" t="s">
        <v>4083</v>
      </c>
      <c r="J233" s="84" t="s">
        <v>4083</v>
      </c>
      <c r="K233" s="89" t="s">
        <v>4083</v>
      </c>
      <c r="L233" s="19" t="s">
        <v>2976</v>
      </c>
    </row>
    <row r="234" spans="1:12">
      <c r="A234" s="61" t="s">
        <v>4975</v>
      </c>
      <c r="B234" s="19" t="s">
        <v>2316</v>
      </c>
      <c r="C234" s="103" t="s">
        <v>4976</v>
      </c>
      <c r="D234" s="19" t="s">
        <v>4977</v>
      </c>
      <c r="E234" s="19" t="s">
        <v>4978</v>
      </c>
      <c r="G234" s="84" t="s">
        <v>4083</v>
      </c>
      <c r="H234" s="19" t="s">
        <v>2976</v>
      </c>
      <c r="I234" s="84" t="s">
        <v>4083</v>
      </c>
      <c r="J234" s="84" t="s">
        <v>4083</v>
      </c>
      <c r="K234" s="84" t="s">
        <v>4083</v>
      </c>
      <c r="L234" s="84" t="s">
        <v>4083</v>
      </c>
    </row>
    <row r="235" spans="1:12">
      <c r="A235" s="61" t="s">
        <v>4979</v>
      </c>
      <c r="B235" s="19" t="s">
        <v>3172</v>
      </c>
      <c r="C235" s="19" t="s">
        <v>4980</v>
      </c>
      <c r="D235" s="19" t="s">
        <v>4981</v>
      </c>
      <c r="E235" s="19" t="s">
        <v>4982</v>
      </c>
      <c r="F235" s="19" t="s">
        <v>2976</v>
      </c>
      <c r="G235" s="84" t="s">
        <v>4083</v>
      </c>
      <c r="H235" s="19" t="s">
        <v>2976</v>
      </c>
      <c r="I235" s="19" t="s">
        <v>2976</v>
      </c>
      <c r="J235" s="19" t="s">
        <v>2976</v>
      </c>
      <c r="K235" s="84" t="s">
        <v>4083</v>
      </c>
      <c r="L235" s="84" t="s">
        <v>4083</v>
      </c>
    </row>
    <row r="236" spans="1:12">
      <c r="A236" s="61" t="s">
        <v>4983</v>
      </c>
      <c r="B236" s="19" t="s">
        <v>3042</v>
      </c>
      <c r="C236" s="19" t="s">
        <v>4984</v>
      </c>
      <c r="D236" s="19" t="s">
        <v>4985</v>
      </c>
      <c r="E236" s="19" t="s">
        <v>4986</v>
      </c>
      <c r="F236" s="19" t="s">
        <v>2976</v>
      </c>
      <c r="G236" s="84" t="s">
        <v>4083</v>
      </c>
      <c r="H236" s="87" t="s">
        <v>2976</v>
      </c>
      <c r="I236" s="84" t="s">
        <v>4083</v>
      </c>
      <c r="J236" s="84" t="s">
        <v>4083</v>
      </c>
      <c r="K236" s="89" t="s">
        <v>4083</v>
      </c>
      <c r="L236" s="84" t="s">
        <v>4083</v>
      </c>
    </row>
    <row r="237" spans="1:12">
      <c r="A237" s="61" t="s">
        <v>4987</v>
      </c>
      <c r="B237" s="19" t="s">
        <v>3414</v>
      </c>
      <c r="C237" s="19" t="s">
        <v>4988</v>
      </c>
      <c r="D237" s="19" t="s">
        <v>4989</v>
      </c>
      <c r="E237" s="19" t="s">
        <v>4990</v>
      </c>
      <c r="F237" s="19" t="s">
        <v>2976</v>
      </c>
      <c r="G237" s="19" t="s">
        <v>2976</v>
      </c>
      <c r="K237" s="84" t="s">
        <v>4083</v>
      </c>
      <c r="L237" s="19" t="s">
        <v>2976</v>
      </c>
    </row>
    <row r="238" spans="1:12">
      <c r="A238" s="61" t="s">
        <v>4991</v>
      </c>
      <c r="B238" s="19" t="s">
        <v>3425</v>
      </c>
      <c r="C238" s="19" t="s">
        <v>4992</v>
      </c>
      <c r="D238" s="19" t="s">
        <v>4993</v>
      </c>
      <c r="E238" s="19" t="s">
        <v>4994</v>
      </c>
      <c r="F238" s="19" t="s">
        <v>2976</v>
      </c>
      <c r="G238" s="84" t="s">
        <v>4083</v>
      </c>
      <c r="H238" s="19" t="s">
        <v>2976</v>
      </c>
      <c r="I238" s="84" t="s">
        <v>4083</v>
      </c>
      <c r="J238" s="84" t="s">
        <v>4083</v>
      </c>
      <c r="K238" s="84" t="s">
        <v>4083</v>
      </c>
      <c r="L238" s="19" t="s">
        <v>2976</v>
      </c>
    </row>
    <row r="239" spans="1:12">
      <c r="A239" s="61" t="s">
        <v>4995</v>
      </c>
      <c r="B239" s="7" t="s">
        <v>2955</v>
      </c>
      <c r="C239" s="4" t="s">
        <v>4996</v>
      </c>
      <c r="D239" s="19" t="s">
        <v>4997</v>
      </c>
      <c r="E239" s="19" t="s">
        <v>4998</v>
      </c>
      <c r="F239" s="19" t="s">
        <v>2976</v>
      </c>
      <c r="G239" s="84" t="s">
        <v>4083</v>
      </c>
      <c r="H239" s="87" t="s">
        <v>2976</v>
      </c>
      <c r="I239" s="84" t="s">
        <v>4083</v>
      </c>
      <c r="J239" s="84" t="s">
        <v>4083</v>
      </c>
      <c r="K239" s="84" t="s">
        <v>4083</v>
      </c>
      <c r="L239" s="19" t="s">
        <v>2976</v>
      </c>
    </row>
    <row r="240" spans="1:12">
      <c r="A240" s="61" t="s">
        <v>4999</v>
      </c>
      <c r="B240" s="29" t="s">
        <v>2947</v>
      </c>
      <c r="C240" s="29" t="s">
        <v>5000</v>
      </c>
      <c r="D240" s="19" t="s">
        <v>5001</v>
      </c>
      <c r="E240" s="19" t="s">
        <v>5002</v>
      </c>
      <c r="F240" s="19" t="s">
        <v>2976</v>
      </c>
      <c r="G240" s="19" t="s">
        <v>2976</v>
      </c>
      <c r="I240" s="19" t="s">
        <v>2976</v>
      </c>
      <c r="K240" s="84" t="s">
        <v>4083</v>
      </c>
      <c r="L240" s="19" t="s">
        <v>2976</v>
      </c>
    </row>
    <row r="241" spans="1:12">
      <c r="A241" s="61" t="s">
        <v>2937</v>
      </c>
      <c r="B241" s="19" t="s">
        <v>2924</v>
      </c>
      <c r="C241" s="19" t="s">
        <v>2938</v>
      </c>
      <c r="D241" s="19" t="s">
        <v>5003</v>
      </c>
      <c r="E241" s="19" t="s">
        <v>5004</v>
      </c>
      <c r="F241" s="19" t="s">
        <v>2976</v>
      </c>
      <c r="G241" s="19" t="s">
        <v>2976</v>
      </c>
      <c r="I241" s="19" t="s">
        <v>2976</v>
      </c>
      <c r="J241" s="19" t="s">
        <v>2976</v>
      </c>
      <c r="K241" s="84" t="s">
        <v>4083</v>
      </c>
      <c r="L241" s="19" t="s">
        <v>2976</v>
      </c>
    </row>
    <row r="242" spans="1:12">
      <c r="A242" s="61" t="s">
        <v>5005</v>
      </c>
      <c r="B242" s="19" t="s">
        <v>2140</v>
      </c>
      <c r="C242" s="19" t="s">
        <v>5006</v>
      </c>
      <c r="D242" s="19" t="s">
        <v>5007</v>
      </c>
      <c r="E242" s="19" t="s">
        <v>5008</v>
      </c>
      <c r="F242" s="19" t="s">
        <v>2976</v>
      </c>
      <c r="G242" s="84" t="s">
        <v>4083</v>
      </c>
      <c r="H242" s="19" t="s">
        <v>2976</v>
      </c>
      <c r="I242" s="84" t="s">
        <v>4083</v>
      </c>
      <c r="J242" s="87" t="s">
        <v>2976</v>
      </c>
      <c r="K242" s="84" t="s">
        <v>4083</v>
      </c>
      <c r="L242" s="19" t="s">
        <v>2976</v>
      </c>
    </row>
    <row r="243" spans="1:12">
      <c r="A243" s="61" t="s">
        <v>1690</v>
      </c>
      <c r="B243" s="19" t="s">
        <v>5009</v>
      </c>
      <c r="C243" s="19" t="s">
        <v>1692</v>
      </c>
      <c r="D243" s="19" t="s">
        <v>5010</v>
      </c>
      <c r="E243" s="19" t="s">
        <v>5011</v>
      </c>
      <c r="F243" s="19" t="s">
        <v>2976</v>
      </c>
      <c r="G243" s="19" t="s">
        <v>2976</v>
      </c>
      <c r="H243" s="19" t="s">
        <v>2976</v>
      </c>
      <c r="I243" s="84" t="s">
        <v>4083</v>
      </c>
      <c r="J243" s="19" t="s">
        <v>2976</v>
      </c>
      <c r="K243" s="84" t="s">
        <v>4083</v>
      </c>
    </row>
    <row r="244" spans="1:12">
      <c r="A244" s="61" t="s">
        <v>134</v>
      </c>
      <c r="B244" s="20" t="s">
        <v>5012</v>
      </c>
      <c r="C244" s="103" t="s">
        <v>822</v>
      </c>
      <c r="D244" s="19" t="s">
        <v>5013</v>
      </c>
      <c r="E244" s="19" t="s">
        <v>5014</v>
      </c>
      <c r="F244" s="19" t="s">
        <v>2976</v>
      </c>
      <c r="G244" s="84" t="s">
        <v>4083</v>
      </c>
      <c r="H244" s="19" t="s">
        <v>2976</v>
      </c>
      <c r="J244" s="19" t="s">
        <v>2976</v>
      </c>
      <c r="K244" s="84" t="s">
        <v>4083</v>
      </c>
      <c r="L244" s="84" t="s">
        <v>4083</v>
      </c>
    </row>
    <row r="245" spans="1:12">
      <c r="A245" s="61" t="s">
        <v>5015</v>
      </c>
      <c r="B245" s="19" t="s">
        <v>467</v>
      </c>
      <c r="C245" s="19" t="s">
        <v>5016</v>
      </c>
      <c r="D245" s="19" t="s">
        <v>5017</v>
      </c>
      <c r="E245" s="19" t="s">
        <v>5018</v>
      </c>
      <c r="F245" s="19" t="s">
        <v>2976</v>
      </c>
      <c r="G245" s="19" t="s">
        <v>2976</v>
      </c>
      <c r="H245" s="19" t="s">
        <v>2976</v>
      </c>
      <c r="I245" s="84" t="s">
        <v>4083</v>
      </c>
      <c r="J245" s="84" t="s">
        <v>4083</v>
      </c>
      <c r="K245" s="55" t="s">
        <v>2976</v>
      </c>
      <c r="L245" s="19" t="s">
        <v>2976</v>
      </c>
    </row>
    <row r="246" spans="1:12">
      <c r="A246" s="61" t="s">
        <v>5019</v>
      </c>
      <c r="B246" s="114" t="s">
        <v>187</v>
      </c>
      <c r="C246" s="114" t="s">
        <v>349</v>
      </c>
      <c r="D246" s="19" t="s">
        <v>5020</v>
      </c>
      <c r="E246" s="19" t="s">
        <v>5021</v>
      </c>
      <c r="F246" s="19" t="s">
        <v>2976</v>
      </c>
      <c r="G246" s="19" t="s">
        <v>2976</v>
      </c>
      <c r="H246" s="19" t="s">
        <v>2976</v>
      </c>
      <c r="K246" s="89" t="s">
        <v>4083</v>
      </c>
      <c r="L246" s="19" t="s">
        <v>2976</v>
      </c>
    </row>
    <row r="247" spans="1:12">
      <c r="A247" s="61" t="s">
        <v>5022</v>
      </c>
      <c r="B247" s="36" t="s">
        <v>5023</v>
      </c>
      <c r="C247" s="36" t="s">
        <v>5024</v>
      </c>
      <c r="D247" s="19" t="s">
        <v>5025</v>
      </c>
      <c r="E247" s="19" t="s">
        <v>5026</v>
      </c>
      <c r="F247" s="19" t="s">
        <v>2976</v>
      </c>
      <c r="G247" s="84" t="s">
        <v>4083</v>
      </c>
      <c r="H247" s="19" t="s">
        <v>2976</v>
      </c>
      <c r="I247" s="84" t="s">
        <v>4083</v>
      </c>
      <c r="J247" s="19" t="s">
        <v>2976</v>
      </c>
      <c r="K247" s="84" t="s">
        <v>4083</v>
      </c>
      <c r="L247" s="84" t="s">
        <v>4083</v>
      </c>
    </row>
    <row r="248" spans="1:12">
      <c r="A248" s="61" t="s">
        <v>5027</v>
      </c>
      <c r="B248" s="19" t="s">
        <v>1059</v>
      </c>
      <c r="C248" s="19" t="s">
        <v>5028</v>
      </c>
      <c r="D248" s="19" t="s">
        <v>5029</v>
      </c>
      <c r="E248" s="19" t="s">
        <v>5030</v>
      </c>
      <c r="F248" s="19" t="s">
        <v>2976</v>
      </c>
      <c r="G248" s="84" t="s">
        <v>4083</v>
      </c>
      <c r="H248" s="84" t="s">
        <v>4083</v>
      </c>
      <c r="I248" s="84" t="s">
        <v>4083</v>
      </c>
      <c r="J248" s="87" t="s">
        <v>2976</v>
      </c>
      <c r="K248" s="84" t="s">
        <v>4083</v>
      </c>
      <c r="L248" s="84" t="s">
        <v>4083</v>
      </c>
    </row>
    <row r="249" spans="1:12">
      <c r="A249" s="61" t="s">
        <v>1458</v>
      </c>
      <c r="B249" s="36" t="s">
        <v>1941</v>
      </c>
      <c r="C249" s="36" t="s">
        <v>1461</v>
      </c>
      <c r="D249" s="19" t="s">
        <v>5031</v>
      </c>
      <c r="E249" s="19" t="s">
        <v>5032</v>
      </c>
      <c r="F249" s="19" t="s">
        <v>2976</v>
      </c>
      <c r="G249" s="84" t="s">
        <v>4083</v>
      </c>
      <c r="I249" s="84" t="s">
        <v>4083</v>
      </c>
      <c r="J249" s="19" t="s">
        <v>2976</v>
      </c>
      <c r="K249" s="84" t="s">
        <v>4083</v>
      </c>
      <c r="L249" s="84" t="s">
        <v>4083</v>
      </c>
    </row>
    <row r="250" spans="1:12">
      <c r="A250" s="61" t="s">
        <v>1440</v>
      </c>
      <c r="B250" s="19" t="s">
        <v>5033</v>
      </c>
      <c r="C250" s="19" t="s">
        <v>1444</v>
      </c>
      <c r="D250" s="19" t="s">
        <v>5034</v>
      </c>
      <c r="E250" s="19" t="s">
        <v>5035</v>
      </c>
      <c r="F250" s="19" t="s">
        <v>2976</v>
      </c>
      <c r="G250" s="84" t="s">
        <v>4083</v>
      </c>
      <c r="H250" s="19" t="s">
        <v>2976</v>
      </c>
      <c r="I250" s="84" t="s">
        <v>4083</v>
      </c>
      <c r="J250" s="19" t="s">
        <v>2976</v>
      </c>
      <c r="K250" s="84" t="s">
        <v>4083</v>
      </c>
      <c r="L250" s="19" t="s">
        <v>2976</v>
      </c>
    </row>
    <row r="251" spans="1:12">
      <c r="A251" s="109" t="s">
        <v>1636</v>
      </c>
      <c r="B251" s="36" t="s">
        <v>5036</v>
      </c>
      <c r="C251" s="36" t="s">
        <v>1638</v>
      </c>
      <c r="D251" s="19" t="s">
        <v>5037</v>
      </c>
      <c r="E251" s="19" t="s">
        <v>5038</v>
      </c>
      <c r="F251" s="19" t="s">
        <v>2976</v>
      </c>
      <c r="G251" s="84" t="s">
        <v>4083</v>
      </c>
      <c r="H251" s="19" t="s">
        <v>2976</v>
      </c>
      <c r="I251" s="84" t="s">
        <v>4083</v>
      </c>
      <c r="J251" s="84" t="s">
        <v>4083</v>
      </c>
      <c r="K251" s="84" t="s">
        <v>4083</v>
      </c>
      <c r="L251" s="84" t="s">
        <v>4083</v>
      </c>
    </row>
    <row r="252" spans="1:12">
      <c r="A252" s="61" t="s">
        <v>176</v>
      </c>
      <c r="B252" s="19" t="s">
        <v>714</v>
      </c>
      <c r="C252" s="19" t="s">
        <v>715</v>
      </c>
      <c r="D252" s="19" t="s">
        <v>5039</v>
      </c>
      <c r="E252" s="19" t="s">
        <v>5040</v>
      </c>
      <c r="F252" s="19" t="s">
        <v>2976</v>
      </c>
      <c r="G252" s="84" t="s">
        <v>4083</v>
      </c>
      <c r="H252" s="19" t="s">
        <v>2976</v>
      </c>
      <c r="I252" s="87" t="s">
        <v>2976</v>
      </c>
      <c r="J252" s="84" t="s">
        <v>4083</v>
      </c>
      <c r="K252" s="89" t="s">
        <v>4083</v>
      </c>
    </row>
    <row r="253" spans="1:12">
      <c r="A253" s="61" t="s">
        <v>5041</v>
      </c>
      <c r="B253" s="19" t="s">
        <v>127</v>
      </c>
      <c r="C253" s="19" t="s">
        <v>5042</v>
      </c>
      <c r="D253" s="19" t="s">
        <v>5043</v>
      </c>
      <c r="E253" s="19" t="s">
        <v>5044</v>
      </c>
      <c r="F253" s="19" t="s">
        <v>2976</v>
      </c>
      <c r="G253" s="84" t="s">
        <v>4083</v>
      </c>
      <c r="H253" s="19" t="s">
        <v>2976</v>
      </c>
      <c r="I253" s="84"/>
      <c r="J253" s="19" t="s">
        <v>2976</v>
      </c>
      <c r="K253" s="84" t="s">
        <v>4083</v>
      </c>
      <c r="L253" s="84" t="s">
        <v>4083</v>
      </c>
    </row>
    <row r="254" spans="1:12">
      <c r="A254" s="61" t="s">
        <v>5045</v>
      </c>
      <c r="B254" s="36" t="s">
        <v>5046</v>
      </c>
      <c r="C254" s="36" t="s">
        <v>5047</v>
      </c>
      <c r="D254" s="19" t="s">
        <v>5048</v>
      </c>
      <c r="E254" s="19" t="s">
        <v>5049</v>
      </c>
      <c r="F254" s="19" t="s">
        <v>2976</v>
      </c>
      <c r="G254" s="84" t="s">
        <v>4083</v>
      </c>
      <c r="H254" s="19" t="s">
        <v>2976</v>
      </c>
      <c r="I254" s="84" t="s">
        <v>4083</v>
      </c>
      <c r="J254" s="19" t="s">
        <v>2976</v>
      </c>
      <c r="K254" s="84" t="s">
        <v>4083</v>
      </c>
      <c r="L254" s="84" t="s">
        <v>4083</v>
      </c>
    </row>
    <row r="255" spans="1:12">
      <c r="A255" s="61" t="s">
        <v>5050</v>
      </c>
      <c r="B255" s="7" t="s">
        <v>3350</v>
      </c>
      <c r="C255" s="4" t="s">
        <v>5051</v>
      </c>
      <c r="D255" s="19" t="s">
        <v>5052</v>
      </c>
      <c r="E255" s="19" t="s">
        <v>5053</v>
      </c>
      <c r="F255" s="19" t="s">
        <v>2976</v>
      </c>
      <c r="G255" s="84" t="s">
        <v>4083</v>
      </c>
      <c r="H255" s="19" t="s">
        <v>2976</v>
      </c>
      <c r="I255" s="84" t="s">
        <v>4083</v>
      </c>
      <c r="J255" s="84" t="s">
        <v>4083</v>
      </c>
      <c r="K255" s="84" t="s">
        <v>4083</v>
      </c>
      <c r="L255" s="87" t="s">
        <v>2976</v>
      </c>
    </row>
    <row r="256" spans="1:12">
      <c r="A256" s="61" t="s">
        <v>1446</v>
      </c>
      <c r="B256" s="19" t="s">
        <v>2349</v>
      </c>
      <c r="C256" s="19" t="s">
        <v>1449</v>
      </c>
      <c r="D256" s="19" t="s">
        <v>5054</v>
      </c>
      <c r="E256" s="19" t="s">
        <v>5055</v>
      </c>
      <c r="F256" s="19" t="s">
        <v>2976</v>
      </c>
      <c r="G256" s="87" t="s">
        <v>2976</v>
      </c>
      <c r="H256" s="19" t="s">
        <v>2976</v>
      </c>
      <c r="I256" s="19" t="s">
        <v>2976</v>
      </c>
      <c r="J256" s="87" t="s">
        <v>2976</v>
      </c>
      <c r="K256" s="84" t="s">
        <v>4083</v>
      </c>
      <c r="L256" s="84" t="s">
        <v>4083</v>
      </c>
    </row>
    <row r="257" spans="1:12">
      <c r="A257" s="61" t="s">
        <v>5056</v>
      </c>
      <c r="B257" s="31" t="s">
        <v>2955</v>
      </c>
      <c r="C257" s="29" t="s">
        <v>5057</v>
      </c>
      <c r="D257" s="19" t="s">
        <v>5058</v>
      </c>
      <c r="E257" s="19" t="s">
        <v>5059</v>
      </c>
      <c r="F257" s="19" t="s">
        <v>2976</v>
      </c>
      <c r="G257" s="84" t="s">
        <v>4083</v>
      </c>
      <c r="H257" s="19" t="s">
        <v>2976</v>
      </c>
      <c r="I257" s="84" t="s">
        <v>4083</v>
      </c>
      <c r="J257" s="84" t="s">
        <v>4083</v>
      </c>
      <c r="K257" s="84" t="s">
        <v>4083</v>
      </c>
      <c r="L257" s="19" t="s">
        <v>2976</v>
      </c>
    </row>
    <row r="258" spans="1:12">
      <c r="A258" s="61" t="s">
        <v>5060</v>
      </c>
      <c r="B258" s="19" t="s">
        <v>3348</v>
      </c>
      <c r="C258" s="19" t="s">
        <v>5061</v>
      </c>
      <c r="D258" s="19" t="s">
        <v>5062</v>
      </c>
      <c r="E258" s="19" t="s">
        <v>5063</v>
      </c>
      <c r="F258" s="19" t="s">
        <v>2976</v>
      </c>
      <c r="G258" s="84" t="s">
        <v>4083</v>
      </c>
      <c r="H258" s="19" t="s">
        <v>2976</v>
      </c>
      <c r="I258" s="84" t="s">
        <v>4083</v>
      </c>
      <c r="J258" s="84" t="s">
        <v>4083</v>
      </c>
      <c r="K258" s="84" t="s">
        <v>4083</v>
      </c>
      <c r="L258" s="19" t="s">
        <v>2976</v>
      </c>
    </row>
    <row r="259" spans="1:12">
      <c r="A259" s="61" t="s">
        <v>5064</v>
      </c>
      <c r="B259" s="57" t="s">
        <v>3303</v>
      </c>
      <c r="C259" s="57" t="s">
        <v>5065</v>
      </c>
      <c r="D259" s="19" t="s">
        <v>5066</v>
      </c>
      <c r="E259" s="19" t="s">
        <v>5067</v>
      </c>
      <c r="G259" s="84" t="s">
        <v>4083</v>
      </c>
      <c r="H259" s="84" t="s">
        <v>4083</v>
      </c>
      <c r="I259" s="84" t="s">
        <v>4083</v>
      </c>
      <c r="J259" s="84" t="s">
        <v>4083</v>
      </c>
      <c r="K259" s="84" t="s">
        <v>4083</v>
      </c>
      <c r="L259" s="84" t="s">
        <v>4083</v>
      </c>
    </row>
    <row r="260" spans="1:12">
      <c r="A260" s="61" t="s">
        <v>5068</v>
      </c>
      <c r="B260" s="36" t="s">
        <v>3213</v>
      </c>
      <c r="C260" s="36" t="s">
        <v>5069</v>
      </c>
      <c r="D260" s="19" t="s">
        <v>5070</v>
      </c>
      <c r="E260" s="19" t="s">
        <v>5071</v>
      </c>
      <c r="F260" s="19" t="s">
        <v>2976</v>
      </c>
      <c r="G260" s="19" t="s">
        <v>2976</v>
      </c>
      <c r="H260" s="19" t="s">
        <v>2976</v>
      </c>
      <c r="I260" s="19" t="s">
        <v>2976</v>
      </c>
      <c r="K260" s="84" t="s">
        <v>4083</v>
      </c>
      <c r="L260" s="84" t="s">
        <v>4083</v>
      </c>
    </row>
    <row r="261" spans="1:12">
      <c r="A261" s="61" t="s">
        <v>5072</v>
      </c>
      <c r="B261" s="34" t="s">
        <v>3011</v>
      </c>
      <c r="C261" s="34" t="s">
        <v>5073</v>
      </c>
      <c r="D261" s="19" t="s">
        <v>5074</v>
      </c>
      <c r="E261" s="19" t="s">
        <v>5075</v>
      </c>
      <c r="F261" s="19" t="s">
        <v>2976</v>
      </c>
      <c r="G261" s="19" t="s">
        <v>2976</v>
      </c>
      <c r="H261" s="19" t="s">
        <v>2976</v>
      </c>
      <c r="I261" s="84" t="s">
        <v>4083</v>
      </c>
      <c r="J261" s="19" t="s">
        <v>2976</v>
      </c>
      <c r="K261" s="84" t="s">
        <v>4083</v>
      </c>
      <c r="L261" s="19" t="s">
        <v>2976</v>
      </c>
    </row>
    <row r="262" spans="1:12">
      <c r="A262" s="61" t="s">
        <v>5076</v>
      </c>
      <c r="B262" s="36" t="s">
        <v>3327</v>
      </c>
      <c r="C262" s="36" t="s">
        <v>5077</v>
      </c>
      <c r="D262" s="19" t="s">
        <v>5078</v>
      </c>
      <c r="E262" s="19" t="s">
        <v>5079</v>
      </c>
      <c r="F262" s="19" t="s">
        <v>2976</v>
      </c>
      <c r="G262" s="84" t="s">
        <v>4083</v>
      </c>
      <c r="H262" s="84" t="s">
        <v>4083</v>
      </c>
      <c r="I262" s="84" t="s">
        <v>4083</v>
      </c>
      <c r="J262" s="84" t="s">
        <v>4083</v>
      </c>
      <c r="K262" s="84" t="s">
        <v>4083</v>
      </c>
      <c r="L262" s="19" t="s">
        <v>2976</v>
      </c>
    </row>
    <row r="263" spans="1:12">
      <c r="A263" s="61" t="s">
        <v>1620</v>
      </c>
      <c r="B263" s="19" t="s">
        <v>5080</v>
      </c>
      <c r="C263" s="19" t="s">
        <v>1623</v>
      </c>
      <c r="D263" s="19" t="s">
        <v>5081</v>
      </c>
      <c r="E263" s="19" t="s">
        <v>5082</v>
      </c>
      <c r="F263" s="19" t="s">
        <v>2976</v>
      </c>
      <c r="G263" s="84" t="s">
        <v>4083</v>
      </c>
      <c r="H263" s="19" t="s">
        <v>2976</v>
      </c>
      <c r="I263" s="84" t="s">
        <v>4083</v>
      </c>
      <c r="K263" s="84" t="s">
        <v>4083</v>
      </c>
      <c r="L263" s="84" t="s">
        <v>4083</v>
      </c>
    </row>
    <row r="264" spans="1:12">
      <c r="A264" s="61" t="s">
        <v>5083</v>
      </c>
      <c r="B264" s="36" t="s">
        <v>5084</v>
      </c>
      <c r="C264" s="36" t="s">
        <v>5085</v>
      </c>
      <c r="D264" s="19" t="s">
        <v>5086</v>
      </c>
      <c r="E264" s="19" t="s">
        <v>5087</v>
      </c>
      <c r="F264" s="19" t="s">
        <v>2976</v>
      </c>
      <c r="G264" s="19" t="s">
        <v>2976</v>
      </c>
      <c r="H264" s="19" t="s">
        <v>2976</v>
      </c>
      <c r="I264" s="87" t="s">
        <v>2976</v>
      </c>
      <c r="J264" s="19" t="s">
        <v>2976</v>
      </c>
      <c r="K264" s="84" t="s">
        <v>4083</v>
      </c>
      <c r="L264" s="19" t="s">
        <v>2976</v>
      </c>
    </row>
    <row r="265" spans="1:12">
      <c r="A265" s="61" t="s">
        <v>5088</v>
      </c>
      <c r="B265" s="19" t="s">
        <v>5089</v>
      </c>
      <c r="C265" s="19" t="s">
        <v>5090</v>
      </c>
      <c r="D265" s="19" t="s">
        <v>5091</v>
      </c>
      <c r="E265" s="19" t="s">
        <v>5092</v>
      </c>
      <c r="F265" s="19" t="s">
        <v>2976</v>
      </c>
      <c r="G265" s="19" t="s">
        <v>2976</v>
      </c>
      <c r="H265" s="19" t="s">
        <v>2976</v>
      </c>
      <c r="I265" s="19" t="s">
        <v>2976</v>
      </c>
      <c r="J265" s="84" t="s">
        <v>4083</v>
      </c>
      <c r="K265" s="84" t="s">
        <v>4083</v>
      </c>
      <c r="L265" s="84" t="s">
        <v>4083</v>
      </c>
    </row>
    <row r="266" spans="1:12">
      <c r="A266" s="61" t="s">
        <v>5093</v>
      </c>
      <c r="B266" s="36" t="s">
        <v>3218</v>
      </c>
      <c r="C266" s="36" t="s">
        <v>5094</v>
      </c>
      <c r="D266" s="19" t="s">
        <v>5095</v>
      </c>
      <c r="E266" s="19" t="s">
        <v>5096</v>
      </c>
      <c r="F266" s="19" t="s">
        <v>2976</v>
      </c>
      <c r="H266" s="19" t="s">
        <v>2976</v>
      </c>
      <c r="J266" s="84" t="s">
        <v>4083</v>
      </c>
      <c r="K266" s="84" t="s">
        <v>4083</v>
      </c>
      <c r="L266" s="84" t="s">
        <v>4083</v>
      </c>
    </row>
    <row r="267" spans="1:12">
      <c r="A267" s="61" t="s">
        <v>5097</v>
      </c>
      <c r="B267" s="7" t="s">
        <v>2616</v>
      </c>
      <c r="C267" s="4" t="s">
        <v>5098</v>
      </c>
      <c r="D267" s="19" t="s">
        <v>5099</v>
      </c>
      <c r="E267" s="19" t="s">
        <v>5100</v>
      </c>
      <c r="F267" s="19" t="s">
        <v>2976</v>
      </c>
      <c r="G267" s="19" t="s">
        <v>2976</v>
      </c>
      <c r="I267" s="84" t="s">
        <v>4083</v>
      </c>
      <c r="K267" s="84" t="s">
        <v>4083</v>
      </c>
      <c r="L267" s="19" t="s">
        <v>2976</v>
      </c>
    </row>
    <row r="268" spans="1:12">
      <c r="A268" s="61" t="s">
        <v>1674</v>
      </c>
      <c r="B268" s="36" t="s">
        <v>3227</v>
      </c>
      <c r="C268" s="36" t="s">
        <v>1677</v>
      </c>
      <c r="D268" s="19" t="s">
        <v>5101</v>
      </c>
      <c r="E268" s="19" t="s">
        <v>5102</v>
      </c>
      <c r="F268" s="19" t="s">
        <v>2976</v>
      </c>
      <c r="G268" s="84" t="s">
        <v>4083</v>
      </c>
      <c r="H268" s="19" t="s">
        <v>2976</v>
      </c>
      <c r="I268" s="84" t="s">
        <v>4083</v>
      </c>
      <c r="J268" s="84" t="s">
        <v>4083</v>
      </c>
      <c r="K268" s="84" t="s">
        <v>4083</v>
      </c>
      <c r="L268" s="84" t="s">
        <v>4083</v>
      </c>
    </row>
    <row r="269" spans="1:12">
      <c r="A269" s="61" t="s">
        <v>5103</v>
      </c>
      <c r="B269" s="19" t="s">
        <v>383</v>
      </c>
      <c r="C269" s="19" t="s">
        <v>5104</v>
      </c>
      <c r="D269" s="19" t="s">
        <v>5105</v>
      </c>
      <c r="E269" s="19" t="s">
        <v>5106</v>
      </c>
      <c r="F269" s="19" t="s">
        <v>2976</v>
      </c>
      <c r="G269" s="84" t="s">
        <v>4083</v>
      </c>
      <c r="I269" s="84" t="s">
        <v>4083</v>
      </c>
      <c r="J269" s="19" t="s">
        <v>2976</v>
      </c>
      <c r="K269" s="84" t="s">
        <v>4083</v>
      </c>
      <c r="L269" s="84" t="s">
        <v>4083</v>
      </c>
    </row>
    <row r="270" spans="1:12">
      <c r="A270" s="61" t="s">
        <v>5107</v>
      </c>
      <c r="B270" s="36" t="s">
        <v>325</v>
      </c>
      <c r="C270" s="36" t="s">
        <v>5108</v>
      </c>
      <c r="D270" s="19" t="s">
        <v>5109</v>
      </c>
      <c r="E270" s="19" t="s">
        <v>5110</v>
      </c>
      <c r="F270" s="19" t="s">
        <v>2976</v>
      </c>
      <c r="G270" s="84" t="s">
        <v>4083</v>
      </c>
      <c r="H270" s="19" t="s">
        <v>2976</v>
      </c>
      <c r="I270" s="84" t="s">
        <v>4083</v>
      </c>
      <c r="J270" s="84" t="s">
        <v>4083</v>
      </c>
      <c r="K270" s="84" t="s">
        <v>4083</v>
      </c>
      <c r="L270" s="87" t="s">
        <v>2976</v>
      </c>
    </row>
    <row r="271" spans="1:12">
      <c r="A271" s="61" t="s">
        <v>5111</v>
      </c>
      <c r="B271" s="36" t="s">
        <v>154</v>
      </c>
      <c r="C271" s="36" t="s">
        <v>5112</v>
      </c>
      <c r="D271" s="19" t="s">
        <v>5113</v>
      </c>
      <c r="E271" s="19" t="s">
        <v>5114</v>
      </c>
      <c r="F271" s="19" t="s">
        <v>2976</v>
      </c>
      <c r="G271" s="19" t="s">
        <v>2976</v>
      </c>
      <c r="H271" s="19" t="s">
        <v>2976</v>
      </c>
      <c r="I271" s="84" t="s">
        <v>4083</v>
      </c>
      <c r="J271" s="19" t="s">
        <v>2976</v>
      </c>
      <c r="K271" s="95" t="s">
        <v>4083</v>
      </c>
      <c r="L271" s="94" t="s">
        <v>4083</v>
      </c>
    </row>
    <row r="272" spans="1:12">
      <c r="A272" s="61" t="s">
        <v>180</v>
      </c>
      <c r="B272" s="30" t="s">
        <v>283</v>
      </c>
      <c r="C272" s="36" t="s">
        <v>801</v>
      </c>
      <c r="D272" s="19" t="s">
        <v>5115</v>
      </c>
      <c r="E272" s="19" t="s">
        <v>5116</v>
      </c>
      <c r="F272" s="19" t="s">
        <v>2976</v>
      </c>
      <c r="G272" s="84" t="s">
        <v>4083</v>
      </c>
      <c r="H272" s="19" t="s">
        <v>2976</v>
      </c>
      <c r="I272" s="84" t="s">
        <v>4083</v>
      </c>
      <c r="J272" s="84" t="s">
        <v>4083</v>
      </c>
      <c r="K272" s="84" t="s">
        <v>4083</v>
      </c>
      <c r="L272" s="84" t="s">
        <v>4083</v>
      </c>
    </row>
    <row r="273" spans="1:12">
      <c r="A273" s="61" t="s">
        <v>5117</v>
      </c>
      <c r="B273" s="36" t="s">
        <v>2349</v>
      </c>
      <c r="C273" s="36" t="s">
        <v>5118</v>
      </c>
      <c r="D273" s="19" t="s">
        <v>5119</v>
      </c>
      <c r="E273" s="19" t="s">
        <v>5120</v>
      </c>
      <c r="F273" s="19" t="s">
        <v>2976</v>
      </c>
      <c r="G273" s="19" t="s">
        <v>2976</v>
      </c>
      <c r="H273" s="19" t="s">
        <v>2976</v>
      </c>
      <c r="I273" s="84" t="s">
        <v>4083</v>
      </c>
      <c r="J273" s="19" t="s">
        <v>2976</v>
      </c>
      <c r="K273" s="84" t="s">
        <v>4083</v>
      </c>
      <c r="L273" s="84" t="s">
        <v>4083</v>
      </c>
    </row>
    <row r="274" spans="1:12">
      <c r="A274" s="61" t="s">
        <v>675</v>
      </c>
      <c r="B274" s="56" t="s">
        <v>187</v>
      </c>
      <c r="C274" s="56" t="s">
        <v>676</v>
      </c>
      <c r="D274" s="19" t="s">
        <v>5121</v>
      </c>
      <c r="E274" s="19" t="s">
        <v>5122</v>
      </c>
      <c r="F274" s="19" t="s">
        <v>2976</v>
      </c>
      <c r="G274" s="19" t="s">
        <v>2976</v>
      </c>
      <c r="H274" s="19" t="s">
        <v>2976</v>
      </c>
      <c r="I274" s="87" t="s">
        <v>2976</v>
      </c>
      <c r="J274" s="19" t="s">
        <v>2976</v>
      </c>
      <c r="K274" s="84" t="s">
        <v>4083</v>
      </c>
      <c r="L274" s="19" t="s">
        <v>2976</v>
      </c>
    </row>
    <row r="275" spans="1:12" ht="15.75">
      <c r="A275" s="266" t="s">
        <v>5123</v>
      </c>
      <c r="B275" s="36" t="s">
        <v>2316</v>
      </c>
      <c r="C275" s="36" t="s">
        <v>1722</v>
      </c>
      <c r="D275" s="19" t="s">
        <v>5124</v>
      </c>
      <c r="E275" s="19" t="s">
        <v>5125</v>
      </c>
      <c r="F275" s="19" t="s">
        <v>2976</v>
      </c>
      <c r="G275" s="19" t="s">
        <v>2976</v>
      </c>
      <c r="H275" s="19" t="s">
        <v>2976</v>
      </c>
      <c r="I275" s="84" t="s">
        <v>4083</v>
      </c>
      <c r="J275" s="19" t="s">
        <v>2976</v>
      </c>
      <c r="K275" s="84" t="s">
        <v>4083</v>
      </c>
      <c r="L275" s="19" t="s">
        <v>2976</v>
      </c>
    </row>
    <row r="276" spans="1:12">
      <c r="A276" s="116" t="s">
        <v>194</v>
      </c>
      <c r="B276" s="117" t="s">
        <v>299</v>
      </c>
      <c r="C276" s="56" t="s">
        <v>300</v>
      </c>
      <c r="D276" s="19" t="s">
        <v>5126</v>
      </c>
      <c r="E276" s="19" t="s">
        <v>5127</v>
      </c>
      <c r="F276" s="19" t="s">
        <v>2976</v>
      </c>
      <c r="G276" s="84" t="s">
        <v>4083</v>
      </c>
      <c r="H276" s="19" t="s">
        <v>2976</v>
      </c>
      <c r="I276" s="84" t="s">
        <v>4083</v>
      </c>
      <c r="J276" s="84" t="s">
        <v>4083</v>
      </c>
      <c r="K276" s="84" t="s">
        <v>4083</v>
      </c>
      <c r="L276" s="87" t="s">
        <v>2976</v>
      </c>
    </row>
    <row r="277" spans="1:12">
      <c r="A277" s="61" t="s">
        <v>5128</v>
      </c>
      <c r="B277" s="19" t="s">
        <v>847</v>
      </c>
      <c r="C277" s="88" t="s">
        <v>5129</v>
      </c>
      <c r="D277" s="19" t="s">
        <v>5130</v>
      </c>
      <c r="E277" s="19" t="s">
        <v>5131</v>
      </c>
      <c r="F277" s="19" t="s">
        <v>2976</v>
      </c>
      <c r="G277" s="19" t="s">
        <v>2976</v>
      </c>
      <c r="H277" s="19" t="s">
        <v>2976</v>
      </c>
      <c r="I277" s="87" t="s">
        <v>2976</v>
      </c>
      <c r="J277" s="19" t="s">
        <v>2976</v>
      </c>
      <c r="K277" s="84" t="s">
        <v>4083</v>
      </c>
      <c r="L277" s="84" t="s">
        <v>4083</v>
      </c>
    </row>
    <row r="278" spans="1:12">
      <c r="A278" s="61" t="s">
        <v>5132</v>
      </c>
      <c r="B278" s="57" t="s">
        <v>3176</v>
      </c>
      <c r="C278" s="118" t="s">
        <v>5133</v>
      </c>
      <c r="D278" s="19" t="s">
        <v>5134</v>
      </c>
      <c r="E278" s="19" t="s">
        <v>5135</v>
      </c>
      <c r="F278" s="19" t="s">
        <v>2976</v>
      </c>
      <c r="G278" s="84" t="s">
        <v>4083</v>
      </c>
      <c r="H278" s="19" t="s">
        <v>2976</v>
      </c>
      <c r="I278" s="84" t="s">
        <v>4083</v>
      </c>
      <c r="J278" s="84" t="s">
        <v>4083</v>
      </c>
      <c r="K278" s="84" t="s">
        <v>4083</v>
      </c>
      <c r="L278" s="84" t="s">
        <v>4083</v>
      </c>
    </row>
    <row r="279" spans="1:12">
      <c r="A279" s="61" t="s">
        <v>213</v>
      </c>
      <c r="B279" s="36" t="s">
        <v>741</v>
      </c>
      <c r="C279" s="38" t="s">
        <v>742</v>
      </c>
      <c r="D279" s="19" t="s">
        <v>5136</v>
      </c>
      <c r="E279" s="19" t="s">
        <v>5137</v>
      </c>
      <c r="F279" s="19" t="s">
        <v>2976</v>
      </c>
      <c r="G279" s="84" t="s">
        <v>4083</v>
      </c>
      <c r="H279" s="19" t="s">
        <v>2976</v>
      </c>
      <c r="I279" s="19" t="s">
        <v>2976</v>
      </c>
      <c r="J279" s="19" t="s">
        <v>2976</v>
      </c>
      <c r="K279" s="84" t="s">
        <v>4083</v>
      </c>
      <c r="L279" s="19" t="s">
        <v>2976</v>
      </c>
    </row>
    <row r="280" spans="1:12">
      <c r="A280" s="119" t="s">
        <v>1644</v>
      </c>
      <c r="B280" s="120" t="s">
        <v>2402</v>
      </c>
      <c r="C280" s="36" t="s">
        <v>1647</v>
      </c>
      <c r="D280" s="19" t="s">
        <v>5138</v>
      </c>
      <c r="E280" s="19" t="s">
        <v>5139</v>
      </c>
      <c r="F280" s="19" t="s">
        <v>2976</v>
      </c>
      <c r="G280" s="19" t="s">
        <v>2976</v>
      </c>
      <c r="H280" s="19" t="s">
        <v>2976</v>
      </c>
      <c r="I280" s="19" t="s">
        <v>2976</v>
      </c>
      <c r="J280" s="19" t="s">
        <v>2976</v>
      </c>
      <c r="K280" s="84" t="s">
        <v>4083</v>
      </c>
      <c r="L280" s="19" t="s">
        <v>2976</v>
      </c>
    </row>
    <row r="281" spans="1:12">
      <c r="A281" s="61" t="s">
        <v>5140</v>
      </c>
      <c r="B281" s="31" t="s">
        <v>3195</v>
      </c>
      <c r="C281" s="29" t="s">
        <v>3201</v>
      </c>
      <c r="D281" s="19" t="s">
        <v>5141</v>
      </c>
      <c r="E281" s="19" t="s">
        <v>5142</v>
      </c>
      <c r="F281" s="19" t="s">
        <v>2976</v>
      </c>
      <c r="G281" s="87" t="s">
        <v>2976</v>
      </c>
      <c r="H281" s="19" t="s">
        <v>2976</v>
      </c>
      <c r="I281" s="84" t="s">
        <v>4083</v>
      </c>
      <c r="J281" s="19" t="s">
        <v>2976</v>
      </c>
      <c r="K281" s="84" t="s">
        <v>4083</v>
      </c>
      <c r="L281" s="19" t="s">
        <v>2976</v>
      </c>
    </row>
    <row r="282" spans="1:12">
      <c r="A282" s="61" t="s">
        <v>475</v>
      </c>
      <c r="B282" s="57" t="s">
        <v>477</v>
      </c>
      <c r="C282" s="57" t="s">
        <v>478</v>
      </c>
      <c r="D282" s="19" t="s">
        <v>5143</v>
      </c>
      <c r="E282" s="19" t="s">
        <v>5144</v>
      </c>
      <c r="F282" s="19" t="s">
        <v>2976</v>
      </c>
      <c r="G282" s="84" t="s">
        <v>4083</v>
      </c>
      <c r="H282" s="84" t="s">
        <v>4083</v>
      </c>
      <c r="I282" s="84" t="s">
        <v>4083</v>
      </c>
      <c r="J282" s="84" t="s">
        <v>4083</v>
      </c>
      <c r="K282" s="84" t="s">
        <v>4083</v>
      </c>
      <c r="L282" s="19" t="s">
        <v>2976</v>
      </c>
    </row>
    <row r="283" spans="1:12">
      <c r="A283" s="61" t="s">
        <v>2991</v>
      </c>
      <c r="B283" s="31" t="s">
        <v>2795</v>
      </c>
      <c r="C283" s="29" t="s">
        <v>2992</v>
      </c>
      <c r="D283" s="19" t="s">
        <v>5145</v>
      </c>
      <c r="E283" s="19" t="s">
        <v>5146</v>
      </c>
      <c r="F283" s="19" t="s">
        <v>2976</v>
      </c>
      <c r="G283" s="84" t="s">
        <v>4083</v>
      </c>
      <c r="I283" s="84" t="s">
        <v>4083</v>
      </c>
      <c r="J283" s="84" t="s">
        <v>4083</v>
      </c>
      <c r="K283" s="84" t="s">
        <v>4083</v>
      </c>
      <c r="L283" s="84" t="s">
        <v>4083</v>
      </c>
    </row>
    <row r="284" spans="1:12">
      <c r="A284" s="61" t="s">
        <v>2942</v>
      </c>
      <c r="B284" s="31" t="s">
        <v>2835</v>
      </c>
      <c r="C284" s="29" t="s">
        <v>2943</v>
      </c>
      <c r="D284" s="19" t="s">
        <v>5147</v>
      </c>
      <c r="E284" s="19" t="s">
        <v>5148</v>
      </c>
      <c r="F284" s="19" t="s">
        <v>2976</v>
      </c>
      <c r="G284" s="84" t="s">
        <v>4083</v>
      </c>
      <c r="H284" s="19" t="s">
        <v>2976</v>
      </c>
      <c r="I284" s="84" t="s">
        <v>4083</v>
      </c>
      <c r="J284" s="84" t="s">
        <v>4083</v>
      </c>
      <c r="K284" s="84" t="s">
        <v>4083</v>
      </c>
      <c r="L284" s="84" t="s">
        <v>4083</v>
      </c>
    </row>
    <row r="285" spans="1:12">
      <c r="A285" s="61" t="s">
        <v>5149</v>
      </c>
      <c r="B285" s="57" t="s">
        <v>618</v>
      </c>
      <c r="C285" s="57" t="s">
        <v>5150</v>
      </c>
      <c r="D285" s="19" t="s">
        <v>5151</v>
      </c>
      <c r="E285" s="19" t="s">
        <v>5152</v>
      </c>
      <c r="F285" s="19" t="s">
        <v>2976</v>
      </c>
      <c r="G285" s="84" t="s">
        <v>4083</v>
      </c>
      <c r="I285" s="84" t="s">
        <v>4083</v>
      </c>
      <c r="J285" s="84" t="s">
        <v>4083</v>
      </c>
      <c r="K285" s="55" t="s">
        <v>2976</v>
      </c>
      <c r="L285" s="19" t="s">
        <v>2976</v>
      </c>
    </row>
    <row r="286" spans="1:12">
      <c r="A286" s="111" t="s">
        <v>5153</v>
      </c>
      <c r="B286" s="19" t="s">
        <v>5154</v>
      </c>
      <c r="C286" s="19" t="s">
        <v>5155</v>
      </c>
      <c r="D286" s="19" t="s">
        <v>5156</v>
      </c>
      <c r="E286" s="19" t="s">
        <v>5157</v>
      </c>
      <c r="F286" s="19" t="s">
        <v>2976</v>
      </c>
      <c r="G286" s="19" t="s">
        <v>2976</v>
      </c>
      <c r="H286" s="19" t="s">
        <v>2976</v>
      </c>
      <c r="J286" s="19" t="s">
        <v>2976</v>
      </c>
    </row>
    <row r="287" spans="1:12">
      <c r="A287" s="61" t="s">
        <v>5158</v>
      </c>
      <c r="B287" s="19" t="s">
        <v>2947</v>
      </c>
      <c r="C287" s="19" t="s">
        <v>5159</v>
      </c>
      <c r="D287" s="19" t="s">
        <v>5160</v>
      </c>
      <c r="E287" s="19" t="s">
        <v>5161</v>
      </c>
      <c r="F287" s="19" t="s">
        <v>2976</v>
      </c>
      <c r="G287" s="19" t="s">
        <v>2976</v>
      </c>
      <c r="H287" s="19" t="s">
        <v>2976</v>
      </c>
      <c r="I287" s="19" t="s">
        <v>2976</v>
      </c>
      <c r="J287" s="19" t="s">
        <v>2976</v>
      </c>
      <c r="K287" s="89" t="s">
        <v>4083</v>
      </c>
      <c r="L287" s="19" t="s">
        <v>2976</v>
      </c>
    </row>
    <row r="288" spans="1:12">
      <c r="A288" s="61" t="s">
        <v>2569</v>
      </c>
      <c r="B288" s="7" t="s">
        <v>2570</v>
      </c>
      <c r="C288" s="4" t="s">
        <v>2571</v>
      </c>
      <c r="D288" s="19" t="s">
        <v>5162</v>
      </c>
      <c r="E288" s="19" t="s">
        <v>5163</v>
      </c>
      <c r="G288" s="84" t="s">
        <v>4083</v>
      </c>
      <c r="H288" s="19" t="s">
        <v>2976</v>
      </c>
      <c r="I288" s="84" t="s">
        <v>4083</v>
      </c>
      <c r="J288" s="84" t="s">
        <v>4083</v>
      </c>
      <c r="K288" s="84" t="s">
        <v>4083</v>
      </c>
      <c r="L288" s="19" t="s">
        <v>2976</v>
      </c>
    </row>
    <row r="289" spans="1:12">
      <c r="A289" s="61" t="s">
        <v>5164</v>
      </c>
      <c r="B289" s="36" t="s">
        <v>747</v>
      </c>
      <c r="C289" s="36" t="s">
        <v>748</v>
      </c>
      <c r="D289" s="19" t="s">
        <v>5165</v>
      </c>
      <c r="E289" s="19" t="s">
        <v>5166</v>
      </c>
      <c r="F289" s="19" t="s">
        <v>2976</v>
      </c>
      <c r="G289" s="84" t="s">
        <v>4083</v>
      </c>
      <c r="H289" s="19" t="s">
        <v>2976</v>
      </c>
      <c r="I289" s="84" t="s">
        <v>4083</v>
      </c>
      <c r="J289" s="19" t="s">
        <v>2976</v>
      </c>
      <c r="K289" s="84" t="s">
        <v>4083</v>
      </c>
      <c r="L289" s="84" t="s">
        <v>4083</v>
      </c>
    </row>
    <row r="290" spans="1:12">
      <c r="A290" s="61" t="s">
        <v>217</v>
      </c>
      <c r="B290" s="36" t="s">
        <v>47</v>
      </c>
      <c r="C290" s="36" t="s">
        <v>977</v>
      </c>
      <c r="D290" s="19" t="s">
        <v>5167</v>
      </c>
      <c r="E290" s="19" t="s">
        <v>5168</v>
      </c>
      <c r="G290" s="84" t="s">
        <v>4083</v>
      </c>
      <c r="H290" s="19" t="s">
        <v>2976</v>
      </c>
      <c r="I290" s="84" t="s">
        <v>4083</v>
      </c>
      <c r="J290" s="19" t="s">
        <v>2976</v>
      </c>
      <c r="K290" s="84" t="s">
        <v>4083</v>
      </c>
      <c r="L290" s="19" t="s">
        <v>2976</v>
      </c>
    </row>
    <row r="291" spans="1:12" ht="15" customHeight="1">
      <c r="A291" s="61" t="s">
        <v>5169</v>
      </c>
      <c r="B291" s="36" t="s">
        <v>162</v>
      </c>
      <c r="C291" s="36" t="s">
        <v>163</v>
      </c>
      <c r="D291" s="19" t="s">
        <v>5170</v>
      </c>
      <c r="E291" s="19" t="s">
        <v>5171</v>
      </c>
      <c r="F291" s="19" t="s">
        <v>2976</v>
      </c>
      <c r="G291" s="84" t="s">
        <v>4083</v>
      </c>
      <c r="H291" s="19" t="s">
        <v>2976</v>
      </c>
      <c r="I291" s="84" t="s">
        <v>4083</v>
      </c>
      <c r="J291" s="19" t="s">
        <v>2976</v>
      </c>
      <c r="K291" s="121" t="s">
        <v>4083</v>
      </c>
      <c r="L291" s="86" t="s">
        <v>2976</v>
      </c>
    </row>
    <row r="292" spans="1:12">
      <c r="A292" s="111" t="s">
        <v>5172</v>
      </c>
      <c r="B292" s="36" t="s">
        <v>370</v>
      </c>
      <c r="C292" s="36" t="s">
        <v>3265</v>
      </c>
      <c r="D292" s="19" t="s">
        <v>5173</v>
      </c>
      <c r="E292" s="19" t="s">
        <v>5174</v>
      </c>
      <c r="F292" s="19" t="s">
        <v>2976</v>
      </c>
      <c r="G292" s="122" t="s">
        <v>4083</v>
      </c>
      <c r="H292" s="19" t="s">
        <v>2976</v>
      </c>
      <c r="I292" s="123" t="s">
        <v>4083</v>
      </c>
      <c r="J292" s="55"/>
      <c r="K292" s="124" t="s">
        <v>4083</v>
      </c>
      <c r="L292" s="125" t="s">
        <v>2976</v>
      </c>
    </row>
    <row r="293" spans="1:12">
      <c r="A293" s="61" t="s">
        <v>1466</v>
      </c>
      <c r="B293" s="36" t="s">
        <v>2289</v>
      </c>
      <c r="C293" s="36" t="s">
        <v>1949</v>
      </c>
      <c r="D293" s="19" t="s">
        <v>5175</v>
      </c>
      <c r="E293" s="19" t="s">
        <v>5176</v>
      </c>
      <c r="F293" s="19" t="s">
        <v>2976</v>
      </c>
      <c r="G293" s="19" t="s">
        <v>2976</v>
      </c>
      <c r="H293" s="55" t="s">
        <v>2976</v>
      </c>
      <c r="I293" s="124"/>
      <c r="J293" s="126" t="s">
        <v>4083</v>
      </c>
      <c r="K293" s="124" t="s">
        <v>4083</v>
      </c>
      <c r="L293" s="124" t="s">
        <v>4083</v>
      </c>
    </row>
    <row r="294" spans="1:12">
      <c r="A294" s="61" t="s">
        <v>1736</v>
      </c>
      <c r="B294" s="36" t="s">
        <v>5177</v>
      </c>
      <c r="C294" s="36" t="s">
        <v>1738</v>
      </c>
      <c r="D294" s="19" t="s">
        <v>5178</v>
      </c>
      <c r="E294" s="19" t="s">
        <v>5179</v>
      </c>
      <c r="F294" s="19" t="s">
        <v>2976</v>
      </c>
      <c r="G294" s="86" t="s">
        <v>2976</v>
      </c>
      <c r="H294" s="127"/>
      <c r="I294" s="128" t="s">
        <v>4083</v>
      </c>
      <c r="J294" s="129" t="s">
        <v>2976</v>
      </c>
      <c r="K294" s="128" t="s">
        <v>4083</v>
      </c>
      <c r="L294" s="128" t="s">
        <v>4083</v>
      </c>
    </row>
    <row r="295" spans="1:12">
      <c r="A295" s="61" t="s">
        <v>1602</v>
      </c>
      <c r="B295" s="36" t="s">
        <v>5180</v>
      </c>
      <c r="C295" s="36" t="s">
        <v>1605</v>
      </c>
      <c r="D295" s="19" t="s">
        <v>5181</v>
      </c>
      <c r="E295" s="19" t="s">
        <v>5182</v>
      </c>
      <c r="F295" s="55" t="s">
        <v>2976</v>
      </c>
      <c r="G295" s="124" t="s">
        <v>4083</v>
      </c>
      <c r="H295" s="19" t="s">
        <v>2976</v>
      </c>
      <c r="I295" s="124" t="s">
        <v>4083</v>
      </c>
      <c r="J295" s="124" t="s">
        <v>4083</v>
      </c>
      <c r="K295" s="124" t="s">
        <v>4083</v>
      </c>
      <c r="L295" s="124" t="s">
        <v>4083</v>
      </c>
    </row>
    <row r="296" spans="1:12">
      <c r="A296" s="61" t="s">
        <v>464</v>
      </c>
      <c r="B296" s="57" t="s">
        <v>462</v>
      </c>
      <c r="C296" s="57" t="s">
        <v>463</v>
      </c>
      <c r="D296" s="19" t="s">
        <v>5183</v>
      </c>
      <c r="E296" s="19" t="s">
        <v>5184</v>
      </c>
      <c r="F296" s="19" t="s">
        <v>2976</v>
      </c>
      <c r="G296" s="124" t="s">
        <v>4083</v>
      </c>
      <c r="H296" s="124" t="s">
        <v>4083</v>
      </c>
      <c r="I296" s="124"/>
      <c r="J296" s="124" t="s">
        <v>4083</v>
      </c>
      <c r="K296" s="125" t="s">
        <v>2976</v>
      </c>
      <c r="L296" s="124" t="s">
        <v>4083</v>
      </c>
    </row>
    <row r="297" spans="1:12">
      <c r="A297" s="61" t="s">
        <v>2228</v>
      </c>
      <c r="B297" s="36" t="s">
        <v>5185</v>
      </c>
      <c r="C297" s="36" t="s">
        <v>2230</v>
      </c>
      <c r="D297" s="19" t="s">
        <v>5186</v>
      </c>
      <c r="E297" s="19" t="s">
        <v>5187</v>
      </c>
      <c r="F297" s="19" t="s">
        <v>2976</v>
      </c>
      <c r="G297" s="124" t="s">
        <v>4083</v>
      </c>
      <c r="H297" s="19" t="s">
        <v>2976</v>
      </c>
      <c r="I297" s="124" t="s">
        <v>4083</v>
      </c>
      <c r="J297" s="124" t="s">
        <v>4083</v>
      </c>
      <c r="K297" s="124" t="s">
        <v>4083</v>
      </c>
      <c r="L297" s="124" t="s">
        <v>4083</v>
      </c>
    </row>
    <row r="298" spans="1:12">
      <c r="A298" s="61" t="s">
        <v>5188</v>
      </c>
      <c r="B298" s="36" t="s">
        <v>861</v>
      </c>
      <c r="C298" s="36" t="s">
        <v>5189</v>
      </c>
      <c r="D298" s="19" t="s">
        <v>5190</v>
      </c>
      <c r="E298" s="19" t="s">
        <v>5191</v>
      </c>
      <c r="F298" s="19" t="s">
        <v>2976</v>
      </c>
      <c r="G298" s="124" t="s">
        <v>4083</v>
      </c>
      <c r="H298" s="19" t="s">
        <v>2976</v>
      </c>
      <c r="I298" s="124" t="s">
        <v>4083</v>
      </c>
      <c r="K298" s="124" t="s">
        <v>4083</v>
      </c>
      <c r="L298" s="19" t="s">
        <v>2976</v>
      </c>
    </row>
    <row r="299" spans="1:12">
      <c r="A299" s="61" t="s">
        <v>5192</v>
      </c>
      <c r="B299" s="36" t="s">
        <v>3180</v>
      </c>
      <c r="C299" s="36" t="s">
        <v>3183</v>
      </c>
      <c r="D299" s="19" t="s">
        <v>5193</v>
      </c>
      <c r="E299" s="19" t="s">
        <v>5194</v>
      </c>
      <c r="F299" s="124" t="s">
        <v>4083</v>
      </c>
      <c r="G299" s="122" t="s">
        <v>4083</v>
      </c>
      <c r="H299" s="124" t="s">
        <v>4083</v>
      </c>
      <c r="I299" s="124" t="s">
        <v>4083</v>
      </c>
      <c r="J299" s="125" t="s">
        <v>2976</v>
      </c>
      <c r="K299" s="124" t="s">
        <v>4083</v>
      </c>
      <c r="L299" s="124" t="s">
        <v>4083</v>
      </c>
    </row>
    <row r="300" spans="1:12">
      <c r="A300" s="61" t="s">
        <v>2564</v>
      </c>
      <c r="B300" s="7" t="s">
        <v>2835</v>
      </c>
      <c r="C300" s="4" t="s">
        <v>2836</v>
      </c>
      <c r="D300" s="19" t="s">
        <v>5195</v>
      </c>
      <c r="E300" s="19" t="s">
        <v>5196</v>
      </c>
      <c r="F300" s="19" t="s">
        <v>2976</v>
      </c>
      <c r="G300" s="124" t="s">
        <v>4083</v>
      </c>
      <c r="H300" s="19" t="s">
        <v>2976</v>
      </c>
      <c r="I300" s="124" t="s">
        <v>4083</v>
      </c>
      <c r="J300" s="124" t="s">
        <v>4083</v>
      </c>
      <c r="K300" s="124" t="s">
        <v>4083</v>
      </c>
      <c r="L300" s="124" t="s">
        <v>4083</v>
      </c>
    </row>
    <row r="301" spans="1:12">
      <c r="A301" s="61" t="s">
        <v>1649</v>
      </c>
      <c r="B301" s="19" t="s">
        <v>5197</v>
      </c>
      <c r="C301" s="19" t="s">
        <v>1652</v>
      </c>
      <c r="D301" s="19" t="s">
        <v>5198</v>
      </c>
      <c r="E301" s="19" t="s">
        <v>5199</v>
      </c>
      <c r="F301" s="19" t="s">
        <v>2976</v>
      </c>
      <c r="G301" s="124" t="s">
        <v>4083</v>
      </c>
      <c r="H301" s="19" t="s">
        <v>2976</v>
      </c>
      <c r="I301" s="124" t="s">
        <v>4083</v>
      </c>
      <c r="J301" s="19" t="s">
        <v>2976</v>
      </c>
      <c r="K301" s="124" t="s">
        <v>4083</v>
      </c>
      <c r="L301" s="124" t="s">
        <v>4083</v>
      </c>
    </row>
    <row r="302" spans="1:12">
      <c r="A302" s="61" t="s">
        <v>5200</v>
      </c>
      <c r="B302" s="19" t="s">
        <v>5201</v>
      </c>
      <c r="C302" s="19" t="s">
        <v>5202</v>
      </c>
      <c r="D302" s="19" t="s">
        <v>5203</v>
      </c>
      <c r="E302" s="19" t="s">
        <v>5204</v>
      </c>
      <c r="F302" s="19" t="s">
        <v>2976</v>
      </c>
      <c r="G302" s="124" t="s">
        <v>4083</v>
      </c>
      <c r="H302" s="19" t="s">
        <v>2976</v>
      </c>
      <c r="I302" s="19" t="s">
        <v>2976</v>
      </c>
      <c r="J302" s="124" t="s">
        <v>4083</v>
      </c>
      <c r="K302" s="124" t="s">
        <v>4083</v>
      </c>
      <c r="L302" s="124" t="s">
        <v>4083</v>
      </c>
    </row>
    <row r="303" spans="1:12">
      <c r="A303" s="61" t="s">
        <v>939</v>
      </c>
      <c r="B303" s="57" t="s">
        <v>925</v>
      </c>
      <c r="C303" s="57" t="s">
        <v>940</v>
      </c>
      <c r="D303" s="19" t="s">
        <v>5205</v>
      </c>
      <c r="E303" s="19" t="s">
        <v>5206</v>
      </c>
      <c r="G303" s="124" t="s">
        <v>4083</v>
      </c>
      <c r="H303" s="124" t="s">
        <v>4083</v>
      </c>
      <c r="I303" s="124" t="s">
        <v>4083</v>
      </c>
      <c r="J303" s="19" t="s">
        <v>2976</v>
      </c>
      <c r="K303" s="124" t="s">
        <v>4083</v>
      </c>
      <c r="L303" s="124" t="s">
        <v>4083</v>
      </c>
    </row>
    <row r="304" spans="1:12">
      <c r="A304" s="61" t="s">
        <v>5207</v>
      </c>
      <c r="B304" s="5" t="s">
        <v>3229</v>
      </c>
      <c r="C304" s="5" t="s">
        <v>5208</v>
      </c>
      <c r="D304" s="19" t="s">
        <v>5209</v>
      </c>
      <c r="E304" s="19" t="s">
        <v>5210</v>
      </c>
      <c r="F304" s="19" t="s">
        <v>2976</v>
      </c>
      <c r="G304" s="19" t="s">
        <v>2976</v>
      </c>
      <c r="I304" s="19" t="s">
        <v>2976</v>
      </c>
      <c r="J304" s="19" t="s">
        <v>2976</v>
      </c>
      <c r="K304" s="124" t="s">
        <v>4083</v>
      </c>
      <c r="L304" s="124" t="s">
        <v>4083</v>
      </c>
    </row>
    <row r="305" spans="1:12">
      <c r="A305" s="116" t="s">
        <v>5211</v>
      </c>
      <c r="B305" s="36" t="s">
        <v>3240</v>
      </c>
      <c r="C305" s="36" t="s">
        <v>5212</v>
      </c>
      <c r="D305" s="19" t="s">
        <v>5213</v>
      </c>
      <c r="E305" s="19" t="s">
        <v>5214</v>
      </c>
      <c r="F305" s="19" t="s">
        <v>2976</v>
      </c>
      <c r="G305" s="19" t="s">
        <v>2976</v>
      </c>
      <c r="H305" s="19" t="s">
        <v>2976</v>
      </c>
      <c r="I305" s="124" t="s">
        <v>4083</v>
      </c>
      <c r="J305" s="19" t="s">
        <v>2976</v>
      </c>
      <c r="K305" s="124" t="s">
        <v>4083</v>
      </c>
      <c r="L305" s="124" t="s">
        <v>4083</v>
      </c>
    </row>
    <row r="306" spans="1:12">
      <c r="A306" s="61" t="s">
        <v>5215</v>
      </c>
      <c r="B306" s="130" t="s">
        <v>3207</v>
      </c>
      <c r="C306" s="5" t="s">
        <v>5216</v>
      </c>
      <c r="D306" s="19" t="s">
        <v>5217</v>
      </c>
      <c r="E306" s="19" t="s">
        <v>5218</v>
      </c>
      <c r="G306" s="124" t="s">
        <v>4083</v>
      </c>
      <c r="H306" s="19" t="s">
        <v>2976</v>
      </c>
      <c r="I306" s="124" t="s">
        <v>4083</v>
      </c>
      <c r="J306" s="124" t="s">
        <v>4083</v>
      </c>
      <c r="K306" s="124" t="s">
        <v>4083</v>
      </c>
      <c r="L306" s="124" t="s">
        <v>4083</v>
      </c>
    </row>
    <row r="307" spans="1:12">
      <c r="A307" s="119" t="s">
        <v>5219</v>
      </c>
      <c r="B307" s="32" t="s">
        <v>5220</v>
      </c>
      <c r="C307" s="32" t="s">
        <v>5221</v>
      </c>
      <c r="D307" s="19" t="s">
        <v>5222</v>
      </c>
      <c r="E307" s="19" t="s">
        <v>5223</v>
      </c>
      <c r="F307" s="19" t="s">
        <v>2976</v>
      </c>
      <c r="G307" s="19" t="s">
        <v>2976</v>
      </c>
      <c r="H307" s="19" t="s">
        <v>2976</v>
      </c>
      <c r="I307" s="124" t="s">
        <v>4083</v>
      </c>
      <c r="J307" s="84" t="s">
        <v>4083</v>
      </c>
      <c r="K307" s="89" t="s">
        <v>4083</v>
      </c>
      <c r="L307" s="124" t="s">
        <v>4083</v>
      </c>
    </row>
    <row r="308" spans="1:12">
      <c r="A308" s="61" t="s">
        <v>145</v>
      </c>
      <c r="B308" s="36" t="s">
        <v>137</v>
      </c>
      <c r="C308" s="36" t="s">
        <v>146</v>
      </c>
      <c r="D308" s="19" t="s">
        <v>5224</v>
      </c>
      <c r="E308" s="19" t="s">
        <v>5225</v>
      </c>
      <c r="F308" s="19" t="s">
        <v>2976</v>
      </c>
      <c r="G308" s="124" t="s">
        <v>4083</v>
      </c>
      <c r="H308" s="84" t="s">
        <v>4083</v>
      </c>
      <c r="I308" s="125" t="s">
        <v>2976</v>
      </c>
      <c r="J308" s="84" t="s">
        <v>4083</v>
      </c>
      <c r="K308" s="89" t="s">
        <v>4083</v>
      </c>
      <c r="L308" s="84" t="s">
        <v>4083</v>
      </c>
    </row>
    <row r="309" spans="1:12">
      <c r="A309" s="61" t="s">
        <v>5226</v>
      </c>
      <c r="B309" s="7" t="s">
        <v>3272</v>
      </c>
      <c r="C309" s="4" t="s">
        <v>5227</v>
      </c>
      <c r="D309" s="19" t="s">
        <v>5228</v>
      </c>
      <c r="E309" s="19" t="s">
        <v>5229</v>
      </c>
      <c r="F309" s="19" t="s">
        <v>2976</v>
      </c>
      <c r="G309" s="124" t="s">
        <v>4083</v>
      </c>
      <c r="I309" s="124" t="s">
        <v>4083</v>
      </c>
      <c r="J309" s="124" t="s">
        <v>4083</v>
      </c>
      <c r="K309" s="131" t="s">
        <v>4083</v>
      </c>
      <c r="L309" s="19" t="s">
        <v>2976</v>
      </c>
    </row>
    <row r="310" spans="1:12">
      <c r="A310" s="61" t="s">
        <v>2524</v>
      </c>
      <c r="B310" s="5" t="s">
        <v>2527</v>
      </c>
      <c r="C310" s="5" t="s">
        <v>2528</v>
      </c>
      <c r="D310" s="19" t="s">
        <v>5230</v>
      </c>
      <c r="E310" s="19" t="s">
        <v>5231</v>
      </c>
      <c r="F310" s="19" t="s">
        <v>2976</v>
      </c>
      <c r="G310" s="124" t="s">
        <v>4083</v>
      </c>
      <c r="H310" s="19" t="s">
        <v>2976</v>
      </c>
      <c r="I310" s="124" t="s">
        <v>4083</v>
      </c>
      <c r="J310" s="124" t="s">
        <v>4083</v>
      </c>
      <c r="K310" s="124" t="s">
        <v>4083</v>
      </c>
      <c r="L310" s="247" t="s">
        <v>4083</v>
      </c>
    </row>
    <row r="311" spans="1:12">
      <c r="A311" s="61" t="s">
        <v>5232</v>
      </c>
      <c r="B311" s="7" t="s">
        <v>3257</v>
      </c>
      <c r="C311" s="4" t="s">
        <v>5233</v>
      </c>
      <c r="D311" s="19" t="s">
        <v>5234</v>
      </c>
      <c r="E311" s="19" t="s">
        <v>5235</v>
      </c>
      <c r="F311" s="19" t="s">
        <v>2976</v>
      </c>
      <c r="G311" s="124" t="s">
        <v>4083</v>
      </c>
      <c r="H311" s="19" t="s">
        <v>2976</v>
      </c>
      <c r="I311" s="124" t="s">
        <v>4083</v>
      </c>
      <c r="J311" s="19" t="s">
        <v>2976</v>
      </c>
      <c r="K311" s="124" t="s">
        <v>4083</v>
      </c>
      <c r="L311" s="19" t="s">
        <v>2976</v>
      </c>
    </row>
    <row r="312" spans="1:12">
      <c r="A312" s="61" t="s">
        <v>1698</v>
      </c>
      <c r="B312" s="36" t="s">
        <v>5236</v>
      </c>
      <c r="C312" s="36" t="s">
        <v>1701</v>
      </c>
      <c r="D312" s="19" t="s">
        <v>5237</v>
      </c>
      <c r="E312" s="19" t="s">
        <v>5238</v>
      </c>
      <c r="F312" s="19" t="s">
        <v>2976</v>
      </c>
      <c r="G312" s="124" t="s">
        <v>4083</v>
      </c>
      <c r="H312" s="19" t="s">
        <v>2976</v>
      </c>
      <c r="I312" s="124" t="s">
        <v>4083</v>
      </c>
      <c r="J312" s="124" t="s">
        <v>4083</v>
      </c>
      <c r="K312" s="124" t="s">
        <v>4083</v>
      </c>
      <c r="L312" s="19" t="s">
        <v>2976</v>
      </c>
    </row>
    <row r="313" spans="1:12">
      <c r="A313" s="61" t="s">
        <v>5239</v>
      </c>
      <c r="B313" s="32" t="s">
        <v>5240</v>
      </c>
      <c r="C313" s="32" t="s">
        <v>5241</v>
      </c>
      <c r="D313" s="19" t="s">
        <v>5242</v>
      </c>
      <c r="E313" s="19" t="s">
        <v>5243</v>
      </c>
      <c r="F313" s="19" t="s">
        <v>2976</v>
      </c>
      <c r="G313" s="124" t="s">
        <v>4083</v>
      </c>
      <c r="I313" s="124" t="s">
        <v>4083</v>
      </c>
      <c r="J313" s="124" t="s">
        <v>4083</v>
      </c>
      <c r="K313" s="124" t="s">
        <v>4083</v>
      </c>
      <c r="L313" s="124" t="s">
        <v>4083</v>
      </c>
    </row>
    <row r="314" spans="1:12">
      <c r="A314" s="61" t="s">
        <v>2954</v>
      </c>
      <c r="B314" s="7" t="s">
        <v>2955</v>
      </c>
      <c r="C314" s="4" t="s">
        <v>2956</v>
      </c>
      <c r="D314" s="19" t="s">
        <v>5244</v>
      </c>
      <c r="E314" s="19" t="s">
        <v>5245</v>
      </c>
      <c r="F314" s="19" t="s">
        <v>2976</v>
      </c>
      <c r="G314" s="124" t="s">
        <v>4083</v>
      </c>
      <c r="H314" s="19" t="s">
        <v>2976</v>
      </c>
      <c r="I314" s="124" t="s">
        <v>4083</v>
      </c>
      <c r="J314" s="124" t="s">
        <v>4083</v>
      </c>
      <c r="K314" s="124" t="s">
        <v>4083</v>
      </c>
      <c r="L314" s="19" t="s">
        <v>2976</v>
      </c>
    </row>
    <row r="315" spans="1:12">
      <c r="A315" s="61" t="s">
        <v>1631</v>
      </c>
      <c r="B315" s="36" t="s">
        <v>3209</v>
      </c>
      <c r="C315" s="36" t="s">
        <v>1634</v>
      </c>
      <c r="D315" s="19" t="s">
        <v>5246</v>
      </c>
      <c r="E315" s="19" t="s">
        <v>5247</v>
      </c>
      <c r="F315" s="19" t="s">
        <v>2976</v>
      </c>
      <c r="G315" s="124" t="s">
        <v>4083</v>
      </c>
      <c r="H315" s="19" t="s">
        <v>2976</v>
      </c>
      <c r="I315" s="124" t="s">
        <v>4083</v>
      </c>
      <c r="J315" s="124" t="s">
        <v>4083</v>
      </c>
      <c r="K315" s="124" t="s">
        <v>4083</v>
      </c>
      <c r="L315" s="124" t="s">
        <v>4083</v>
      </c>
    </row>
    <row r="316" spans="1:12">
      <c r="A316" s="115" t="s">
        <v>1491</v>
      </c>
      <c r="B316" s="36" t="s">
        <v>5248</v>
      </c>
      <c r="C316" s="36" t="s">
        <v>2202</v>
      </c>
      <c r="D316" s="19" t="s">
        <v>5249</v>
      </c>
      <c r="E316" s="19" t="s">
        <v>5250</v>
      </c>
      <c r="F316" s="19" t="s">
        <v>2976</v>
      </c>
      <c r="G316" s="124" t="s">
        <v>4083</v>
      </c>
      <c r="H316" s="19" t="s">
        <v>2976</v>
      </c>
      <c r="I316" s="124" t="s">
        <v>4083</v>
      </c>
      <c r="J316" s="124" t="s">
        <v>4083</v>
      </c>
      <c r="K316" s="124" t="s">
        <v>4083</v>
      </c>
      <c r="L316" s="124" t="s">
        <v>4083</v>
      </c>
    </row>
    <row r="317" spans="1:12">
      <c r="A317" s="61" t="s">
        <v>5251</v>
      </c>
      <c r="B317" s="5" t="s">
        <v>2716</v>
      </c>
      <c r="C317" s="5" t="s">
        <v>2717</v>
      </c>
      <c r="D317" s="19" t="s">
        <v>5252</v>
      </c>
      <c r="E317" s="19" t="s">
        <v>5253</v>
      </c>
      <c r="F317" s="19" t="s">
        <v>2976</v>
      </c>
      <c r="G317" s="19" t="s">
        <v>2976</v>
      </c>
      <c r="H317" s="19" t="s">
        <v>2976</v>
      </c>
      <c r="I317" s="124" t="s">
        <v>4083</v>
      </c>
      <c r="J317" s="124" t="s">
        <v>4083</v>
      </c>
      <c r="K317" s="124" t="s">
        <v>4083</v>
      </c>
    </row>
    <row r="318" spans="1:12">
      <c r="A318" s="61" t="s">
        <v>3032</v>
      </c>
      <c r="B318" s="7" t="s">
        <v>2928</v>
      </c>
      <c r="C318" s="4" t="s">
        <v>3033</v>
      </c>
      <c r="D318" s="19" t="s">
        <v>5254</v>
      </c>
      <c r="E318" s="19" t="s">
        <v>5255</v>
      </c>
      <c r="F318" s="19" t="s">
        <v>2976</v>
      </c>
      <c r="G318" s="124" t="s">
        <v>4083</v>
      </c>
      <c r="I318" s="124" t="s">
        <v>4083</v>
      </c>
      <c r="K318" s="124" t="s">
        <v>4083</v>
      </c>
      <c r="L318" s="124" t="s">
        <v>4083</v>
      </c>
    </row>
    <row r="319" spans="1:12">
      <c r="A319" s="61" t="s">
        <v>1813</v>
      </c>
      <c r="B319" s="36" t="s">
        <v>2242</v>
      </c>
      <c r="C319" s="36" t="s">
        <v>1815</v>
      </c>
      <c r="D319" s="19" t="s">
        <v>5256</v>
      </c>
      <c r="E319" t="s">
        <v>213</v>
      </c>
      <c r="F319" s="19" t="s">
        <v>2976</v>
      </c>
      <c r="G319" s="124" t="s">
        <v>4083</v>
      </c>
      <c r="H319" s="19" t="s">
        <v>2976</v>
      </c>
      <c r="I319" s="19" t="s">
        <v>2976</v>
      </c>
      <c r="J319" s="124" t="s">
        <v>4083</v>
      </c>
      <c r="K319" s="124" t="s">
        <v>4083</v>
      </c>
      <c r="L319" s="124" t="s">
        <v>4083</v>
      </c>
    </row>
    <row r="320" spans="1:12">
      <c r="A320" s="61" t="s">
        <v>1775</v>
      </c>
      <c r="B320" s="36" t="s">
        <v>4959</v>
      </c>
      <c r="C320" s="36" t="s">
        <v>1777</v>
      </c>
      <c r="D320" s="19" t="s">
        <v>5257</v>
      </c>
      <c r="E320" s="19" t="s">
        <v>5258</v>
      </c>
      <c r="F320" s="19" t="s">
        <v>2976</v>
      </c>
      <c r="G320" s="124" t="s">
        <v>4083</v>
      </c>
      <c r="H320" s="19" t="s">
        <v>2976</v>
      </c>
      <c r="I320" s="124" t="s">
        <v>4083</v>
      </c>
      <c r="J320" s="125" t="s">
        <v>2976</v>
      </c>
      <c r="K320" s="124" t="s">
        <v>4083</v>
      </c>
      <c r="L320" s="19" t="s">
        <v>2976</v>
      </c>
    </row>
    <row r="321" spans="1:12">
      <c r="A321" s="61" t="s">
        <v>5259</v>
      </c>
      <c r="B321" s="32" t="s">
        <v>5260</v>
      </c>
      <c r="C321" s="32" t="s">
        <v>5261</v>
      </c>
      <c r="D321" s="19" t="s">
        <v>5262</v>
      </c>
      <c r="E321" s="19" t="s">
        <v>5263</v>
      </c>
      <c r="F321" s="19" t="s">
        <v>2976</v>
      </c>
      <c r="G321" s="124" t="s">
        <v>4083</v>
      </c>
      <c r="H321" s="19" t="s">
        <v>2976</v>
      </c>
      <c r="I321" s="124" t="s">
        <v>4083</v>
      </c>
      <c r="J321" s="19" t="s">
        <v>2976</v>
      </c>
      <c r="K321" s="124" t="s">
        <v>4083</v>
      </c>
      <c r="L321" s="19" t="s">
        <v>2976</v>
      </c>
    </row>
    <row r="322" spans="1:12">
      <c r="A322" s="61" t="s">
        <v>5264</v>
      </c>
      <c r="B322" s="132" t="s">
        <v>3244</v>
      </c>
      <c r="C322" s="133" t="s">
        <v>5265</v>
      </c>
      <c r="D322" s="19" t="s">
        <v>5266</v>
      </c>
      <c r="E322" s="19" t="s">
        <v>5267</v>
      </c>
      <c r="F322" s="19" t="s">
        <v>2976</v>
      </c>
      <c r="G322" s="124" t="s">
        <v>4083</v>
      </c>
      <c r="H322" s="19" t="s">
        <v>2976</v>
      </c>
      <c r="I322" s="124" t="s">
        <v>4083</v>
      </c>
      <c r="J322" s="124" t="s">
        <v>4083</v>
      </c>
      <c r="K322" s="124" t="s">
        <v>4083</v>
      </c>
      <c r="L322" s="19" t="s">
        <v>2976</v>
      </c>
    </row>
    <row r="323" spans="1:12">
      <c r="A323" s="61" t="s">
        <v>1488</v>
      </c>
      <c r="B323" s="134" t="s">
        <v>3251</v>
      </c>
      <c r="C323" s="134" t="s">
        <v>2192</v>
      </c>
      <c r="D323" s="19" t="s">
        <v>5268</v>
      </c>
      <c r="E323" s="19" t="s">
        <v>5269</v>
      </c>
      <c r="F323" s="19" t="s">
        <v>2976</v>
      </c>
      <c r="G323" s="19" t="s">
        <v>2976</v>
      </c>
      <c r="H323" s="19" t="s">
        <v>2976</v>
      </c>
      <c r="I323" s="19" t="s">
        <v>2976</v>
      </c>
      <c r="J323" s="124" t="s">
        <v>4083</v>
      </c>
      <c r="K323" s="124" t="s">
        <v>4083</v>
      </c>
      <c r="L323" s="124" t="s">
        <v>4083</v>
      </c>
    </row>
    <row r="324" spans="1:12">
      <c r="A324" s="61" t="s">
        <v>2530</v>
      </c>
      <c r="B324" s="5" t="s">
        <v>2531</v>
      </c>
      <c r="C324" s="5" t="s">
        <v>2532</v>
      </c>
      <c r="D324" s="19" t="s">
        <v>5270</v>
      </c>
      <c r="E324" s="19" t="s">
        <v>5271</v>
      </c>
      <c r="F324" s="19" t="s">
        <v>2976</v>
      </c>
      <c r="G324" s="124" t="s">
        <v>4083</v>
      </c>
      <c r="H324" s="19" t="s">
        <v>2976</v>
      </c>
      <c r="I324" s="124" t="s">
        <v>4083</v>
      </c>
      <c r="J324" s="124" t="s">
        <v>4083</v>
      </c>
      <c r="K324" s="124" t="s">
        <v>4083</v>
      </c>
      <c r="L324" s="124" t="s">
        <v>4083</v>
      </c>
    </row>
    <row r="325" spans="1:12">
      <c r="A325" s="61" t="s">
        <v>5272</v>
      </c>
      <c r="B325" s="135" t="s">
        <v>2924</v>
      </c>
      <c r="C325" s="135" t="s">
        <v>5273</v>
      </c>
      <c r="D325" s="19" t="s">
        <v>5274</v>
      </c>
      <c r="E325" s="19" t="s">
        <v>5275</v>
      </c>
      <c r="F325" s="19" t="s">
        <v>2976</v>
      </c>
      <c r="G325" s="19" t="s">
        <v>2976</v>
      </c>
      <c r="I325" s="19" t="s">
        <v>2976</v>
      </c>
      <c r="J325" s="124" t="s">
        <v>4083</v>
      </c>
      <c r="K325" s="124" t="s">
        <v>4083</v>
      </c>
      <c r="L325" s="19" t="s">
        <v>2976</v>
      </c>
    </row>
    <row r="326" spans="1:12">
      <c r="A326" s="61" t="s">
        <v>228</v>
      </c>
      <c r="B326" s="36" t="s">
        <v>370</v>
      </c>
      <c r="C326" s="36" t="s">
        <v>1137</v>
      </c>
      <c r="D326" s="19" t="s">
        <v>5276</v>
      </c>
      <c r="E326" s="19" t="s">
        <v>5277</v>
      </c>
      <c r="F326" s="19" t="s">
        <v>2976</v>
      </c>
      <c r="G326" s="124" t="s">
        <v>4083</v>
      </c>
      <c r="H326" s="19" t="s">
        <v>2976</v>
      </c>
      <c r="I326" s="125" t="s">
        <v>2976</v>
      </c>
      <c r="K326" s="124" t="s">
        <v>4083</v>
      </c>
      <c r="L326" s="125" t="s">
        <v>2976</v>
      </c>
    </row>
    <row r="327" spans="1:12">
      <c r="A327" s="61" t="s">
        <v>237</v>
      </c>
      <c r="B327" s="19" t="s">
        <v>1047</v>
      </c>
      <c r="C327" s="19" t="s">
        <v>1048</v>
      </c>
      <c r="D327" s="19" t="s">
        <v>5278</v>
      </c>
      <c r="E327" s="19" t="s">
        <v>5279</v>
      </c>
      <c r="F327" s="19" t="s">
        <v>2976</v>
      </c>
      <c r="G327" s="124" t="s">
        <v>4083</v>
      </c>
      <c r="H327" s="19" t="s">
        <v>2976</v>
      </c>
      <c r="I327" s="124" t="s">
        <v>4083</v>
      </c>
      <c r="J327" s="124" t="s">
        <v>4083</v>
      </c>
      <c r="K327" s="124" t="s">
        <v>4083</v>
      </c>
      <c r="L327" s="124" t="s">
        <v>4083</v>
      </c>
    </row>
    <row r="328" spans="1:12">
      <c r="A328" s="61" t="s">
        <v>5280</v>
      </c>
      <c r="B328" s="4" t="s">
        <v>5281</v>
      </c>
      <c r="C328" s="4" t="s">
        <v>5282</v>
      </c>
      <c r="D328" s="19" t="s">
        <v>5283</v>
      </c>
      <c r="E328" s="19" t="s">
        <v>5284</v>
      </c>
      <c r="F328" s="19" t="s">
        <v>2976</v>
      </c>
      <c r="G328" s="124" t="s">
        <v>4083</v>
      </c>
      <c r="H328" s="19" t="s">
        <v>2976</v>
      </c>
      <c r="I328" s="124" t="s">
        <v>4083</v>
      </c>
      <c r="J328" s="19" t="s">
        <v>2976</v>
      </c>
      <c r="K328" s="124" t="s">
        <v>4083</v>
      </c>
      <c r="L328" s="124" t="s">
        <v>4083</v>
      </c>
    </row>
    <row r="329" spans="1:12">
      <c r="A329" s="61" t="s">
        <v>5285</v>
      </c>
      <c r="B329" s="45" t="s">
        <v>571</v>
      </c>
      <c r="C329" s="45" t="s">
        <v>572</v>
      </c>
      <c r="D329" s="19" t="s">
        <v>5286</v>
      </c>
      <c r="E329" s="19" t="s">
        <v>5287</v>
      </c>
      <c r="F329" s="19" t="s">
        <v>2976</v>
      </c>
      <c r="G329" s="124" t="s">
        <v>4083</v>
      </c>
      <c r="H329" s="124" t="s">
        <v>4083</v>
      </c>
      <c r="I329" s="124" t="s">
        <v>4083</v>
      </c>
      <c r="J329" s="124" t="s">
        <v>4083</v>
      </c>
      <c r="K329" s="124" t="s">
        <v>4083</v>
      </c>
      <c r="L329" s="124" t="s">
        <v>4083</v>
      </c>
    </row>
    <row r="330" spans="1:12">
      <c r="A330" s="61" t="s">
        <v>5288</v>
      </c>
      <c r="B330" s="36" t="s">
        <v>278</v>
      </c>
      <c r="C330" s="36" t="s">
        <v>346</v>
      </c>
      <c r="D330" s="19" t="s">
        <v>5289</v>
      </c>
      <c r="E330" s="19" t="s">
        <v>5290</v>
      </c>
      <c r="F330" s="19" t="s">
        <v>2976</v>
      </c>
      <c r="G330" s="124" t="s">
        <v>4083</v>
      </c>
      <c r="H330" s="19" t="s">
        <v>2976</v>
      </c>
      <c r="I330" s="124" t="s">
        <v>4083</v>
      </c>
      <c r="K330" s="124" t="s">
        <v>4083</v>
      </c>
      <c r="L330" s="124" t="s">
        <v>4083</v>
      </c>
    </row>
    <row r="331" spans="1:12">
      <c r="A331" s="61" t="s">
        <v>3013</v>
      </c>
      <c r="B331" s="20" t="s">
        <v>3014</v>
      </c>
      <c r="C331" s="19" t="s">
        <v>3015</v>
      </c>
      <c r="D331" s="19" t="s">
        <v>5291</v>
      </c>
      <c r="E331" s="19" t="s">
        <v>5292</v>
      </c>
      <c r="F331" s="19" t="s">
        <v>2976</v>
      </c>
      <c r="G331" s="124" t="s">
        <v>4083</v>
      </c>
      <c r="H331" s="19" t="s">
        <v>2976</v>
      </c>
      <c r="I331" s="124" t="s">
        <v>4083</v>
      </c>
      <c r="J331" s="124" t="s">
        <v>4083</v>
      </c>
      <c r="K331" s="124" t="s">
        <v>4083</v>
      </c>
      <c r="L331" s="124" t="s">
        <v>4083</v>
      </c>
    </row>
    <row r="332" spans="1:12">
      <c r="A332" s="61" t="s">
        <v>5293</v>
      </c>
      <c r="B332" s="36" t="s">
        <v>3217</v>
      </c>
      <c r="C332" s="36" t="s">
        <v>5294</v>
      </c>
      <c r="D332" s="19" t="s">
        <v>5295</v>
      </c>
      <c r="E332" s="19" t="s">
        <v>5296</v>
      </c>
      <c r="F332" s="19" t="s">
        <v>2976</v>
      </c>
      <c r="G332" s="124" t="s">
        <v>4083</v>
      </c>
      <c r="H332" s="19" t="s">
        <v>2976</v>
      </c>
      <c r="I332" s="124" t="s">
        <v>4083</v>
      </c>
      <c r="K332" s="124" t="s">
        <v>4083</v>
      </c>
      <c r="L332" s="19" t="s">
        <v>2976</v>
      </c>
    </row>
    <row r="333" spans="1:12">
      <c r="A333" s="61" t="s">
        <v>5297</v>
      </c>
      <c r="B333" s="136" t="s">
        <v>3042</v>
      </c>
      <c r="C333" s="137" t="s">
        <v>5298</v>
      </c>
      <c r="D333" s="137" t="s">
        <v>5299</v>
      </c>
      <c r="E333" s="137" t="s">
        <v>5300</v>
      </c>
      <c r="F333" s="137" t="s">
        <v>2976</v>
      </c>
      <c r="G333" s="138" t="s">
        <v>4083</v>
      </c>
      <c r="H333" s="137" t="s">
        <v>2976</v>
      </c>
      <c r="I333" s="138" t="s">
        <v>4083</v>
      </c>
      <c r="J333" s="138" t="s">
        <v>4083</v>
      </c>
      <c r="K333" s="138" t="s">
        <v>4083</v>
      </c>
      <c r="L333" s="138" t="s">
        <v>4083</v>
      </c>
    </row>
    <row r="334" spans="1:12">
      <c r="A334" s="61" t="s">
        <v>5301</v>
      </c>
      <c r="B334" s="36" t="s">
        <v>1897</v>
      </c>
      <c r="C334" s="36" t="s">
        <v>5302</v>
      </c>
      <c r="D334" s="19" t="s">
        <v>5303</v>
      </c>
      <c r="E334" s="19" t="s">
        <v>5304</v>
      </c>
      <c r="F334" s="19" t="s">
        <v>2976</v>
      </c>
      <c r="G334" s="138" t="s">
        <v>4083</v>
      </c>
      <c r="I334" s="125" t="s">
        <v>2976</v>
      </c>
      <c r="J334" s="138" t="s">
        <v>4083</v>
      </c>
      <c r="K334" s="138" t="s">
        <v>4083</v>
      </c>
      <c r="L334" s="19" t="s">
        <v>2976</v>
      </c>
    </row>
    <row r="335" spans="1:12">
      <c r="A335" s="61" t="s">
        <v>340</v>
      </c>
      <c r="B335" s="36" t="s">
        <v>341</v>
      </c>
      <c r="C335" s="36" t="s">
        <v>342</v>
      </c>
      <c r="D335" s="19" t="s">
        <v>5305</v>
      </c>
      <c r="E335" s="19" t="s">
        <v>5306</v>
      </c>
      <c r="F335" s="19" t="s">
        <v>2976</v>
      </c>
    </row>
    <row r="336" spans="1:12">
      <c r="A336" s="61" t="s">
        <v>5307</v>
      </c>
      <c r="B336" s="36" t="s">
        <v>3414</v>
      </c>
      <c r="C336" s="36" t="s">
        <v>5308</v>
      </c>
      <c r="D336" s="19" t="s">
        <v>5309</v>
      </c>
      <c r="E336" s="19" t="s">
        <v>5310</v>
      </c>
      <c r="F336" s="19" t="s">
        <v>2976</v>
      </c>
      <c r="G336" s="138" t="s">
        <v>4083</v>
      </c>
      <c r="H336" s="138" t="s">
        <v>4083</v>
      </c>
      <c r="I336" s="19" t="s">
        <v>2976</v>
      </c>
      <c r="J336" s="138" t="s">
        <v>4083</v>
      </c>
      <c r="K336" s="138" t="s">
        <v>4083</v>
      </c>
      <c r="L336" s="138" t="s">
        <v>4083</v>
      </c>
    </row>
    <row r="337" spans="1:12">
      <c r="A337" s="61" t="s">
        <v>1670</v>
      </c>
      <c r="B337" s="19" t="s">
        <v>5311</v>
      </c>
      <c r="C337" s="19" t="s">
        <v>1672</v>
      </c>
      <c r="D337" s="19" t="s">
        <v>5312</v>
      </c>
      <c r="E337" s="19" t="s">
        <v>5313</v>
      </c>
      <c r="F337" s="19" t="s">
        <v>2976</v>
      </c>
      <c r="G337" s="138" t="s">
        <v>4083</v>
      </c>
      <c r="H337" s="19" t="s">
        <v>2976</v>
      </c>
      <c r="I337" s="138" t="s">
        <v>4083</v>
      </c>
      <c r="J337" s="138" t="s">
        <v>4083</v>
      </c>
      <c r="K337" s="138" t="s">
        <v>4083</v>
      </c>
      <c r="L337" s="138" t="s">
        <v>4083</v>
      </c>
    </row>
    <row r="338" spans="1:12">
      <c r="A338" s="61" t="s">
        <v>5314</v>
      </c>
      <c r="B338" s="36" t="s">
        <v>2242</v>
      </c>
      <c r="C338" s="36" t="s">
        <v>5315</v>
      </c>
      <c r="D338" s="19" t="s">
        <v>5316</v>
      </c>
      <c r="E338" s="19" t="s">
        <v>5317</v>
      </c>
      <c r="F338" s="19" t="s">
        <v>2976</v>
      </c>
      <c r="G338" s="138" t="s">
        <v>4083</v>
      </c>
      <c r="H338" s="19" t="s">
        <v>2976</v>
      </c>
      <c r="I338" s="138" t="s">
        <v>4083</v>
      </c>
      <c r="J338" s="125" t="s">
        <v>2976</v>
      </c>
      <c r="K338" s="138" t="s">
        <v>4083</v>
      </c>
      <c r="L338" s="138" t="s">
        <v>4083</v>
      </c>
    </row>
    <row r="339" spans="1:12">
      <c r="A339" s="61" t="s">
        <v>5318</v>
      </c>
      <c r="B339" s="19" t="s">
        <v>2835</v>
      </c>
      <c r="C339" s="19" t="s">
        <v>5319</v>
      </c>
      <c r="D339" s="19" t="s">
        <v>5320</v>
      </c>
      <c r="E339" s="19" t="s">
        <v>5321</v>
      </c>
      <c r="F339" s="19" t="s">
        <v>2976</v>
      </c>
      <c r="G339" s="138" t="s">
        <v>4083</v>
      </c>
      <c r="H339" s="19" t="s">
        <v>2976</v>
      </c>
      <c r="I339" s="138" t="s">
        <v>4083</v>
      </c>
      <c r="J339" s="138" t="s">
        <v>4083</v>
      </c>
      <c r="K339" s="138" t="s">
        <v>4083</v>
      </c>
      <c r="L339" s="138" t="s">
        <v>4083</v>
      </c>
    </row>
    <row r="340" spans="1:12" ht="14.25" customHeight="1">
      <c r="A340" s="111" t="s">
        <v>2961</v>
      </c>
      <c r="B340" s="29" t="s">
        <v>2962</v>
      </c>
      <c r="C340" s="29" t="s">
        <v>2963</v>
      </c>
      <c r="D340" s="19" t="s">
        <v>5322</v>
      </c>
      <c r="E340" s="19" t="s">
        <v>5323</v>
      </c>
      <c r="F340" s="19" t="s">
        <v>2976</v>
      </c>
      <c r="G340" s="138" t="s">
        <v>4083</v>
      </c>
      <c r="H340" s="19" t="s">
        <v>2976</v>
      </c>
      <c r="I340" s="138" t="s">
        <v>4083</v>
      </c>
      <c r="J340" s="138" t="s">
        <v>4083</v>
      </c>
      <c r="K340" s="138" t="s">
        <v>4083</v>
      </c>
      <c r="L340" s="19" t="s">
        <v>2976</v>
      </c>
    </row>
    <row r="341" spans="1:12">
      <c r="A341" s="61" t="s">
        <v>1614</v>
      </c>
      <c r="B341" s="36" t="s">
        <v>5324</v>
      </c>
      <c r="C341" s="36" t="s">
        <v>1617</v>
      </c>
      <c r="D341" s="19" t="s">
        <v>5325</v>
      </c>
      <c r="E341" s="19" t="s">
        <v>5326</v>
      </c>
      <c r="F341" s="19" t="s">
        <v>2976</v>
      </c>
      <c r="G341" s="138" t="s">
        <v>4083</v>
      </c>
      <c r="H341" s="19" t="s">
        <v>2976</v>
      </c>
      <c r="I341" s="138" t="s">
        <v>4083</v>
      </c>
      <c r="J341" s="138" t="s">
        <v>4083</v>
      </c>
      <c r="K341" s="138" t="s">
        <v>4083</v>
      </c>
      <c r="L341" s="138" t="s">
        <v>4083</v>
      </c>
    </row>
    <row r="342" spans="1:12">
      <c r="A342" s="61" t="s">
        <v>2035</v>
      </c>
      <c r="B342" s="36" t="s">
        <v>5327</v>
      </c>
      <c r="C342" s="36" t="s">
        <v>2038</v>
      </c>
      <c r="D342" s="19" t="s">
        <v>5328</v>
      </c>
      <c r="E342" s="19" t="s">
        <v>5329</v>
      </c>
      <c r="F342" s="19" t="s">
        <v>2976</v>
      </c>
      <c r="G342" s="138" t="s">
        <v>4083</v>
      </c>
      <c r="H342" s="19" t="s">
        <v>2976</v>
      </c>
      <c r="I342" s="138" t="s">
        <v>4083</v>
      </c>
      <c r="J342" s="19" t="s">
        <v>2976</v>
      </c>
      <c r="K342" s="138" t="s">
        <v>4083</v>
      </c>
      <c r="L342" s="138" t="s">
        <v>4083</v>
      </c>
    </row>
    <row r="343" spans="1:12">
      <c r="A343" s="61" t="s">
        <v>5330</v>
      </c>
      <c r="B343" s="19" t="s">
        <v>5331</v>
      </c>
      <c r="C343" s="19" t="s">
        <v>5332</v>
      </c>
      <c r="D343" s="19" t="s">
        <v>5333</v>
      </c>
      <c r="E343" s="19" t="s">
        <v>5334</v>
      </c>
      <c r="F343" s="19" t="s">
        <v>2976</v>
      </c>
      <c r="G343" s="138" t="s">
        <v>4083</v>
      </c>
      <c r="H343" s="19" t="s">
        <v>2976</v>
      </c>
      <c r="I343" s="138" t="s">
        <v>4083</v>
      </c>
      <c r="J343" s="138" t="s">
        <v>4083</v>
      </c>
      <c r="K343" s="138" t="s">
        <v>4083</v>
      </c>
      <c r="L343" s="138" t="s">
        <v>4083</v>
      </c>
    </row>
    <row r="344" spans="1:12">
      <c r="A344" s="61" t="s">
        <v>2974</v>
      </c>
      <c r="B344" s="19" t="s">
        <v>4424</v>
      </c>
      <c r="C344" s="19" t="s">
        <v>5335</v>
      </c>
      <c r="D344" s="19" t="s">
        <v>5336</v>
      </c>
      <c r="E344" s="19" t="s">
        <v>5337</v>
      </c>
      <c r="F344" s="19" t="s">
        <v>2976</v>
      </c>
      <c r="G344" s="125" t="s">
        <v>2976</v>
      </c>
      <c r="H344" s="19" t="s">
        <v>2976</v>
      </c>
      <c r="I344" s="138" t="s">
        <v>4083</v>
      </c>
      <c r="J344" s="19" t="s">
        <v>2976</v>
      </c>
      <c r="K344" s="138" t="s">
        <v>4083</v>
      </c>
      <c r="L344" s="19" t="s">
        <v>2976</v>
      </c>
    </row>
    <row r="345" spans="1:12">
      <c r="A345" s="61" t="s">
        <v>3025</v>
      </c>
      <c r="B345" s="19" t="s">
        <v>5338</v>
      </c>
      <c r="C345" s="19" t="s">
        <v>5339</v>
      </c>
      <c r="D345" s="19" t="s">
        <v>5340</v>
      </c>
      <c r="E345" s="19" t="s">
        <v>5341</v>
      </c>
      <c r="F345" s="19" t="s">
        <v>2976</v>
      </c>
      <c r="G345" s="19" t="s">
        <v>2976</v>
      </c>
      <c r="I345" s="19" t="s">
        <v>2976</v>
      </c>
      <c r="J345" s="19" t="s">
        <v>2976</v>
      </c>
      <c r="K345" s="138" t="s">
        <v>4083</v>
      </c>
      <c r="L345" s="19" t="s">
        <v>2976</v>
      </c>
    </row>
    <row r="346" spans="1:12">
      <c r="A346" s="61" t="s">
        <v>5342</v>
      </c>
      <c r="B346" s="19" t="s">
        <v>5343</v>
      </c>
      <c r="C346" s="19" t="s">
        <v>5344</v>
      </c>
      <c r="D346" s="19" t="s">
        <v>5345</v>
      </c>
      <c r="E346" s="19" t="s">
        <v>5346</v>
      </c>
      <c r="F346" s="19" t="s">
        <v>2976</v>
      </c>
      <c r="G346" s="138" t="s">
        <v>4083</v>
      </c>
      <c r="I346" s="138" t="s">
        <v>4083</v>
      </c>
      <c r="J346" s="138" t="s">
        <v>4083</v>
      </c>
      <c r="K346" s="138" t="s">
        <v>4083</v>
      </c>
      <c r="L346" s="138" t="s">
        <v>4083</v>
      </c>
    </row>
    <row r="347" spans="1:12">
      <c r="A347" s="61" t="s">
        <v>4423</v>
      </c>
      <c r="B347" s="19" t="s">
        <v>4424</v>
      </c>
      <c r="C347" s="19" t="s">
        <v>4425</v>
      </c>
      <c r="D347" s="19" t="s">
        <v>4426</v>
      </c>
      <c r="E347" s="19" t="s">
        <v>5347</v>
      </c>
      <c r="F347" s="19" t="s">
        <v>2976</v>
      </c>
      <c r="G347" s="19" t="s">
        <v>2976</v>
      </c>
      <c r="H347" s="19" t="s">
        <v>2976</v>
      </c>
      <c r="I347" s="138" t="s">
        <v>4083</v>
      </c>
      <c r="J347" s="19" t="s">
        <v>2976</v>
      </c>
      <c r="K347" s="138" t="s">
        <v>4083</v>
      </c>
      <c r="L347" s="102" t="s">
        <v>2976</v>
      </c>
    </row>
    <row r="348" spans="1:12">
      <c r="A348" s="61" t="s">
        <v>5348</v>
      </c>
      <c r="B348" s="31" t="s">
        <v>3281</v>
      </c>
      <c r="C348" s="29" t="s">
        <v>5349</v>
      </c>
      <c r="D348" s="19" t="s">
        <v>5350</v>
      </c>
      <c r="E348" s="19" t="s">
        <v>5351</v>
      </c>
      <c r="F348" s="19" t="s">
        <v>2976</v>
      </c>
      <c r="G348" s="138" t="s">
        <v>4083</v>
      </c>
      <c r="H348" s="19" t="s">
        <v>2976</v>
      </c>
      <c r="I348" s="138" t="s">
        <v>4083</v>
      </c>
      <c r="J348" s="138" t="s">
        <v>4083</v>
      </c>
      <c r="K348" s="138" t="s">
        <v>4083</v>
      </c>
      <c r="L348" s="19" t="s">
        <v>2976</v>
      </c>
    </row>
    <row r="349" spans="1:12">
      <c r="A349" s="61" t="s">
        <v>5352</v>
      </c>
      <c r="B349" s="19" t="s">
        <v>3195</v>
      </c>
      <c r="C349" s="19" t="s">
        <v>3197</v>
      </c>
      <c r="D349" s="19" t="s">
        <v>5353</v>
      </c>
      <c r="E349" s="19" t="s">
        <v>5354</v>
      </c>
      <c r="F349" s="19" t="s">
        <v>2976</v>
      </c>
      <c r="G349" s="19" t="s">
        <v>2976</v>
      </c>
      <c r="H349" s="19" t="s">
        <v>2976</v>
      </c>
      <c r="I349" s="138" t="s">
        <v>4083</v>
      </c>
      <c r="J349" s="125" t="s">
        <v>2976</v>
      </c>
      <c r="K349" s="138" t="s">
        <v>4083</v>
      </c>
      <c r="L349" s="138" t="s">
        <v>4083</v>
      </c>
    </row>
    <row r="350" spans="1:12">
      <c r="A350" s="61" t="s">
        <v>5355</v>
      </c>
      <c r="B350" s="20" t="s">
        <v>2616</v>
      </c>
      <c r="C350" s="19" t="s">
        <v>2617</v>
      </c>
      <c r="D350" s="19" t="s">
        <v>5356</v>
      </c>
      <c r="E350" s="19" t="s">
        <v>5357</v>
      </c>
      <c r="F350" s="19" t="s">
        <v>2976</v>
      </c>
      <c r="G350" s="138" t="s">
        <v>4083</v>
      </c>
      <c r="H350" s="19" t="s">
        <v>2976</v>
      </c>
      <c r="J350" s="19" t="s">
        <v>2976</v>
      </c>
      <c r="K350" s="138" t="s">
        <v>4083</v>
      </c>
      <c r="L350" s="138" t="s">
        <v>4083</v>
      </c>
    </row>
    <row r="351" spans="1:12">
      <c r="A351" s="61" t="s">
        <v>1758</v>
      </c>
      <c r="B351" s="36" t="s">
        <v>3212</v>
      </c>
      <c r="C351" s="36" t="s">
        <v>1760</v>
      </c>
      <c r="D351" s="19" t="s">
        <v>5358</v>
      </c>
      <c r="E351" s="19" t="s">
        <v>5359</v>
      </c>
      <c r="F351" s="19" t="s">
        <v>2976</v>
      </c>
      <c r="G351" s="19" t="s">
        <v>2976</v>
      </c>
      <c r="H351" s="19" t="s">
        <v>2976</v>
      </c>
      <c r="I351" s="138" t="s">
        <v>4083</v>
      </c>
      <c r="K351" s="138" t="s">
        <v>4083</v>
      </c>
      <c r="L351" s="19" t="s">
        <v>2976</v>
      </c>
    </row>
    <row r="352" spans="1:12">
      <c r="A352" s="61" t="s">
        <v>935</v>
      </c>
      <c r="B352" s="19" t="s">
        <v>1242</v>
      </c>
      <c r="C352" s="19" t="s">
        <v>1243</v>
      </c>
      <c r="D352" s="19" t="s">
        <v>5360</v>
      </c>
      <c r="E352" s="19" t="s">
        <v>5361</v>
      </c>
      <c r="F352" s="19" t="s">
        <v>2976</v>
      </c>
      <c r="G352" s="138" t="s">
        <v>4083</v>
      </c>
      <c r="H352" s="138" t="s">
        <v>4083</v>
      </c>
      <c r="I352" s="138" t="s">
        <v>4083</v>
      </c>
      <c r="J352" s="138" t="s">
        <v>4083</v>
      </c>
      <c r="K352" s="138" t="s">
        <v>4083</v>
      </c>
      <c r="L352" s="138" t="s">
        <v>4083</v>
      </c>
    </row>
    <row r="353" spans="1:12">
      <c r="A353" s="61" t="s">
        <v>499</v>
      </c>
      <c r="B353" s="57" t="s">
        <v>500</v>
      </c>
      <c r="C353" s="57" t="s">
        <v>501</v>
      </c>
      <c r="D353" s="19" t="s">
        <v>5362</v>
      </c>
      <c r="E353" s="19" t="s">
        <v>5363</v>
      </c>
      <c r="F353" s="19" t="s">
        <v>2976</v>
      </c>
      <c r="G353" s="138" t="s">
        <v>4083</v>
      </c>
      <c r="I353" s="138" t="s">
        <v>4083</v>
      </c>
      <c r="J353" s="138" t="s">
        <v>4083</v>
      </c>
      <c r="K353" s="138" t="s">
        <v>4083</v>
      </c>
      <c r="L353" s="138" t="s">
        <v>4083</v>
      </c>
    </row>
    <row r="354" spans="1:12">
      <c r="A354" s="61" t="s">
        <v>5364</v>
      </c>
      <c r="B354" s="57" t="s">
        <v>500</v>
      </c>
      <c r="C354" s="57" t="s">
        <v>5365</v>
      </c>
      <c r="D354" s="19" t="s">
        <v>5366</v>
      </c>
      <c r="E354" s="19" t="s">
        <v>5367</v>
      </c>
      <c r="F354" s="19" t="s">
        <v>2976</v>
      </c>
      <c r="G354" s="138" t="s">
        <v>4083</v>
      </c>
      <c r="I354" s="138" t="s">
        <v>4083</v>
      </c>
      <c r="J354" s="138" t="s">
        <v>4083</v>
      </c>
      <c r="K354" s="55" t="s">
        <v>2976</v>
      </c>
      <c r="L354" s="19" t="s">
        <v>2976</v>
      </c>
    </row>
    <row r="355" spans="1:12">
      <c r="A355" s="61" t="s">
        <v>781</v>
      </c>
      <c r="B355" s="57" t="s">
        <v>559</v>
      </c>
      <c r="C355" s="57" t="s">
        <v>458</v>
      </c>
      <c r="D355" s="19" t="s">
        <v>5368</v>
      </c>
      <c r="E355" s="19" t="s">
        <v>5369</v>
      </c>
      <c r="F355" s="19" t="s">
        <v>2976</v>
      </c>
      <c r="G355" s="138" t="s">
        <v>4083</v>
      </c>
      <c r="H355" s="19" t="s">
        <v>2976</v>
      </c>
      <c r="I355" s="138" t="s">
        <v>4083</v>
      </c>
      <c r="J355" s="138" t="s">
        <v>4083</v>
      </c>
      <c r="K355" s="55" t="s">
        <v>2976</v>
      </c>
      <c r="L355" s="19" t="s">
        <v>2976</v>
      </c>
    </row>
    <row r="356" spans="1:12">
      <c r="A356" s="61" t="s">
        <v>832</v>
      </c>
      <c r="B356" s="57" t="s">
        <v>959</v>
      </c>
      <c r="C356" s="57" t="s">
        <v>960</v>
      </c>
      <c r="D356" s="19" t="s">
        <v>5370</v>
      </c>
      <c r="E356" s="19" t="s">
        <v>5371</v>
      </c>
      <c r="G356" s="138" t="s">
        <v>4083</v>
      </c>
      <c r="H356" s="138" t="s">
        <v>4083</v>
      </c>
      <c r="I356" s="138" t="s">
        <v>4083</v>
      </c>
      <c r="J356" s="138" t="s">
        <v>4083</v>
      </c>
      <c r="K356" s="138" t="s">
        <v>4083</v>
      </c>
      <c r="L356" s="138" t="s">
        <v>4083</v>
      </c>
    </row>
    <row r="357" spans="1:12">
      <c r="A357" s="61" t="s">
        <v>780</v>
      </c>
      <c r="B357" s="57" t="s">
        <v>959</v>
      </c>
      <c r="C357" s="57" t="s">
        <v>960</v>
      </c>
      <c r="D357" s="19" t="s">
        <v>5370</v>
      </c>
      <c r="E357" s="19" t="s">
        <v>5372</v>
      </c>
    </row>
    <row r="358" spans="1:12">
      <c r="A358" s="61" t="s">
        <v>923</v>
      </c>
      <c r="B358" s="57" t="s">
        <v>634</v>
      </c>
      <c r="C358" s="57" t="s">
        <v>1198</v>
      </c>
      <c r="D358" s="19" t="s">
        <v>5373</v>
      </c>
      <c r="E358" s="19" t="s">
        <v>5374</v>
      </c>
      <c r="F358" s="19" t="s">
        <v>2976</v>
      </c>
      <c r="G358" s="138" t="s">
        <v>4083</v>
      </c>
      <c r="H358" s="138" t="s">
        <v>4083</v>
      </c>
      <c r="I358" s="138" t="s">
        <v>4083</v>
      </c>
      <c r="J358" s="138" t="s">
        <v>4083</v>
      </c>
      <c r="K358" s="138" t="s">
        <v>4083</v>
      </c>
      <c r="L358" s="138" t="s">
        <v>4083</v>
      </c>
    </row>
    <row r="359" spans="1:12">
      <c r="A359" s="61" t="s">
        <v>878</v>
      </c>
      <c r="B359" s="57" t="s">
        <v>467</v>
      </c>
      <c r="C359" s="57" t="s">
        <v>1170</v>
      </c>
      <c r="D359" s="19" t="s">
        <v>5375</v>
      </c>
      <c r="E359" s="19" t="s">
        <v>5376</v>
      </c>
      <c r="F359" s="19" t="s">
        <v>2976</v>
      </c>
      <c r="G359" s="138" t="s">
        <v>4083</v>
      </c>
      <c r="H359" s="19" t="s">
        <v>2976</v>
      </c>
      <c r="I359" s="138" t="s">
        <v>4083</v>
      </c>
      <c r="J359" s="19" t="s">
        <v>2976</v>
      </c>
      <c r="L359" s="19" t="s">
        <v>2976</v>
      </c>
    </row>
    <row r="360" spans="1:12">
      <c r="A360" s="61" t="s">
        <v>846</v>
      </c>
      <c r="B360" s="57" t="s">
        <v>540</v>
      </c>
      <c r="C360" s="57" t="s">
        <v>1221</v>
      </c>
      <c r="D360" s="19" t="s">
        <v>5377</v>
      </c>
      <c r="E360" s="19" t="s">
        <v>5378</v>
      </c>
      <c r="F360" s="19" t="s">
        <v>2976</v>
      </c>
      <c r="G360" s="138" t="s">
        <v>4083</v>
      </c>
      <c r="H360" s="19" t="s">
        <v>2976</v>
      </c>
      <c r="I360" s="19" t="s">
        <v>2976</v>
      </c>
      <c r="J360" s="138" t="s">
        <v>4083</v>
      </c>
      <c r="K360" s="138" t="s">
        <v>4083</v>
      </c>
      <c r="L360" s="138" t="s">
        <v>4083</v>
      </c>
    </row>
    <row r="361" spans="1:12">
      <c r="A361" s="61" t="s">
        <v>852</v>
      </c>
      <c r="B361" s="57" t="s">
        <v>531</v>
      </c>
      <c r="C361" s="57" t="s">
        <v>1176</v>
      </c>
      <c r="D361" s="19" t="s">
        <v>5379</v>
      </c>
      <c r="E361" s="19" t="s">
        <v>5380</v>
      </c>
      <c r="F361" s="19" t="s">
        <v>2976</v>
      </c>
      <c r="G361" s="138" t="s">
        <v>4083</v>
      </c>
      <c r="H361" s="19" t="s">
        <v>2976</v>
      </c>
      <c r="I361" s="19" t="s">
        <v>2976</v>
      </c>
      <c r="J361" s="138" t="s">
        <v>4083</v>
      </c>
      <c r="K361" s="55" t="s">
        <v>2976</v>
      </c>
      <c r="L361" s="19" t="s">
        <v>2976</v>
      </c>
    </row>
    <row r="362" spans="1:12">
      <c r="A362" s="61" t="s">
        <v>5381</v>
      </c>
      <c r="B362" s="57" t="s">
        <v>3247</v>
      </c>
      <c r="C362" s="57" t="s">
        <v>5382</v>
      </c>
      <c r="D362" s="19" t="s">
        <v>5383</v>
      </c>
      <c r="E362" s="19" t="s">
        <v>5384</v>
      </c>
      <c r="F362" s="19" t="s">
        <v>2976</v>
      </c>
      <c r="G362" s="138" t="s">
        <v>4083</v>
      </c>
      <c r="H362" s="138" t="s">
        <v>4083</v>
      </c>
      <c r="I362" s="138" t="s">
        <v>4083</v>
      </c>
      <c r="J362" s="138"/>
      <c r="K362" s="138" t="s">
        <v>4083</v>
      </c>
      <c r="L362" s="138" t="s">
        <v>4083</v>
      </c>
    </row>
    <row r="363" spans="1:12">
      <c r="A363" s="111" t="s">
        <v>1348</v>
      </c>
      <c r="B363" s="19" t="s">
        <v>934</v>
      </c>
      <c r="C363" s="19" t="s">
        <v>893</v>
      </c>
      <c r="D363" s="19" t="s">
        <v>5385</v>
      </c>
      <c r="E363" s="19" t="s">
        <v>5386</v>
      </c>
      <c r="F363" s="19" t="s">
        <v>2976</v>
      </c>
      <c r="G363" s="138" t="s">
        <v>4083</v>
      </c>
      <c r="H363" s="138" t="s">
        <v>4083</v>
      </c>
      <c r="I363" s="138" t="s">
        <v>4083</v>
      </c>
      <c r="J363" s="138" t="s">
        <v>4083</v>
      </c>
      <c r="K363" s="138" t="s">
        <v>4083</v>
      </c>
      <c r="L363" s="138" t="s">
        <v>4083</v>
      </c>
    </row>
    <row r="364" spans="1:12">
      <c r="A364" s="61" t="s">
        <v>695</v>
      </c>
      <c r="B364" s="57" t="s">
        <v>641</v>
      </c>
      <c r="C364" s="57" t="s">
        <v>696</v>
      </c>
      <c r="D364" s="19" t="s">
        <v>5387</v>
      </c>
      <c r="E364" s="19" t="s">
        <v>5388</v>
      </c>
      <c r="F364" s="19" t="s">
        <v>2976</v>
      </c>
      <c r="G364" s="138" t="s">
        <v>4083</v>
      </c>
      <c r="H364" s="138" t="s">
        <v>4083</v>
      </c>
      <c r="I364" s="138" t="s">
        <v>4083</v>
      </c>
      <c r="J364" s="138" t="s">
        <v>4083</v>
      </c>
      <c r="K364" s="55" t="s">
        <v>2976</v>
      </c>
      <c r="L364" s="138" t="s">
        <v>4083</v>
      </c>
    </row>
    <row r="365" spans="1:12">
      <c r="A365" s="61" t="s">
        <v>2565</v>
      </c>
      <c r="B365" s="32" t="s">
        <v>2566</v>
      </c>
      <c r="C365" s="32" t="s">
        <v>2567</v>
      </c>
      <c r="D365" s="19" t="s">
        <v>5389</v>
      </c>
      <c r="E365" s="19" t="s">
        <v>5390</v>
      </c>
      <c r="F365" s="19" t="s">
        <v>2976</v>
      </c>
      <c r="G365" s="161" t="s">
        <v>4083</v>
      </c>
      <c r="H365" s="138" t="s">
        <v>4083</v>
      </c>
      <c r="J365" s="162" t="s">
        <v>4083</v>
      </c>
      <c r="K365" s="138" t="s">
        <v>4083</v>
      </c>
      <c r="L365" s="138" t="s">
        <v>4083</v>
      </c>
    </row>
    <row r="366" spans="1:12">
      <c r="A366" s="61" t="s">
        <v>5391</v>
      </c>
      <c r="B366" s="36" t="s">
        <v>5392</v>
      </c>
      <c r="C366" s="36" t="s">
        <v>5393</v>
      </c>
      <c r="D366" s="19" t="s">
        <v>5394</v>
      </c>
      <c r="E366" s="19" t="s">
        <v>5395</v>
      </c>
      <c r="G366" s="19" t="s">
        <v>2976</v>
      </c>
      <c r="H366" s="108" t="s">
        <v>2976</v>
      </c>
      <c r="I366" s="108" t="s">
        <v>2976</v>
      </c>
      <c r="J366" s="161" t="s">
        <v>4083</v>
      </c>
      <c r="K366" s="161" t="s">
        <v>4083</v>
      </c>
      <c r="L366" s="86" t="s">
        <v>2976</v>
      </c>
    </row>
    <row r="367" spans="1:12" ht="16.5" customHeight="1">
      <c r="A367" s="61" t="s">
        <v>173</v>
      </c>
      <c r="B367" s="36" t="s">
        <v>174</v>
      </c>
      <c r="C367" s="36" t="s">
        <v>175</v>
      </c>
      <c r="D367" s="19" t="s">
        <v>5396</v>
      </c>
      <c r="E367" s="19" t="s">
        <v>5397</v>
      </c>
      <c r="F367" s="20" t="s">
        <v>2976</v>
      </c>
      <c r="G367" s="161" t="s">
        <v>4083</v>
      </c>
      <c r="H367" s="19" t="s">
        <v>2976</v>
      </c>
      <c r="I367" s="19" t="s">
        <v>2976</v>
      </c>
      <c r="K367" s="161" t="s">
        <v>4083</v>
      </c>
      <c r="L367" s="86" t="s">
        <v>2976</v>
      </c>
    </row>
    <row r="368" spans="1:12">
      <c r="A368" s="61" t="s">
        <v>181</v>
      </c>
      <c r="B368" s="36" t="s">
        <v>154</v>
      </c>
      <c r="C368" s="36" t="s">
        <v>182</v>
      </c>
      <c r="D368" s="19" t="s">
        <v>5398</v>
      </c>
      <c r="E368" s="19" t="s">
        <v>5399</v>
      </c>
      <c r="F368" s="19" t="s">
        <v>2976</v>
      </c>
      <c r="G368" s="19" t="s">
        <v>2976</v>
      </c>
      <c r="H368" s="19" t="s">
        <v>2976</v>
      </c>
      <c r="I368" s="161" t="s">
        <v>4083</v>
      </c>
      <c r="J368" s="161" t="s">
        <v>4083</v>
      </c>
      <c r="K368" s="161" t="s">
        <v>4083</v>
      </c>
      <c r="L368" s="138" t="s">
        <v>4083</v>
      </c>
    </row>
    <row r="369" spans="1:12">
      <c r="A369" s="61" t="s">
        <v>5400</v>
      </c>
      <c r="B369" s="19" t="s">
        <v>817</v>
      </c>
      <c r="C369" s="19" t="s">
        <v>3424</v>
      </c>
      <c r="D369" s="19" t="s">
        <v>5401</v>
      </c>
      <c r="E369" s="19" t="s">
        <v>5402</v>
      </c>
      <c r="F369" s="19" t="s">
        <v>2976</v>
      </c>
      <c r="G369" s="161" t="s">
        <v>4083</v>
      </c>
      <c r="H369" s="19" t="s">
        <v>2976</v>
      </c>
      <c r="I369" s="161" t="s">
        <v>4083</v>
      </c>
      <c r="J369" s="161" t="s">
        <v>4083</v>
      </c>
      <c r="K369" s="161" t="s">
        <v>4083</v>
      </c>
      <c r="L369" s="19" t="s">
        <v>2976</v>
      </c>
    </row>
    <row r="370" spans="1:12">
      <c r="A370" s="115" t="s">
        <v>79</v>
      </c>
      <c r="B370" s="19" t="s">
        <v>841</v>
      </c>
      <c r="C370" s="19" t="s">
        <v>842</v>
      </c>
      <c r="D370" s="20" t="s">
        <v>5403</v>
      </c>
      <c r="E370" s="19" t="s">
        <v>5404</v>
      </c>
      <c r="F370" s="19" t="s">
        <v>2976</v>
      </c>
      <c r="G370" s="161" t="s">
        <v>4083</v>
      </c>
      <c r="H370" s="19" t="s">
        <v>2976</v>
      </c>
      <c r="I370" s="161"/>
      <c r="J370" s="161" t="s">
        <v>4083</v>
      </c>
      <c r="K370" s="161" t="s">
        <v>4083</v>
      </c>
      <c r="L370" s="138" t="s">
        <v>4083</v>
      </c>
    </row>
    <row r="371" spans="1:12">
      <c r="A371" s="61" t="s">
        <v>157</v>
      </c>
      <c r="B371" s="36" t="s">
        <v>158</v>
      </c>
      <c r="C371" s="36" t="s">
        <v>159</v>
      </c>
      <c r="D371" s="19" t="s">
        <v>5405</v>
      </c>
      <c r="E371" s="19" t="s">
        <v>5406</v>
      </c>
      <c r="F371" s="19" t="s">
        <v>2976</v>
      </c>
      <c r="G371" s="19" t="s">
        <v>2976</v>
      </c>
      <c r="H371" s="19" t="s">
        <v>2976</v>
      </c>
      <c r="I371" s="161" t="s">
        <v>4083</v>
      </c>
      <c r="K371" s="161" t="s">
        <v>4083</v>
      </c>
      <c r="L371" s="138" t="s">
        <v>4083</v>
      </c>
    </row>
    <row r="372" spans="1:12">
      <c r="A372" s="61" t="s">
        <v>153</v>
      </c>
      <c r="B372" s="19" t="s">
        <v>154</v>
      </c>
      <c r="C372" s="19" t="s">
        <v>155</v>
      </c>
      <c r="D372" s="19" t="s">
        <v>5407</v>
      </c>
      <c r="E372" s="19" t="s">
        <v>5408</v>
      </c>
      <c r="F372" s="19" t="s">
        <v>2976</v>
      </c>
      <c r="G372" s="19" t="s">
        <v>2976</v>
      </c>
      <c r="H372" s="19" t="s">
        <v>2976</v>
      </c>
      <c r="I372" s="161" t="s">
        <v>4083</v>
      </c>
      <c r="K372" s="161" t="s">
        <v>4083</v>
      </c>
      <c r="L372" s="138" t="s">
        <v>4083</v>
      </c>
    </row>
    <row r="373" spans="1:12">
      <c r="A373" s="61" t="s">
        <v>156</v>
      </c>
      <c r="B373" s="36" t="s">
        <v>201</v>
      </c>
      <c r="C373" s="36" t="s">
        <v>828</v>
      </c>
      <c r="D373" s="19" t="s">
        <v>5409</v>
      </c>
      <c r="E373" s="19" t="s">
        <v>5410</v>
      </c>
      <c r="F373" s="19" t="s">
        <v>2976</v>
      </c>
      <c r="G373" s="161" t="s">
        <v>4083</v>
      </c>
      <c r="H373" s="161" t="s">
        <v>4083</v>
      </c>
      <c r="I373" s="161"/>
      <c r="J373" s="19" t="s">
        <v>2976</v>
      </c>
      <c r="K373" s="161" t="s">
        <v>4083</v>
      </c>
      <c r="L373" s="138" t="s">
        <v>4083</v>
      </c>
    </row>
    <row r="374" spans="1:12">
      <c r="A374" s="61" t="s">
        <v>5411</v>
      </c>
      <c r="B374" s="36" t="s">
        <v>1367</v>
      </c>
      <c r="C374" s="36" t="s">
        <v>5412</v>
      </c>
      <c r="D374" s="19" t="s">
        <v>5413</v>
      </c>
      <c r="E374" s="19" t="s">
        <v>5414</v>
      </c>
      <c r="F374" s="19" t="s">
        <v>2976</v>
      </c>
      <c r="G374" s="161" t="s">
        <v>4083</v>
      </c>
      <c r="I374" s="161" t="s">
        <v>4083</v>
      </c>
      <c r="J374" s="161"/>
      <c r="K374" s="161" t="s">
        <v>4083</v>
      </c>
      <c r="L374" s="138" t="s">
        <v>4083</v>
      </c>
    </row>
    <row r="375" spans="1:12">
      <c r="A375" s="61" t="s">
        <v>130</v>
      </c>
      <c r="B375" s="36" t="s">
        <v>131</v>
      </c>
      <c r="C375" s="36" t="s">
        <v>132</v>
      </c>
      <c r="D375" s="19" t="s">
        <v>5415</v>
      </c>
      <c r="E375" s="19" t="s">
        <v>5416</v>
      </c>
      <c r="F375" s="19" t="s">
        <v>2976</v>
      </c>
      <c r="G375" s="161" t="s">
        <v>4083</v>
      </c>
      <c r="H375" s="19" t="s">
        <v>2976</v>
      </c>
      <c r="I375" s="19" t="s">
        <v>2976</v>
      </c>
      <c r="J375" s="161" t="s">
        <v>4083</v>
      </c>
      <c r="K375" s="161" t="s">
        <v>4083</v>
      </c>
      <c r="L375" s="138" t="s">
        <v>4083</v>
      </c>
    </row>
    <row r="376" spans="1:12">
      <c r="A376" s="61" t="s">
        <v>382</v>
      </c>
      <c r="B376" s="36" t="s">
        <v>383</v>
      </c>
      <c r="C376" s="36" t="s">
        <v>384</v>
      </c>
      <c r="D376" s="19" t="s">
        <v>5417</v>
      </c>
      <c r="E376" s="19" t="s">
        <v>5418</v>
      </c>
      <c r="F376" s="19" t="s">
        <v>2976</v>
      </c>
      <c r="G376" s="161" t="s">
        <v>4083</v>
      </c>
      <c r="H376" s="19" t="s">
        <v>2976</v>
      </c>
      <c r="I376" s="161" t="s">
        <v>4083</v>
      </c>
      <c r="K376" s="161" t="s">
        <v>4083</v>
      </c>
      <c r="L376" s="138" t="s">
        <v>4083</v>
      </c>
    </row>
    <row r="377" spans="1:12">
      <c r="A377" s="116" t="s">
        <v>5419</v>
      </c>
      <c r="B377" s="163" t="s">
        <v>3411</v>
      </c>
      <c r="C377" s="36" t="s">
        <v>5420</v>
      </c>
      <c r="D377" s="19" t="s">
        <v>5421</v>
      </c>
      <c r="E377" s="19" t="s">
        <v>5422</v>
      </c>
      <c r="G377" s="161" t="s">
        <v>4083</v>
      </c>
      <c r="H377" s="19" t="s">
        <v>2976</v>
      </c>
      <c r="J377" s="161" t="s">
        <v>4083</v>
      </c>
      <c r="K377" s="161" t="s">
        <v>4083</v>
      </c>
      <c r="L377" s="138" t="s">
        <v>4083</v>
      </c>
    </row>
    <row r="378" spans="1:12">
      <c r="A378" s="61" t="s">
        <v>1510</v>
      </c>
      <c r="B378" s="19" t="s">
        <v>5423</v>
      </c>
      <c r="C378" s="88" t="s">
        <v>2175</v>
      </c>
      <c r="D378" s="19" t="s">
        <v>5424</v>
      </c>
      <c r="E378" s="19" t="s">
        <v>5425</v>
      </c>
      <c r="F378" s="19" t="s">
        <v>2976</v>
      </c>
      <c r="G378" s="161" t="s">
        <v>4083</v>
      </c>
      <c r="H378" s="19" t="s">
        <v>2976</v>
      </c>
      <c r="I378" s="161" t="s">
        <v>4083</v>
      </c>
      <c r="J378" s="161" t="s">
        <v>4083</v>
      </c>
      <c r="K378" s="161" t="s">
        <v>4083</v>
      </c>
      <c r="L378" s="138" t="s">
        <v>4083</v>
      </c>
    </row>
    <row r="379" spans="1:12">
      <c r="A379" s="119" t="s">
        <v>5426</v>
      </c>
      <c r="B379" s="57" t="s">
        <v>540</v>
      </c>
      <c r="C379" s="57" t="s">
        <v>5427</v>
      </c>
      <c r="D379" s="19" t="s">
        <v>5428</v>
      </c>
      <c r="E379" s="19" t="s">
        <v>5429</v>
      </c>
      <c r="F379" s="19" t="s">
        <v>2976</v>
      </c>
      <c r="G379" s="161" t="s">
        <v>4083</v>
      </c>
      <c r="H379" s="19" t="s">
        <v>2976</v>
      </c>
      <c r="I379" s="19" t="s">
        <v>2976</v>
      </c>
      <c r="J379" s="161" t="s">
        <v>4083</v>
      </c>
      <c r="K379" s="161" t="s">
        <v>4083</v>
      </c>
      <c r="L379" s="138" t="s">
        <v>4083</v>
      </c>
    </row>
    <row r="380" spans="1:12">
      <c r="A380" s="61" t="s">
        <v>252</v>
      </c>
      <c r="B380" s="36" t="s">
        <v>278</v>
      </c>
      <c r="C380" s="36" t="s">
        <v>346</v>
      </c>
      <c r="D380" s="19" t="s">
        <v>5430</v>
      </c>
      <c r="E380" s="19" t="s">
        <v>5431</v>
      </c>
      <c r="G380" s="161" t="s">
        <v>4083</v>
      </c>
      <c r="H380" s="19" t="s">
        <v>2976</v>
      </c>
      <c r="I380" s="161" t="s">
        <v>4083</v>
      </c>
      <c r="K380" s="161" t="s">
        <v>4083</v>
      </c>
      <c r="L380" s="138" t="s">
        <v>4083</v>
      </c>
    </row>
    <row r="381" spans="1:12">
      <c r="A381" s="61" t="s">
        <v>204</v>
      </c>
      <c r="B381" s="36" t="s">
        <v>206</v>
      </c>
      <c r="C381" s="36" t="s">
        <v>207</v>
      </c>
      <c r="D381" s="19" t="s">
        <v>5432</v>
      </c>
      <c r="E381" s="19" t="s">
        <v>5433</v>
      </c>
      <c r="F381" s="19" t="s">
        <v>2976</v>
      </c>
      <c r="G381" s="161" t="s">
        <v>4083</v>
      </c>
      <c r="H381" s="19" t="s">
        <v>2976</v>
      </c>
      <c r="I381" s="19" t="s">
        <v>2976</v>
      </c>
      <c r="J381" s="161" t="s">
        <v>4083</v>
      </c>
      <c r="K381" s="161" t="s">
        <v>4083</v>
      </c>
      <c r="L381" s="138" t="s">
        <v>4083</v>
      </c>
    </row>
    <row r="382" spans="1:12">
      <c r="A382" s="61" t="s">
        <v>5434</v>
      </c>
      <c r="B382" s="19" t="s">
        <v>1322</v>
      </c>
      <c r="C382" s="19" t="s">
        <v>5435</v>
      </c>
      <c r="D382" s="19" t="s">
        <v>5436</v>
      </c>
      <c r="E382" s="19" t="s">
        <v>5437</v>
      </c>
      <c r="F382" s="19" t="s">
        <v>2976</v>
      </c>
      <c r="G382" s="161" t="s">
        <v>4083</v>
      </c>
      <c r="H382" s="19" t="s">
        <v>2976</v>
      </c>
      <c r="J382" s="19" t="s">
        <v>2976</v>
      </c>
      <c r="K382" s="161" t="s">
        <v>4083</v>
      </c>
      <c r="L382" s="167" t="s">
        <v>4083</v>
      </c>
    </row>
    <row r="383" spans="1:12">
      <c r="A383" s="164" t="s">
        <v>5438</v>
      </c>
      <c r="B383" s="20" t="s">
        <v>887</v>
      </c>
      <c r="C383" s="19" t="s">
        <v>5439</v>
      </c>
      <c r="D383" s="19" t="s">
        <v>5440</v>
      </c>
      <c r="E383" s="19" t="s">
        <v>5441</v>
      </c>
      <c r="F383" s="19" t="s">
        <v>2976</v>
      </c>
      <c r="G383" s="19" t="s">
        <v>2976</v>
      </c>
      <c r="H383" s="19" t="s">
        <v>2976</v>
      </c>
      <c r="I383" s="161" t="s">
        <v>4083</v>
      </c>
      <c r="J383" s="19" t="s">
        <v>2976</v>
      </c>
      <c r="K383" s="161" t="s">
        <v>4083</v>
      </c>
      <c r="L383" s="138" t="s">
        <v>4083</v>
      </c>
    </row>
    <row r="384" spans="1:12">
      <c r="A384" s="61" t="s">
        <v>84</v>
      </c>
      <c r="B384" s="36" t="s">
        <v>1013</v>
      </c>
      <c r="C384" s="36" t="s">
        <v>1014</v>
      </c>
      <c r="D384" s="19" t="s">
        <v>5442</v>
      </c>
      <c r="E384" s="19" t="s">
        <v>5443</v>
      </c>
      <c r="F384" s="19" t="s">
        <v>2976</v>
      </c>
      <c r="G384" s="161" t="s">
        <v>4083</v>
      </c>
      <c r="H384" s="161" t="s">
        <v>4083</v>
      </c>
      <c r="I384" s="161" t="s">
        <v>4083</v>
      </c>
      <c r="J384" s="161" t="s">
        <v>4083</v>
      </c>
      <c r="K384" s="161" t="s">
        <v>4083</v>
      </c>
      <c r="L384" s="138" t="s">
        <v>4083</v>
      </c>
    </row>
    <row r="385" spans="1:12">
      <c r="A385" s="61" t="s">
        <v>129</v>
      </c>
      <c r="B385" s="36" t="s">
        <v>96</v>
      </c>
      <c r="C385" s="36" t="s">
        <v>1023</v>
      </c>
      <c r="D385" s="19" t="s">
        <v>4810</v>
      </c>
      <c r="E385" s="19" t="s">
        <v>5444</v>
      </c>
      <c r="G385" s="161" t="s">
        <v>4083</v>
      </c>
      <c r="H385" s="161" t="s">
        <v>4083</v>
      </c>
      <c r="I385" s="161" t="s">
        <v>4083</v>
      </c>
      <c r="J385" s="161" t="s">
        <v>4083</v>
      </c>
      <c r="K385" s="161" t="s">
        <v>4083</v>
      </c>
      <c r="L385" s="167" t="s">
        <v>4083</v>
      </c>
    </row>
    <row r="386" spans="1:12">
      <c r="A386" s="61" t="s">
        <v>5445</v>
      </c>
      <c r="B386" s="36" t="s">
        <v>3395</v>
      </c>
      <c r="C386" s="36" t="s">
        <v>5446</v>
      </c>
      <c r="D386" s="19" t="s">
        <v>5447</v>
      </c>
      <c r="E386" s="19" t="s">
        <v>5448</v>
      </c>
      <c r="F386" s="19" t="s">
        <v>2976</v>
      </c>
      <c r="G386" s="161" t="s">
        <v>4083</v>
      </c>
      <c r="H386" s="19" t="s">
        <v>2976</v>
      </c>
      <c r="I386" s="161" t="s">
        <v>4083</v>
      </c>
      <c r="J386" s="161" t="s">
        <v>4083</v>
      </c>
      <c r="K386" s="161" t="s">
        <v>4083</v>
      </c>
      <c r="L386" s="19" t="s">
        <v>2976</v>
      </c>
    </row>
    <row r="387" spans="1:12">
      <c r="A387" s="61" t="s">
        <v>234</v>
      </c>
      <c r="B387" s="36" t="s">
        <v>3412</v>
      </c>
      <c r="C387" s="36" t="s">
        <v>235</v>
      </c>
      <c r="D387" s="19" t="s">
        <v>5449</v>
      </c>
      <c r="E387" s="19" t="s">
        <v>5450</v>
      </c>
      <c r="F387" s="19" t="s">
        <v>2976</v>
      </c>
      <c r="G387" s="161" t="s">
        <v>4083</v>
      </c>
      <c r="H387" s="19" t="s">
        <v>2976</v>
      </c>
      <c r="I387" s="161" t="s">
        <v>4083</v>
      </c>
      <c r="J387" s="161" t="s">
        <v>4083</v>
      </c>
      <c r="K387" s="161" t="s">
        <v>4083</v>
      </c>
      <c r="L387" s="138" t="s">
        <v>4083</v>
      </c>
    </row>
    <row r="388" spans="1:12">
      <c r="A388" s="61" t="s">
        <v>5451</v>
      </c>
      <c r="B388" s="19" t="s">
        <v>3238</v>
      </c>
      <c r="C388" s="19" t="s">
        <v>5452</v>
      </c>
      <c r="D388" s="19" t="s">
        <v>5453</v>
      </c>
      <c r="E388" s="19" t="s">
        <v>5454</v>
      </c>
      <c r="F388" s="19" t="s">
        <v>2976</v>
      </c>
      <c r="G388" s="161" t="s">
        <v>4083</v>
      </c>
      <c r="H388" s="19" t="s">
        <v>2976</v>
      </c>
      <c r="I388" s="161" t="s">
        <v>4083</v>
      </c>
      <c r="J388" s="161" t="s">
        <v>4083</v>
      </c>
      <c r="K388" s="161" t="s">
        <v>4083</v>
      </c>
      <c r="L388" s="138" t="s">
        <v>4083</v>
      </c>
    </row>
    <row r="389" spans="1:12">
      <c r="A389" s="61" t="s">
        <v>5455</v>
      </c>
      <c r="B389" s="36" t="s">
        <v>3279</v>
      </c>
      <c r="C389" s="163" t="s">
        <v>5456</v>
      </c>
      <c r="D389" s="19" t="s">
        <v>5457</v>
      </c>
      <c r="E389" s="19" t="s">
        <v>5458</v>
      </c>
      <c r="F389" s="86" t="s">
        <v>2976</v>
      </c>
      <c r="G389" s="161" t="s">
        <v>4083</v>
      </c>
      <c r="I389" s="161" t="s">
        <v>4083</v>
      </c>
      <c r="J389" s="208" t="s">
        <v>2976</v>
      </c>
      <c r="K389" s="161" t="s">
        <v>4083</v>
      </c>
      <c r="L389" s="138" t="s">
        <v>4083</v>
      </c>
    </row>
    <row r="390" spans="1:12">
      <c r="A390" s="61" t="s">
        <v>5459</v>
      </c>
      <c r="B390" s="169" t="s">
        <v>3399</v>
      </c>
      <c r="C390" s="36" t="s">
        <v>5460</v>
      </c>
      <c r="D390" s="88" t="s">
        <v>5461</v>
      </c>
      <c r="E390" s="55" t="s">
        <v>5462</v>
      </c>
      <c r="F390" s="19" t="s">
        <v>2976</v>
      </c>
      <c r="G390" s="168" t="s">
        <v>4083</v>
      </c>
      <c r="H390" s="19" t="s">
        <v>2976</v>
      </c>
      <c r="I390" s="161" t="s">
        <v>4083</v>
      </c>
      <c r="J390" s="161" t="s">
        <v>4083</v>
      </c>
      <c r="K390" s="161" t="s">
        <v>4083</v>
      </c>
      <c r="L390" s="108" t="s">
        <v>2976</v>
      </c>
    </row>
    <row r="391" spans="1:12">
      <c r="A391" s="61" t="s">
        <v>126</v>
      </c>
      <c r="B391" s="163" t="s">
        <v>127</v>
      </c>
      <c r="C391" s="163" t="s">
        <v>128</v>
      </c>
      <c r="D391" s="86" t="s">
        <v>5463</v>
      </c>
      <c r="E391" s="19" t="s">
        <v>5464</v>
      </c>
      <c r="F391" s="108" t="s">
        <v>2976</v>
      </c>
      <c r="G391" s="19" t="s">
        <v>2976</v>
      </c>
      <c r="H391" s="19" t="s">
        <v>2976</v>
      </c>
      <c r="I391" s="161" t="s">
        <v>4083</v>
      </c>
      <c r="K391" s="161" t="s">
        <v>4083</v>
      </c>
      <c r="L391" s="86" t="s">
        <v>2976</v>
      </c>
    </row>
    <row r="392" spans="1:12">
      <c r="A392" s="170" t="s">
        <v>5465</v>
      </c>
      <c r="B392" s="19" t="s">
        <v>5466</v>
      </c>
      <c r="C392" s="19" t="s">
        <v>5467</v>
      </c>
      <c r="D392" s="19" t="s">
        <v>5468</v>
      </c>
      <c r="E392" s="88" t="s">
        <v>5469</v>
      </c>
      <c r="F392" s="19" t="s">
        <v>2976</v>
      </c>
      <c r="G392" s="19" t="s">
        <v>2976</v>
      </c>
      <c r="H392" s="19" t="s">
        <v>2976</v>
      </c>
      <c r="I392" s="161" t="s">
        <v>4083</v>
      </c>
      <c r="J392" s="19" t="s">
        <v>2976</v>
      </c>
      <c r="K392" s="161" t="s">
        <v>4083</v>
      </c>
    </row>
    <row r="393" spans="1:12">
      <c r="A393" s="170" t="s">
        <v>277</v>
      </c>
      <c r="B393" s="19" t="s">
        <v>5470</v>
      </c>
      <c r="C393" s="19" t="s">
        <v>5471</v>
      </c>
      <c r="D393" s="19" t="s">
        <v>5472</v>
      </c>
      <c r="E393" s="88" t="s">
        <v>5473</v>
      </c>
      <c r="F393" s="19" t="s">
        <v>2976</v>
      </c>
      <c r="G393" s="168" t="s">
        <v>4083</v>
      </c>
      <c r="H393" s="19" t="s">
        <v>2976</v>
      </c>
      <c r="I393" s="161" t="s">
        <v>4083</v>
      </c>
    </row>
    <row r="394" spans="1:12">
      <c r="A394" s="170" t="s">
        <v>5474</v>
      </c>
      <c r="B394" s="19" t="s">
        <v>5475</v>
      </c>
      <c r="C394" s="19" t="s">
        <v>5476</v>
      </c>
      <c r="D394" s="19" t="s">
        <v>5477</v>
      </c>
      <c r="E394" s="88" t="s">
        <v>5478</v>
      </c>
      <c r="F394" s="19" t="s">
        <v>2976</v>
      </c>
      <c r="G394" s="19" t="s">
        <v>2976</v>
      </c>
      <c r="H394" s="19" t="s">
        <v>2976</v>
      </c>
      <c r="I394" s="208" t="s">
        <v>2976</v>
      </c>
      <c r="K394" s="161"/>
    </row>
    <row r="395" spans="1:12">
      <c r="A395" s="61" t="s">
        <v>1715</v>
      </c>
      <c r="B395" s="108" t="s">
        <v>1716</v>
      </c>
      <c r="C395" s="19" t="s">
        <v>5479</v>
      </c>
      <c r="D395" s="108" t="s">
        <v>5480</v>
      </c>
      <c r="E395" s="19" t="s">
        <v>5481</v>
      </c>
      <c r="F395" s="19" t="s">
        <v>2976</v>
      </c>
      <c r="G395" s="168" t="s">
        <v>4083</v>
      </c>
      <c r="H395" s="208" t="s">
        <v>2976</v>
      </c>
      <c r="J395" s="161" t="s">
        <v>4083</v>
      </c>
      <c r="K395" s="161" t="s">
        <v>4083</v>
      </c>
    </row>
    <row r="396" spans="1:12">
      <c r="A396" s="61" t="s">
        <v>1766</v>
      </c>
      <c r="B396" s="171" t="s">
        <v>1767</v>
      </c>
      <c r="C396" s="19" t="s">
        <v>5482</v>
      </c>
      <c r="D396" s="19" t="s">
        <v>5483</v>
      </c>
      <c r="E396" s="19" t="s">
        <v>5484</v>
      </c>
      <c r="F396" s="19" t="s">
        <v>2976</v>
      </c>
      <c r="G396" s="168" t="s">
        <v>4083</v>
      </c>
      <c r="H396" s="19" t="s">
        <v>2976</v>
      </c>
      <c r="I396" s="161" t="s">
        <v>4083</v>
      </c>
      <c r="J396" s="161" t="s">
        <v>4083</v>
      </c>
      <c r="K396" s="161" t="s">
        <v>4083</v>
      </c>
    </row>
    <row r="397" spans="1:12">
      <c r="A397" s="61" t="s">
        <v>2249</v>
      </c>
      <c r="B397" s="19" t="s">
        <v>5485</v>
      </c>
      <c r="C397" s="19" t="s">
        <v>5486</v>
      </c>
      <c r="D397" s="19" t="s">
        <v>5487</v>
      </c>
      <c r="E397" s="19" t="s">
        <v>5488</v>
      </c>
      <c r="F397" s="19" t="s">
        <v>2976</v>
      </c>
      <c r="G397" s="168" t="s">
        <v>4083</v>
      </c>
      <c r="I397" s="168" t="s">
        <v>4083</v>
      </c>
      <c r="J397" s="168" t="s">
        <v>4083</v>
      </c>
      <c r="K397" s="161" t="s">
        <v>4083</v>
      </c>
      <c r="L397" s="138" t="s">
        <v>4083</v>
      </c>
    </row>
    <row r="398" spans="1:12">
      <c r="A398" s="61" t="s">
        <v>1780</v>
      </c>
      <c r="B398" s="19" t="s">
        <v>1781</v>
      </c>
      <c r="C398" s="19" t="s">
        <v>5489</v>
      </c>
      <c r="D398" s="19" t="s">
        <v>5490</v>
      </c>
      <c r="E398" s="19" t="s">
        <v>5491</v>
      </c>
      <c r="F398" s="19" t="s">
        <v>2976</v>
      </c>
      <c r="G398" s="168" t="s">
        <v>4083</v>
      </c>
      <c r="H398" s="19" t="s">
        <v>2976</v>
      </c>
      <c r="I398" s="168" t="s">
        <v>4083</v>
      </c>
      <c r="J398" s="19" t="s">
        <v>2976</v>
      </c>
      <c r="K398" s="161" t="s">
        <v>4083</v>
      </c>
    </row>
    <row r="399" spans="1:12">
      <c r="A399" s="61" t="s">
        <v>260</v>
      </c>
      <c r="B399" s="19" t="s">
        <v>5492</v>
      </c>
      <c r="C399" s="19" t="s">
        <v>5493</v>
      </c>
      <c r="D399" s="19" t="s">
        <v>5494</v>
      </c>
      <c r="E399" s="19" t="s">
        <v>5495</v>
      </c>
      <c r="F399" s="19" t="s">
        <v>2976</v>
      </c>
      <c r="G399" s="168" t="s">
        <v>4083</v>
      </c>
      <c r="H399" s="19" t="s">
        <v>2976</v>
      </c>
      <c r="I399" s="168" t="s">
        <v>4083</v>
      </c>
      <c r="K399" s="161" t="s">
        <v>4083</v>
      </c>
      <c r="L399" s="19" t="s">
        <v>2976</v>
      </c>
    </row>
    <row r="400" spans="1:12">
      <c r="A400" s="61" t="s">
        <v>2573</v>
      </c>
      <c r="B400" s="19" t="s">
        <v>2972</v>
      </c>
      <c r="C400" s="19" t="s">
        <v>5496</v>
      </c>
      <c r="D400" s="19" t="s">
        <v>5497</v>
      </c>
      <c r="E400" s="19" t="s">
        <v>5498</v>
      </c>
      <c r="F400" s="19" t="s">
        <v>2976</v>
      </c>
      <c r="H400" s="19" t="s">
        <v>2976</v>
      </c>
      <c r="I400" s="94" t="s">
        <v>4083</v>
      </c>
      <c r="J400" s="19" t="s">
        <v>2976</v>
      </c>
      <c r="K400" s="95" t="s">
        <v>4083</v>
      </c>
    </row>
    <row r="401" spans="1:12">
      <c r="A401" s="61" t="s">
        <v>5499</v>
      </c>
      <c r="B401" s="19" t="s">
        <v>3364</v>
      </c>
      <c r="C401" s="19" t="s">
        <v>5500</v>
      </c>
      <c r="D401" s="19" t="s">
        <v>5501</v>
      </c>
      <c r="E401" s="19" t="s">
        <v>5502</v>
      </c>
      <c r="F401" s="19" t="s">
        <v>2976</v>
      </c>
      <c r="G401" s="84" t="s">
        <v>4083</v>
      </c>
      <c r="H401" s="19" t="s">
        <v>2976</v>
      </c>
      <c r="I401" s="19" t="s">
        <v>2976</v>
      </c>
      <c r="J401" s="19" t="s">
        <v>2976</v>
      </c>
      <c r="K401" s="95" t="s">
        <v>4083</v>
      </c>
      <c r="L401" s="248" t="s">
        <v>4083</v>
      </c>
    </row>
    <row r="402" spans="1:12">
      <c r="A402" s="61" t="s">
        <v>5503</v>
      </c>
      <c r="B402" s="19" t="s">
        <v>5504</v>
      </c>
      <c r="C402" s="19" t="s">
        <v>5505</v>
      </c>
      <c r="D402" s="19" t="s">
        <v>5506</v>
      </c>
      <c r="E402" s="19" t="s">
        <v>5507</v>
      </c>
      <c r="F402" s="19" t="s">
        <v>2976</v>
      </c>
      <c r="G402" s="94" t="s">
        <v>4083</v>
      </c>
      <c r="I402" s="94" t="s">
        <v>4083</v>
      </c>
      <c r="J402" s="102" t="s">
        <v>2976</v>
      </c>
      <c r="K402" s="55" t="s">
        <v>4083</v>
      </c>
      <c r="L402" s="19" t="s">
        <v>4083</v>
      </c>
    </row>
    <row r="403" spans="1:12">
      <c r="A403" s="61" t="s">
        <v>5508</v>
      </c>
      <c r="B403" s="36" t="s">
        <v>3231</v>
      </c>
      <c r="C403" s="36" t="s">
        <v>3236</v>
      </c>
      <c r="D403" s="19" t="s">
        <v>5509</v>
      </c>
      <c r="E403" s="19" t="s">
        <v>5510</v>
      </c>
      <c r="F403" s="86" t="s">
        <v>2976</v>
      </c>
      <c r="G403" s="201" t="s">
        <v>4083</v>
      </c>
      <c r="H403" s="86" t="s">
        <v>2976</v>
      </c>
      <c r="I403" s="201" t="s">
        <v>4083</v>
      </c>
      <c r="J403" s="86" t="s">
        <v>2976</v>
      </c>
      <c r="K403" s="201" t="s">
        <v>4083</v>
      </c>
      <c r="L403" s="86" t="s">
        <v>2976</v>
      </c>
    </row>
    <row r="404" spans="1:12">
      <c r="A404" s="61" t="s">
        <v>5511</v>
      </c>
      <c r="B404" s="36" t="s">
        <v>5512</v>
      </c>
      <c r="C404" s="36" t="s">
        <v>5513</v>
      </c>
      <c r="D404" s="19" t="s">
        <v>5514</v>
      </c>
      <c r="E404" s="55" t="s">
        <v>5515</v>
      </c>
      <c r="F404" s="19" t="s">
        <v>2976</v>
      </c>
      <c r="G404" s="138" t="s">
        <v>4083</v>
      </c>
      <c r="H404" s="19" t="s">
        <v>2976</v>
      </c>
      <c r="I404" s="167" t="s">
        <v>4083</v>
      </c>
      <c r="J404" s="167" t="s">
        <v>4083</v>
      </c>
      <c r="K404" s="167" t="s">
        <v>4083</v>
      </c>
      <c r="L404" s="167" t="s">
        <v>4083</v>
      </c>
    </row>
    <row r="405" spans="1:12">
      <c r="A405" s="61" t="s">
        <v>5516</v>
      </c>
      <c r="B405" s="36" t="s">
        <v>2289</v>
      </c>
      <c r="C405" s="36" t="s">
        <v>5517</v>
      </c>
      <c r="D405" s="19" t="s">
        <v>5518</v>
      </c>
      <c r="E405" s="55" t="s">
        <v>5519</v>
      </c>
      <c r="F405" s="108" t="s">
        <v>2976</v>
      </c>
      <c r="G405" s="202" t="s">
        <v>4083</v>
      </c>
      <c r="H405" s="203" t="s">
        <v>2976</v>
      </c>
      <c r="I405" s="19" t="s">
        <v>2976</v>
      </c>
      <c r="J405" s="55" t="s">
        <v>2976</v>
      </c>
      <c r="K405" s="138" t="s">
        <v>4083</v>
      </c>
      <c r="L405" s="138" t="s">
        <v>4083</v>
      </c>
    </row>
    <row r="406" spans="1:12">
      <c r="A406" s="61" t="s">
        <v>1753</v>
      </c>
      <c r="B406" s="36" t="s">
        <v>2289</v>
      </c>
      <c r="C406" s="36" t="s">
        <v>1755</v>
      </c>
      <c r="D406" s="19" t="s">
        <v>5520</v>
      </c>
      <c r="E406" s="55" t="s">
        <v>5521</v>
      </c>
      <c r="F406" s="19" t="s">
        <v>2976</v>
      </c>
      <c r="G406" s="209" t="s">
        <v>2976</v>
      </c>
      <c r="H406" s="55" t="s">
        <v>2976</v>
      </c>
      <c r="I406" s="19" t="s">
        <v>2976</v>
      </c>
      <c r="J406" s="55" t="s">
        <v>2976</v>
      </c>
      <c r="K406" s="138" t="s">
        <v>4083</v>
      </c>
    </row>
    <row r="407" spans="1:12">
      <c r="A407" s="61" t="s">
        <v>1482</v>
      </c>
      <c r="B407" s="36" t="s">
        <v>3277</v>
      </c>
      <c r="C407" s="36" t="s">
        <v>2046</v>
      </c>
      <c r="D407" s="19" t="s">
        <v>5522</v>
      </c>
      <c r="E407" s="19" t="s">
        <v>5523</v>
      </c>
      <c r="F407" s="19" t="s">
        <v>2976</v>
      </c>
      <c r="G407" s="202" t="s">
        <v>4083</v>
      </c>
      <c r="H407" s="86" t="s">
        <v>2976</v>
      </c>
      <c r="I407" s="204" t="s">
        <v>2976</v>
      </c>
      <c r="J407" s="205" t="s">
        <v>2976</v>
      </c>
      <c r="K407" s="167" t="s">
        <v>4083</v>
      </c>
      <c r="L407" s="167" t="s">
        <v>4083</v>
      </c>
    </row>
    <row r="408" spans="1:12">
      <c r="A408" s="61" t="s">
        <v>1705</v>
      </c>
      <c r="B408" s="36" t="s">
        <v>3285</v>
      </c>
      <c r="C408" s="36" t="s">
        <v>1708</v>
      </c>
      <c r="D408" s="19" t="s">
        <v>5524</v>
      </c>
      <c r="E408" s="19" t="s">
        <v>5525</v>
      </c>
      <c r="F408" s="19" t="s">
        <v>2976</v>
      </c>
      <c r="G408" s="202" t="s">
        <v>4083</v>
      </c>
      <c r="H408" s="19" t="s">
        <v>2976</v>
      </c>
      <c r="I408" s="138" t="s">
        <v>4083</v>
      </c>
      <c r="J408" s="138" t="s">
        <v>4083</v>
      </c>
      <c r="K408" s="161" t="s">
        <v>4083</v>
      </c>
      <c r="L408" s="19" t="s">
        <v>2976</v>
      </c>
    </row>
    <row r="409" spans="1:12">
      <c r="A409" s="61" t="s">
        <v>5526</v>
      </c>
      <c r="B409" s="36" t="s">
        <v>1897</v>
      </c>
      <c r="C409" s="36" t="s">
        <v>3275</v>
      </c>
      <c r="D409" s="19" t="s">
        <v>5527</v>
      </c>
      <c r="E409" s="19" t="s">
        <v>5528</v>
      </c>
      <c r="F409" s="19" t="s">
        <v>2976</v>
      </c>
      <c r="G409" s="207" t="s">
        <v>4083</v>
      </c>
      <c r="H409" s="204" t="s">
        <v>2976</v>
      </c>
      <c r="I409" s="204"/>
      <c r="J409" s="207" t="s">
        <v>4083</v>
      </c>
      <c r="K409" s="207" t="s">
        <v>4083</v>
      </c>
      <c r="L409" s="19" t="s">
        <v>2976</v>
      </c>
    </row>
    <row r="410" spans="1:12">
      <c r="A410" s="61" t="s">
        <v>1794</v>
      </c>
      <c r="B410" s="163" t="s">
        <v>2318</v>
      </c>
      <c r="C410" s="36" t="s">
        <v>1796</v>
      </c>
      <c r="D410" s="19" t="s">
        <v>5529</v>
      </c>
      <c r="E410" s="19" t="s">
        <v>5530</v>
      </c>
      <c r="F410" s="55" t="s">
        <v>2976</v>
      </c>
      <c r="G410" s="138" t="s">
        <v>4083</v>
      </c>
      <c r="H410" s="19" t="s">
        <v>2976</v>
      </c>
      <c r="I410" s="138" t="s">
        <v>4083</v>
      </c>
      <c r="J410" s="138" t="s">
        <v>4083</v>
      </c>
      <c r="K410" s="161" t="s">
        <v>4083</v>
      </c>
      <c r="L410" s="138" t="s">
        <v>4083</v>
      </c>
    </row>
    <row r="411" spans="1:12">
      <c r="A411" s="170" t="s">
        <v>2032</v>
      </c>
      <c r="B411" s="36" t="s">
        <v>3290</v>
      </c>
      <c r="C411" s="36" t="s">
        <v>1909</v>
      </c>
      <c r="D411" s="19" t="s">
        <v>5531</v>
      </c>
      <c r="E411" s="19" t="s">
        <v>5532</v>
      </c>
      <c r="F411" s="55" t="s">
        <v>2976</v>
      </c>
      <c r="G411" s="19" t="s">
        <v>2976</v>
      </c>
      <c r="H411" s="19" t="s">
        <v>2976</v>
      </c>
      <c r="I411" s="19" t="s">
        <v>2976</v>
      </c>
      <c r="J411" s="138" t="s">
        <v>4083</v>
      </c>
      <c r="K411" s="161" t="s">
        <v>4083</v>
      </c>
    </row>
    <row r="412" spans="1:12">
      <c r="A412" s="61" t="s">
        <v>5533</v>
      </c>
      <c r="B412" s="36" t="s">
        <v>2242</v>
      </c>
      <c r="C412" s="36" t="s">
        <v>5534</v>
      </c>
      <c r="D412" s="19" t="s">
        <v>5535</v>
      </c>
      <c r="E412" s="19" t="s">
        <v>5536</v>
      </c>
      <c r="F412" s="86" t="s">
        <v>2976</v>
      </c>
      <c r="G412" s="167" t="s">
        <v>4083</v>
      </c>
      <c r="H412" s="204"/>
      <c r="I412" s="204" t="s">
        <v>2976</v>
      </c>
      <c r="J412" s="211" t="s">
        <v>2976</v>
      </c>
      <c r="K412" s="166" t="s">
        <v>4083</v>
      </c>
      <c r="L412" s="167" t="s">
        <v>4083</v>
      </c>
    </row>
    <row r="413" spans="1:12">
      <c r="A413" s="61" t="s">
        <v>1524</v>
      </c>
      <c r="B413" s="36" t="s">
        <v>3251</v>
      </c>
      <c r="C413" s="36" t="s">
        <v>2264</v>
      </c>
      <c r="D413" s="19" t="s">
        <v>5537</v>
      </c>
      <c r="E413" s="55" t="s">
        <v>5538</v>
      </c>
      <c r="F413" s="19" t="s">
        <v>2976</v>
      </c>
      <c r="G413" s="19" t="s">
        <v>2976</v>
      </c>
      <c r="H413" s="19" t="s">
        <v>2976</v>
      </c>
      <c r="I413" s="19" t="s">
        <v>2976</v>
      </c>
      <c r="K413" s="19"/>
    </row>
    <row r="414" spans="1:12">
      <c r="A414" s="61" t="s">
        <v>5539</v>
      </c>
      <c r="B414" s="19" t="s">
        <v>3294</v>
      </c>
      <c r="C414" s="19" t="s">
        <v>3297</v>
      </c>
      <c r="D414" s="19" t="s">
        <v>5540</v>
      </c>
      <c r="E414" s="19" t="s">
        <v>5541</v>
      </c>
      <c r="F414" s="108" t="s">
        <v>2976</v>
      </c>
      <c r="G414" s="210" t="s">
        <v>4083</v>
      </c>
      <c r="H414" s="108" t="s">
        <v>2976</v>
      </c>
      <c r="I414" s="210" t="s">
        <v>4083</v>
      </c>
      <c r="J414" s="210" t="s">
        <v>4083</v>
      </c>
      <c r="K414" s="210" t="s">
        <v>4083</v>
      </c>
      <c r="L414" s="210" t="s">
        <v>4083</v>
      </c>
    </row>
    <row r="415" spans="1:12" ht="15" customHeight="1">
      <c r="A415" s="61" t="s">
        <v>1522</v>
      </c>
      <c r="B415" s="36" t="s">
        <v>2140</v>
      </c>
      <c r="C415" s="36" t="s">
        <v>2213</v>
      </c>
      <c r="D415" s="99" t="s">
        <v>5542</v>
      </c>
      <c r="E415" s="19" t="s">
        <v>5543</v>
      </c>
      <c r="F415" s="19" t="s">
        <v>2976</v>
      </c>
      <c r="G415" s="210" t="s">
        <v>4083</v>
      </c>
      <c r="H415" s="19" t="s">
        <v>2976</v>
      </c>
      <c r="I415" s="210" t="s">
        <v>4083</v>
      </c>
      <c r="J415" s="210" t="s">
        <v>4083</v>
      </c>
      <c r="K415" s="210" t="s">
        <v>4083</v>
      </c>
      <c r="L415" s="210" t="s">
        <v>4083</v>
      </c>
    </row>
    <row r="416" spans="1:12">
      <c r="A416" s="61" t="s">
        <v>233</v>
      </c>
      <c r="B416" s="36" t="s">
        <v>731</v>
      </c>
      <c r="C416" s="36" t="s">
        <v>732</v>
      </c>
      <c r="D416" s="19" t="s">
        <v>5544</v>
      </c>
      <c r="E416" s="19" t="s">
        <v>5545</v>
      </c>
      <c r="F416" s="19" t="s">
        <v>2976</v>
      </c>
      <c r="G416" s="210" t="s">
        <v>4083</v>
      </c>
      <c r="H416" s="19" t="s">
        <v>2976</v>
      </c>
      <c r="I416" s="210" t="s">
        <v>4083</v>
      </c>
      <c r="J416" s="210" t="s">
        <v>4083</v>
      </c>
      <c r="K416" s="210" t="s">
        <v>4083</v>
      </c>
      <c r="L416" s="210" t="s">
        <v>4083</v>
      </c>
    </row>
    <row r="417" spans="1:12">
      <c r="A417" s="61" t="s">
        <v>1630</v>
      </c>
      <c r="B417" s="36" t="s">
        <v>3361</v>
      </c>
      <c r="C417" s="36" t="s">
        <v>1695</v>
      </c>
      <c r="D417" s="19" t="s">
        <v>5546</v>
      </c>
      <c r="E417" s="19" t="s">
        <v>5547</v>
      </c>
      <c r="F417" s="19" t="s">
        <v>2976</v>
      </c>
      <c r="G417" s="210" t="s">
        <v>4083</v>
      </c>
      <c r="H417" s="19" t="s">
        <v>2976</v>
      </c>
    </row>
    <row r="418" spans="1:12">
      <c r="A418" s="61" t="s">
        <v>5548</v>
      </c>
      <c r="B418" s="19" t="s">
        <v>5549</v>
      </c>
      <c r="C418" s="19" t="s">
        <v>5550</v>
      </c>
      <c r="D418" s="19" t="s">
        <v>5551</v>
      </c>
      <c r="E418" s="19" t="s">
        <v>5552</v>
      </c>
      <c r="F418" s="19" t="s">
        <v>2976</v>
      </c>
      <c r="G418" s="94" t="s">
        <v>4083</v>
      </c>
      <c r="I418" s="94" t="s">
        <v>4083</v>
      </c>
      <c r="J418" s="94" t="s">
        <v>4083</v>
      </c>
      <c r="K418" s="95" t="s">
        <v>4083</v>
      </c>
    </row>
    <row r="419" spans="1:12">
      <c r="A419" s="61" t="s">
        <v>5553</v>
      </c>
      <c r="B419" s="57" t="s">
        <v>652</v>
      </c>
      <c r="C419" s="57" t="s">
        <v>5554</v>
      </c>
      <c r="D419" s="19" t="s">
        <v>5555</v>
      </c>
      <c r="E419" s="19" t="s">
        <v>5556</v>
      </c>
      <c r="F419" s="19" t="s">
        <v>2976</v>
      </c>
      <c r="G419" s="94" t="s">
        <v>4083</v>
      </c>
      <c r="H419" s="94" t="s">
        <v>4083</v>
      </c>
      <c r="I419" s="94" t="s">
        <v>4083</v>
      </c>
      <c r="J419" s="94" t="s">
        <v>4083</v>
      </c>
      <c r="K419" s="94" t="s">
        <v>4083</v>
      </c>
      <c r="L419" s="19" t="s">
        <v>2976</v>
      </c>
    </row>
    <row r="420" spans="1:12">
      <c r="A420" s="61" t="s">
        <v>272</v>
      </c>
      <c r="B420" s="36" t="s">
        <v>273</v>
      </c>
      <c r="C420" s="36" t="s">
        <v>274</v>
      </c>
      <c r="D420" s="19" t="s">
        <v>5557</v>
      </c>
      <c r="E420" s="19" t="s">
        <v>5558</v>
      </c>
      <c r="F420" s="19" t="s">
        <v>2976</v>
      </c>
      <c r="G420" s="94" t="s">
        <v>4083</v>
      </c>
      <c r="H420" s="19" t="s">
        <v>2976</v>
      </c>
      <c r="I420" s="94" t="s">
        <v>2976</v>
      </c>
      <c r="J420" s="94" t="s">
        <v>4083</v>
      </c>
      <c r="K420" s="94" t="s">
        <v>4083</v>
      </c>
      <c r="L420" s="94" t="s">
        <v>4083</v>
      </c>
    </row>
    <row r="421" spans="1:12">
      <c r="A421" s="61" t="s">
        <v>2982</v>
      </c>
      <c r="B421" s="158" t="s">
        <v>2972</v>
      </c>
      <c r="C421" s="165" t="s">
        <v>2983</v>
      </c>
      <c r="D421" s="19" t="s">
        <v>5559</v>
      </c>
      <c r="E421" s="19" t="s">
        <v>5560</v>
      </c>
      <c r="F421" s="19" t="s">
        <v>2976</v>
      </c>
      <c r="G421" s="94" t="s">
        <v>4083</v>
      </c>
      <c r="H421" s="19" t="s">
        <v>2976</v>
      </c>
      <c r="I421" s="94" t="s">
        <v>4083</v>
      </c>
      <c r="J421" s="94" t="s">
        <v>4083</v>
      </c>
      <c r="K421" s="94" t="s">
        <v>4083</v>
      </c>
      <c r="L421" s="94" t="s">
        <v>4083</v>
      </c>
    </row>
    <row r="422" spans="1:12">
      <c r="A422" s="61" t="s">
        <v>1520</v>
      </c>
      <c r="B422" s="36" t="s">
        <v>3364</v>
      </c>
      <c r="C422" s="36" t="s">
        <v>2322</v>
      </c>
      <c r="D422" s="19" t="s">
        <v>5561</v>
      </c>
      <c r="E422" s="19" t="s">
        <v>5562</v>
      </c>
      <c r="F422" s="19" t="s">
        <v>2976</v>
      </c>
      <c r="G422" s="94" t="s">
        <v>4083</v>
      </c>
      <c r="H422" s="19" t="s">
        <v>2976</v>
      </c>
      <c r="I422" s="19" t="s">
        <v>2976</v>
      </c>
      <c r="J422" s="94" t="s">
        <v>4083</v>
      </c>
      <c r="K422" s="94" t="s">
        <v>4083</v>
      </c>
      <c r="L422" s="94" t="s">
        <v>4083</v>
      </c>
    </row>
    <row r="423" spans="1:12">
      <c r="A423" s="61" t="s">
        <v>5563</v>
      </c>
      <c r="B423" s="31" t="s">
        <v>2725</v>
      </c>
      <c r="C423" s="29" t="s">
        <v>5564</v>
      </c>
      <c r="D423" s="19" t="s">
        <v>5565</v>
      </c>
      <c r="E423" s="19" t="s">
        <v>5566</v>
      </c>
      <c r="F423" s="19" t="s">
        <v>2976</v>
      </c>
      <c r="G423" s="19" t="s">
        <v>2976</v>
      </c>
      <c r="H423" s="19" t="s">
        <v>2976</v>
      </c>
      <c r="I423" s="19" t="s">
        <v>2976</v>
      </c>
      <c r="J423" s="19" t="s">
        <v>2976</v>
      </c>
      <c r="K423" s="94" t="s">
        <v>4083</v>
      </c>
      <c r="L423" s="94" t="s">
        <v>4083</v>
      </c>
    </row>
    <row r="424" spans="1:12">
      <c r="A424" s="61" t="s">
        <v>2854</v>
      </c>
      <c r="B424" s="31" t="s">
        <v>3224</v>
      </c>
      <c r="C424" s="29" t="s">
        <v>2857</v>
      </c>
      <c r="D424" s="19" t="s">
        <v>5567</v>
      </c>
      <c r="E424" s="19" t="s">
        <v>5568</v>
      </c>
      <c r="F424" s="19" t="s">
        <v>2976</v>
      </c>
      <c r="G424" s="94" t="s">
        <v>4083</v>
      </c>
      <c r="H424" s="19" t="s">
        <v>2976</v>
      </c>
      <c r="I424" s="94" t="s">
        <v>4083</v>
      </c>
      <c r="J424" s="94" t="s">
        <v>4083</v>
      </c>
      <c r="K424" s="94" t="s">
        <v>4083</v>
      </c>
      <c r="L424" s="94" t="s">
        <v>4083</v>
      </c>
    </row>
    <row r="425" spans="1:12">
      <c r="A425" s="61" t="s">
        <v>5569</v>
      </c>
      <c r="B425" s="32" t="s">
        <v>3248</v>
      </c>
      <c r="C425" s="32" t="s">
        <v>5570</v>
      </c>
      <c r="D425" s="19" t="s">
        <v>5571</v>
      </c>
      <c r="E425" s="19" t="s">
        <v>5572</v>
      </c>
      <c r="F425" s="19" t="s">
        <v>2976</v>
      </c>
      <c r="G425" s="94" t="s">
        <v>4083</v>
      </c>
      <c r="H425" s="19" t="s">
        <v>2976</v>
      </c>
      <c r="I425" s="94" t="s">
        <v>4083</v>
      </c>
      <c r="J425" s="19" t="s">
        <v>2976</v>
      </c>
      <c r="K425" s="94" t="s">
        <v>4083</v>
      </c>
      <c r="L425" s="94" t="s">
        <v>2976</v>
      </c>
    </row>
    <row r="426" spans="1:12">
      <c r="A426" s="61" t="s">
        <v>2534</v>
      </c>
      <c r="B426" s="32" t="s">
        <v>2815</v>
      </c>
      <c r="C426" s="32" t="s">
        <v>2816</v>
      </c>
      <c r="D426" s="19" t="s">
        <v>5573</v>
      </c>
      <c r="E426" s="19" t="s">
        <v>5574</v>
      </c>
      <c r="F426" s="19" t="s">
        <v>2976</v>
      </c>
      <c r="G426" s="94" t="s">
        <v>4083</v>
      </c>
      <c r="I426" s="94" t="s">
        <v>4083</v>
      </c>
      <c r="J426" s="87" t="s">
        <v>2976</v>
      </c>
      <c r="K426" s="94" t="s">
        <v>4083</v>
      </c>
      <c r="L426" s="94" t="s">
        <v>4083</v>
      </c>
    </row>
    <row r="427" spans="1:12">
      <c r="A427" s="61" t="s">
        <v>2588</v>
      </c>
      <c r="B427" s="32" t="s">
        <v>2590</v>
      </c>
      <c r="C427" s="32" t="s">
        <v>2591</v>
      </c>
      <c r="D427" s="19" t="s">
        <v>5575</v>
      </c>
      <c r="E427" s="19" t="s">
        <v>5576</v>
      </c>
      <c r="F427" s="19" t="s">
        <v>2976</v>
      </c>
      <c r="G427" s="94" t="s">
        <v>4083</v>
      </c>
      <c r="H427" s="19" t="s">
        <v>2976</v>
      </c>
      <c r="I427" s="94" t="s">
        <v>4083</v>
      </c>
      <c r="J427" s="19" t="s">
        <v>2976</v>
      </c>
      <c r="K427" s="94" t="s">
        <v>4083</v>
      </c>
      <c r="L427" s="19" t="s">
        <v>2976</v>
      </c>
    </row>
    <row r="428" spans="1:12">
      <c r="A428" s="61" t="s">
        <v>200</v>
      </c>
      <c r="B428" s="36" t="s">
        <v>201</v>
      </c>
      <c r="C428" s="36" t="s">
        <v>202</v>
      </c>
      <c r="D428" s="19" t="s">
        <v>5577</v>
      </c>
      <c r="E428" s="19" t="s">
        <v>5578</v>
      </c>
      <c r="F428" s="19" t="s">
        <v>2976</v>
      </c>
      <c r="G428" s="94" t="s">
        <v>4083</v>
      </c>
      <c r="H428" s="94" t="s">
        <v>4083</v>
      </c>
      <c r="J428" s="19" t="s">
        <v>2976</v>
      </c>
      <c r="K428" s="94" t="s">
        <v>4083</v>
      </c>
      <c r="L428" s="94" t="s">
        <v>4083</v>
      </c>
    </row>
    <row r="429" spans="1:12">
      <c r="A429" s="61" t="s">
        <v>938</v>
      </c>
      <c r="B429" s="57" t="s">
        <v>708</v>
      </c>
      <c r="C429" s="57" t="s">
        <v>519</v>
      </c>
      <c r="D429" s="19" t="s">
        <v>5579</v>
      </c>
      <c r="E429" s="19" t="s">
        <v>5580</v>
      </c>
      <c r="F429" s="19" t="s">
        <v>2976</v>
      </c>
      <c r="G429" s="94" t="s">
        <v>4083</v>
      </c>
      <c r="H429" s="19" t="s">
        <v>2976</v>
      </c>
      <c r="I429" s="94" t="s">
        <v>4083</v>
      </c>
      <c r="J429" s="94" t="s">
        <v>4083</v>
      </c>
      <c r="L429" s="19" t="s">
        <v>2976</v>
      </c>
    </row>
    <row r="430" spans="1:12">
      <c r="A430" s="61" t="s">
        <v>5581</v>
      </c>
      <c r="B430" s="36" t="s">
        <v>1288</v>
      </c>
      <c r="C430" s="36" t="s">
        <v>1289</v>
      </c>
      <c r="D430" s="19" t="s">
        <v>5582</v>
      </c>
      <c r="E430" s="19" t="s">
        <v>5583</v>
      </c>
      <c r="F430" s="19" t="s">
        <v>2976</v>
      </c>
      <c r="G430" s="94" t="s">
        <v>4083</v>
      </c>
      <c r="H430" s="19" t="s">
        <v>2976</v>
      </c>
      <c r="J430" s="94" t="s">
        <v>4083</v>
      </c>
      <c r="K430" s="94" t="s">
        <v>4083</v>
      </c>
      <c r="L430" s="94" t="s">
        <v>4083</v>
      </c>
    </row>
    <row r="431" spans="1:12">
      <c r="A431" s="61" t="s">
        <v>5584</v>
      </c>
      <c r="B431" s="57" t="s">
        <v>3247</v>
      </c>
      <c r="C431" s="57" t="s">
        <v>5585</v>
      </c>
      <c r="D431" s="19" t="s">
        <v>5586</v>
      </c>
      <c r="E431" s="19" t="s">
        <v>5587</v>
      </c>
      <c r="F431" s="19" t="s">
        <v>2976</v>
      </c>
      <c r="G431" s="94" t="s">
        <v>4083</v>
      </c>
      <c r="H431" s="94" t="s">
        <v>4083</v>
      </c>
      <c r="I431" s="94" t="s">
        <v>4083</v>
      </c>
      <c r="K431" s="55" t="s">
        <v>2976</v>
      </c>
      <c r="L431" s="94" t="s">
        <v>4083</v>
      </c>
    </row>
    <row r="432" spans="1:12">
      <c r="A432" s="61" t="s">
        <v>2930</v>
      </c>
      <c r="B432" s="19" t="s">
        <v>5588</v>
      </c>
      <c r="C432" s="19" t="s">
        <v>5589</v>
      </c>
      <c r="D432" s="19" t="s">
        <v>5590</v>
      </c>
      <c r="E432" s="19" t="s">
        <v>5591</v>
      </c>
      <c r="F432" s="19" t="s">
        <v>2976</v>
      </c>
      <c r="G432" s="94" t="s">
        <v>4083</v>
      </c>
      <c r="H432" s="94" t="s">
        <v>4083</v>
      </c>
      <c r="I432" s="94" t="s">
        <v>4083</v>
      </c>
      <c r="J432" s="94" t="s">
        <v>4083</v>
      </c>
      <c r="K432" s="94" t="s">
        <v>4083</v>
      </c>
    </row>
    <row r="433" spans="1:12">
      <c r="A433" s="61" t="s">
        <v>374</v>
      </c>
      <c r="B433" s="36" t="s">
        <v>375</v>
      </c>
      <c r="C433" s="36" t="s">
        <v>376</v>
      </c>
      <c r="D433" s="19" t="s">
        <v>5592</v>
      </c>
      <c r="E433" s="19" t="s">
        <v>5593</v>
      </c>
      <c r="F433" s="19" t="s">
        <v>2976</v>
      </c>
      <c r="G433" s="94" t="s">
        <v>4083</v>
      </c>
      <c r="J433" s="19" t="s">
        <v>2976</v>
      </c>
      <c r="K433" s="94" t="s">
        <v>4083</v>
      </c>
      <c r="L433" s="94" t="s">
        <v>4083</v>
      </c>
    </row>
    <row r="434" spans="1:12">
      <c r="A434" s="61" t="s">
        <v>2676</v>
      </c>
      <c r="B434" s="29" t="s">
        <v>2795</v>
      </c>
      <c r="C434" s="29" t="s">
        <v>2796</v>
      </c>
      <c r="D434" s="19" t="s">
        <v>5594</v>
      </c>
      <c r="E434" s="19" t="s">
        <v>5595</v>
      </c>
      <c r="F434" s="19" t="s">
        <v>2976</v>
      </c>
      <c r="G434" s="94" t="s">
        <v>4083</v>
      </c>
      <c r="I434" s="94" t="s">
        <v>4083</v>
      </c>
      <c r="J434" s="94" t="s">
        <v>4083</v>
      </c>
      <c r="K434" s="94" t="s">
        <v>4083</v>
      </c>
      <c r="L434" s="94" t="s">
        <v>4083</v>
      </c>
    </row>
    <row r="435" spans="1:12">
      <c r="A435" s="61" t="s">
        <v>2667</v>
      </c>
      <c r="B435" s="31" t="s">
        <v>2803</v>
      </c>
      <c r="C435" s="29" t="s">
        <v>2804</v>
      </c>
      <c r="D435" s="19" t="s">
        <v>5596</v>
      </c>
      <c r="E435" s="19" t="s">
        <v>5597</v>
      </c>
      <c r="F435" s="19" t="s">
        <v>2976</v>
      </c>
      <c r="H435" s="19" t="s">
        <v>2976</v>
      </c>
      <c r="I435" s="94" t="s">
        <v>4083</v>
      </c>
      <c r="J435" s="19" t="s">
        <v>2976</v>
      </c>
      <c r="K435" s="94" t="s">
        <v>4083</v>
      </c>
    </row>
    <row r="436" spans="1:12">
      <c r="A436" s="61" t="s">
        <v>5598</v>
      </c>
      <c r="B436" s="19" t="s">
        <v>3189</v>
      </c>
      <c r="C436" s="19" t="s">
        <v>5599</v>
      </c>
      <c r="D436" s="19" t="s">
        <v>5600</v>
      </c>
      <c r="E436" s="19" t="s">
        <v>5601</v>
      </c>
      <c r="F436" s="19" t="s">
        <v>2976</v>
      </c>
      <c r="G436" s="19" t="s">
        <v>2976</v>
      </c>
      <c r="H436" s="19" t="s">
        <v>2976</v>
      </c>
      <c r="J436" s="19" t="s">
        <v>2976</v>
      </c>
      <c r="K436" s="94" t="s">
        <v>4083</v>
      </c>
      <c r="L436" s="19" t="s">
        <v>2976</v>
      </c>
    </row>
    <row r="437" spans="1:12">
      <c r="A437" s="61" t="s">
        <v>1745</v>
      </c>
      <c r="B437" s="19" t="s">
        <v>5602</v>
      </c>
      <c r="C437" s="19" t="s">
        <v>5603</v>
      </c>
      <c r="D437" s="19" t="s">
        <v>5604</v>
      </c>
      <c r="E437" s="19" t="s">
        <v>5605</v>
      </c>
      <c r="F437" s="19" t="s">
        <v>2976</v>
      </c>
      <c r="G437" s="94" t="s">
        <v>4083</v>
      </c>
      <c r="H437" s="228" t="s">
        <v>2976</v>
      </c>
      <c r="I437" s="94" t="s">
        <v>4083</v>
      </c>
      <c r="J437" s="94" t="s">
        <v>4083</v>
      </c>
      <c r="K437" s="94" t="s">
        <v>4083</v>
      </c>
    </row>
    <row r="438" spans="1:12" s="19" customFormat="1">
      <c r="A438" s="61" t="s">
        <v>5606</v>
      </c>
      <c r="B438" s="57" t="s">
        <v>626</v>
      </c>
      <c r="C438" s="57" t="s">
        <v>627</v>
      </c>
      <c r="D438" s="19" t="s">
        <v>5607</v>
      </c>
      <c r="E438" s="19" t="s">
        <v>5608</v>
      </c>
      <c r="F438" s="19" t="s">
        <v>2976</v>
      </c>
      <c r="G438" s="94" t="s">
        <v>4083</v>
      </c>
      <c r="H438" s="19" t="s">
        <v>2976</v>
      </c>
      <c r="I438" s="19" t="s">
        <v>2976</v>
      </c>
      <c r="J438" s="94"/>
      <c r="K438" s="94" t="s">
        <v>4083</v>
      </c>
      <c r="L438" s="94" t="s">
        <v>4083</v>
      </c>
    </row>
    <row r="439" spans="1:12" s="19" customFormat="1">
      <c r="A439" s="61" t="s">
        <v>612</v>
      </c>
      <c r="B439" s="57" t="s">
        <v>614</v>
      </c>
      <c r="C439" s="57" t="s">
        <v>615</v>
      </c>
      <c r="D439" s="19" t="s">
        <v>5609</v>
      </c>
      <c r="E439" s="19" t="s">
        <v>5610</v>
      </c>
      <c r="F439" s="19" t="s">
        <v>2976</v>
      </c>
      <c r="G439" s="94" t="s">
        <v>4083</v>
      </c>
      <c r="H439" s="19" t="s">
        <v>2976</v>
      </c>
      <c r="I439" s="94" t="s">
        <v>4083</v>
      </c>
      <c r="J439" s="124" t="s">
        <v>4083</v>
      </c>
      <c r="K439" s="19" t="s">
        <v>2976</v>
      </c>
      <c r="L439" s="19" t="s">
        <v>2976</v>
      </c>
    </row>
    <row r="440" spans="1:12">
      <c r="A440" s="61" t="s">
        <v>2639</v>
      </c>
      <c r="B440" s="19" t="s">
        <v>2729</v>
      </c>
      <c r="C440" s="19" t="s">
        <v>5611</v>
      </c>
      <c r="D440" s="19" t="s">
        <v>5612</v>
      </c>
      <c r="E440" s="19" t="s">
        <v>5613</v>
      </c>
      <c r="F440" s="19" t="s">
        <v>2976</v>
      </c>
      <c r="G440" s="94" t="s">
        <v>4083</v>
      </c>
      <c r="H440" s="102" t="s">
        <v>2976</v>
      </c>
      <c r="I440" s="94" t="s">
        <v>4083</v>
      </c>
      <c r="J440" s="122" t="s">
        <v>4083</v>
      </c>
      <c r="K440" s="95" t="s">
        <v>4083</v>
      </c>
    </row>
    <row r="441" spans="1:12">
      <c r="A441" s="61" t="s">
        <v>1839</v>
      </c>
      <c r="B441" s="19" t="s">
        <v>1840</v>
      </c>
      <c r="C441" s="19" t="s">
        <v>5614</v>
      </c>
      <c r="D441" s="19" t="s">
        <v>5615</v>
      </c>
      <c r="E441" s="19" t="s">
        <v>5616</v>
      </c>
      <c r="F441" s="19" t="s">
        <v>2976</v>
      </c>
      <c r="G441" s="94" t="s">
        <v>4083</v>
      </c>
      <c r="H441" s="102" t="s">
        <v>2976</v>
      </c>
      <c r="I441" s="94"/>
      <c r="J441" s="102" t="s">
        <v>2976</v>
      </c>
      <c r="K441" s="95" t="s">
        <v>4083</v>
      </c>
      <c r="L441" s="19" t="s">
        <v>2976</v>
      </c>
    </row>
    <row r="442" spans="1:12">
      <c r="A442" s="61" t="s">
        <v>2944</v>
      </c>
      <c r="B442" s="19" t="s">
        <v>2924</v>
      </c>
      <c r="C442" s="19" t="s">
        <v>2945</v>
      </c>
      <c r="D442" s="19" t="s">
        <v>5617</v>
      </c>
      <c r="E442" s="19" t="s">
        <v>5618</v>
      </c>
      <c r="F442" s="19" t="s">
        <v>2976</v>
      </c>
      <c r="G442" s="102" t="s">
        <v>2976</v>
      </c>
      <c r="H442" s="102" t="s">
        <v>2976</v>
      </c>
      <c r="I442" s="102" t="s">
        <v>2976</v>
      </c>
      <c r="J442" s="94" t="s">
        <v>4083</v>
      </c>
      <c r="K442" s="94" t="s">
        <v>4083</v>
      </c>
      <c r="L442" s="19" t="s">
        <v>2976</v>
      </c>
    </row>
    <row r="443" spans="1:12" ht="13.5" customHeight="1">
      <c r="A443" s="164" t="s">
        <v>5619</v>
      </c>
      <c r="B443" s="36" t="s">
        <v>278</v>
      </c>
      <c r="C443" s="36" t="s">
        <v>5620</v>
      </c>
      <c r="D443" s="19" t="s">
        <v>5621</v>
      </c>
      <c r="E443" s="19" t="s">
        <v>5622</v>
      </c>
      <c r="F443" s="19" t="s">
        <v>2976</v>
      </c>
      <c r="G443" s="94"/>
      <c r="H443" s="102" t="s">
        <v>2976</v>
      </c>
      <c r="I443" s="95" t="s">
        <v>4083</v>
      </c>
      <c r="J443" s="94"/>
      <c r="K443" s="95" t="s">
        <v>4083</v>
      </c>
      <c r="L443" s="94" t="s">
        <v>4083</v>
      </c>
    </row>
    <row r="444" spans="1:12">
      <c r="A444" s="61" t="s">
        <v>5623</v>
      </c>
      <c r="B444" s="19" t="s">
        <v>2955</v>
      </c>
      <c r="C444" s="19" t="s">
        <v>5624</v>
      </c>
      <c r="D444" s="19" t="s">
        <v>5625</v>
      </c>
      <c r="E444" s="19" t="s">
        <v>5626</v>
      </c>
      <c r="F444" s="19" t="s">
        <v>2976</v>
      </c>
      <c r="G444" s="94" t="s">
        <v>4083</v>
      </c>
      <c r="H444" s="19" t="s">
        <v>2976</v>
      </c>
      <c r="I444" s="94" t="s">
        <v>4083</v>
      </c>
      <c r="J444" s="94" t="s">
        <v>4083</v>
      </c>
      <c r="K444" s="94" t="s">
        <v>4083</v>
      </c>
      <c r="L444" s="19" t="s">
        <v>2976</v>
      </c>
    </row>
    <row r="445" spans="1:12">
      <c r="A445" s="61" t="s">
        <v>5627</v>
      </c>
      <c r="B445" s="36" t="s">
        <v>865</v>
      </c>
      <c r="C445" s="36" t="s">
        <v>866</v>
      </c>
      <c r="D445" s="19" t="s">
        <v>5628</v>
      </c>
      <c r="E445" s="19" t="s">
        <v>5629</v>
      </c>
      <c r="F445" s="19" t="s">
        <v>2976</v>
      </c>
      <c r="G445" s="94" t="s">
        <v>4083</v>
      </c>
      <c r="H445" s="19" t="s">
        <v>2976</v>
      </c>
      <c r="I445" s="94" t="s">
        <v>4083</v>
      </c>
      <c r="J445" s="19" t="s">
        <v>2976</v>
      </c>
      <c r="K445" s="94" t="s">
        <v>4083</v>
      </c>
      <c r="L445" s="94" t="s">
        <v>4083</v>
      </c>
    </row>
    <row r="446" spans="1:12">
      <c r="A446" s="61" t="s">
        <v>2672</v>
      </c>
      <c r="B446" s="29" t="s">
        <v>2536</v>
      </c>
      <c r="C446" s="29" t="s">
        <v>2797</v>
      </c>
      <c r="D446" s="19" t="s">
        <v>5630</v>
      </c>
      <c r="E446" s="19" t="s">
        <v>5631</v>
      </c>
      <c r="F446" s="19" t="s">
        <v>2976</v>
      </c>
      <c r="G446" s="19" t="s">
        <v>2976</v>
      </c>
      <c r="H446" s="19" t="s">
        <v>2976</v>
      </c>
      <c r="I446" s="94" t="s">
        <v>4083</v>
      </c>
      <c r="J446" s="19" t="s">
        <v>2976</v>
      </c>
      <c r="K446" s="94" t="s">
        <v>4083</v>
      </c>
      <c r="L446" s="19" t="s">
        <v>2976</v>
      </c>
    </row>
    <row r="447" spans="1:12">
      <c r="A447" s="116" t="s">
        <v>2600</v>
      </c>
      <c r="B447" s="31" t="s">
        <v>2601</v>
      </c>
      <c r="C447" s="29" t="s">
        <v>2602</v>
      </c>
      <c r="D447" s="86" t="s">
        <v>5632</v>
      </c>
      <c r="E447" s="86" t="s">
        <v>5633</v>
      </c>
      <c r="F447" s="86" t="s">
        <v>2976</v>
      </c>
      <c r="G447" s="94" t="s">
        <v>4083</v>
      </c>
      <c r="H447" s="86" t="s">
        <v>2976</v>
      </c>
      <c r="I447" s="94" t="s">
        <v>4083</v>
      </c>
      <c r="J447" s="86" t="s">
        <v>2976</v>
      </c>
      <c r="K447" s="94" t="s">
        <v>4083</v>
      </c>
      <c r="L447" s="86" t="s">
        <v>2976</v>
      </c>
    </row>
    <row r="448" spans="1:12" s="19" customFormat="1">
      <c r="A448" s="61" t="s">
        <v>2607</v>
      </c>
      <c r="B448" s="31" t="s">
        <v>2737</v>
      </c>
      <c r="C448" s="29" t="s">
        <v>2738</v>
      </c>
      <c r="D448" s="19" t="s">
        <v>5634</v>
      </c>
      <c r="E448" s="19" t="s">
        <v>5635</v>
      </c>
      <c r="F448" s="19" t="s">
        <v>2976</v>
      </c>
      <c r="G448" s="94" t="s">
        <v>4083</v>
      </c>
      <c r="H448" s="19" t="s">
        <v>2976</v>
      </c>
      <c r="I448" s="94" t="s">
        <v>4083</v>
      </c>
      <c r="J448" s="19" t="s">
        <v>2976</v>
      </c>
      <c r="K448" s="94" t="s">
        <v>4083</v>
      </c>
      <c r="L448" s="19" t="s">
        <v>2976</v>
      </c>
    </row>
    <row r="449" spans="1:12" s="19" customFormat="1">
      <c r="A449" s="61" t="s">
        <v>929</v>
      </c>
      <c r="B449" s="57" t="s">
        <v>930</v>
      </c>
      <c r="C449" s="57" t="s">
        <v>931</v>
      </c>
      <c r="D449" s="19" t="s">
        <v>5636</v>
      </c>
      <c r="E449" s="19" t="s">
        <v>5637</v>
      </c>
      <c r="F449" s="19" t="s">
        <v>2976</v>
      </c>
      <c r="G449" s="94"/>
      <c r="H449" s="94" t="s">
        <v>4083</v>
      </c>
      <c r="I449" s="94" t="s">
        <v>4083</v>
      </c>
      <c r="J449" s="19" t="s">
        <v>2976</v>
      </c>
      <c r="K449" s="94"/>
      <c r="L449" s="19" t="s">
        <v>2976</v>
      </c>
    </row>
    <row r="450" spans="1:12" s="19" customFormat="1">
      <c r="A450" s="61" t="s">
        <v>268</v>
      </c>
      <c r="B450" s="36" t="s">
        <v>1251</v>
      </c>
      <c r="C450" s="36" t="s">
        <v>1252</v>
      </c>
      <c r="D450" s="19" t="s">
        <v>5638</v>
      </c>
      <c r="E450" s="19" t="s">
        <v>5639</v>
      </c>
      <c r="F450" s="19" t="s">
        <v>2976</v>
      </c>
      <c r="G450" s="94" t="s">
        <v>4083</v>
      </c>
      <c r="H450" s="19" t="s">
        <v>2976</v>
      </c>
      <c r="I450" s="94" t="s">
        <v>4083</v>
      </c>
      <c r="J450" s="19" t="s">
        <v>2976</v>
      </c>
      <c r="K450" s="94" t="s">
        <v>4083</v>
      </c>
      <c r="L450" s="94" t="s">
        <v>4083</v>
      </c>
    </row>
    <row r="451" spans="1:12">
      <c r="A451" s="119" t="s">
        <v>1853</v>
      </c>
      <c r="B451" s="36" t="s">
        <v>2316</v>
      </c>
      <c r="C451" s="36" t="s">
        <v>1854</v>
      </c>
      <c r="D451" s="108" t="s">
        <v>5640</v>
      </c>
      <c r="E451" s="108" t="s">
        <v>5641</v>
      </c>
      <c r="F451" s="108" t="s">
        <v>2976</v>
      </c>
      <c r="G451" s="94" t="s">
        <v>4083</v>
      </c>
      <c r="H451" s="108" t="s">
        <v>2976</v>
      </c>
      <c r="I451" s="94" t="s">
        <v>4083</v>
      </c>
      <c r="J451" s="108" t="s">
        <v>2976</v>
      </c>
      <c r="K451" s="94" t="s">
        <v>4083</v>
      </c>
      <c r="L451" s="108" t="s">
        <v>2976</v>
      </c>
    </row>
    <row r="452" spans="1:12">
      <c r="A452" s="61" t="s">
        <v>1921</v>
      </c>
      <c r="B452" s="36" t="s">
        <v>5642</v>
      </c>
      <c r="C452" s="36" t="s">
        <v>1924</v>
      </c>
      <c r="D452" s="19" t="s">
        <v>5643</v>
      </c>
      <c r="E452" s="19" t="s">
        <v>5644</v>
      </c>
      <c r="F452" s="19" t="s">
        <v>2976</v>
      </c>
      <c r="G452" s="94" t="s">
        <v>4083</v>
      </c>
      <c r="H452" s="19" t="s">
        <v>2976</v>
      </c>
      <c r="I452" s="102" t="s">
        <v>2976</v>
      </c>
      <c r="J452" s="94" t="s">
        <v>4083</v>
      </c>
      <c r="K452" s="94" t="s">
        <v>4083</v>
      </c>
      <c r="L452" s="94" t="s">
        <v>4083</v>
      </c>
    </row>
    <row r="453" spans="1:12">
      <c r="A453" s="61" t="s">
        <v>1439</v>
      </c>
      <c r="B453" s="36" t="s">
        <v>2349</v>
      </c>
      <c r="C453" s="36" t="s">
        <v>1929</v>
      </c>
      <c r="D453" s="19" t="s">
        <v>5645</v>
      </c>
      <c r="E453" s="19" t="s">
        <v>5646</v>
      </c>
      <c r="G453" s="94" t="s">
        <v>4083</v>
      </c>
      <c r="H453" s="19" t="s">
        <v>2976</v>
      </c>
      <c r="I453" s="94" t="s">
        <v>4083</v>
      </c>
      <c r="J453" s="94" t="s">
        <v>4083</v>
      </c>
      <c r="K453" s="94" t="s">
        <v>4083</v>
      </c>
      <c r="L453" s="94" t="s">
        <v>4083</v>
      </c>
    </row>
    <row r="454" spans="1:12">
      <c r="A454" s="61" t="s">
        <v>2189</v>
      </c>
      <c r="B454" s="36" t="s">
        <v>5177</v>
      </c>
      <c r="C454" s="36" t="s">
        <v>2190</v>
      </c>
      <c r="D454" s="19" t="s">
        <v>5647</v>
      </c>
      <c r="E454" s="19" t="s">
        <v>5648</v>
      </c>
      <c r="G454" s="94" t="s">
        <v>4083</v>
      </c>
      <c r="H454" s="19" t="s">
        <v>2976</v>
      </c>
      <c r="I454" s="94" t="s">
        <v>4083</v>
      </c>
      <c r="J454" s="19" t="s">
        <v>2976</v>
      </c>
      <c r="K454" s="94" t="s">
        <v>4083</v>
      </c>
      <c r="L454" s="94" t="s">
        <v>4083</v>
      </c>
    </row>
    <row r="455" spans="1:12">
      <c r="A455" s="61" t="s">
        <v>2663</v>
      </c>
      <c r="B455" s="19" t="s">
        <v>2803</v>
      </c>
      <c r="C455" s="19" t="s">
        <v>2806</v>
      </c>
      <c r="D455" s="19" t="s">
        <v>5649</v>
      </c>
      <c r="E455" s="19" t="s">
        <v>5650</v>
      </c>
    </row>
    <row r="456" spans="1:12">
      <c r="A456" s="61" t="s">
        <v>2635</v>
      </c>
      <c r="B456" s="31" t="s">
        <v>2636</v>
      </c>
      <c r="C456" s="29" t="s">
        <v>2637</v>
      </c>
      <c r="D456" s="19" t="s">
        <v>5651</v>
      </c>
      <c r="E456" s="19" t="s">
        <v>5652</v>
      </c>
      <c r="F456" s="19" t="s">
        <v>2976</v>
      </c>
      <c r="G456" s="94" t="s">
        <v>4083</v>
      </c>
      <c r="H456" s="19" t="s">
        <v>2976</v>
      </c>
      <c r="I456" s="122" t="s">
        <v>4083</v>
      </c>
      <c r="J456" s="122" t="s">
        <v>4083</v>
      </c>
      <c r="K456" s="122" t="s">
        <v>4083</v>
      </c>
      <c r="L456" s="19" t="s">
        <v>2976</v>
      </c>
    </row>
    <row r="457" spans="1:12">
      <c r="A457" s="61" t="s">
        <v>2596</v>
      </c>
      <c r="B457" s="31" t="s">
        <v>2862</v>
      </c>
      <c r="C457" s="29" t="s">
        <v>2863</v>
      </c>
      <c r="D457" s="19" t="s">
        <v>5653</v>
      </c>
      <c r="E457" s="19" t="s">
        <v>5654</v>
      </c>
      <c r="H457" s="19" t="s">
        <v>2976</v>
      </c>
      <c r="I457" s="122" t="s">
        <v>4083</v>
      </c>
      <c r="J457" s="19" t="s">
        <v>2976</v>
      </c>
      <c r="K457" s="122" t="s">
        <v>4083</v>
      </c>
      <c r="L457" s="19" t="s">
        <v>2976</v>
      </c>
    </row>
    <row r="458" spans="1:12">
      <c r="A458" s="61" t="s">
        <v>1432</v>
      </c>
      <c r="B458" s="36" t="s">
        <v>2349</v>
      </c>
      <c r="C458" s="36" t="s">
        <v>2021</v>
      </c>
      <c r="D458" s="19" t="s">
        <v>5655</v>
      </c>
      <c r="E458" s="19" t="s">
        <v>5656</v>
      </c>
      <c r="F458" s="19" t="s">
        <v>2976</v>
      </c>
      <c r="G458" s="122" t="s">
        <v>4083</v>
      </c>
      <c r="H458" s="19" t="s">
        <v>2976</v>
      </c>
      <c r="J458" s="19" t="s">
        <v>2976</v>
      </c>
      <c r="K458" s="264" t="s">
        <v>4083</v>
      </c>
      <c r="L458" s="264" t="s">
        <v>4083</v>
      </c>
    </row>
    <row r="459" spans="1:12">
      <c r="A459" s="61" t="s">
        <v>1785</v>
      </c>
      <c r="B459" s="36" t="s">
        <v>2349</v>
      </c>
      <c r="C459" s="36" t="s">
        <v>1786</v>
      </c>
      <c r="D459" s="19" t="s">
        <v>5657</v>
      </c>
      <c r="E459" s="19" t="s">
        <v>5658</v>
      </c>
      <c r="F459" s="19" t="s">
        <v>2976</v>
      </c>
      <c r="G459" s="122" t="s">
        <v>4083</v>
      </c>
      <c r="H459" s="19" t="s">
        <v>2976</v>
      </c>
      <c r="J459" s="19" t="s">
        <v>2976</v>
      </c>
      <c r="K459" s="264" t="s">
        <v>4083</v>
      </c>
      <c r="L459" s="264" t="s">
        <v>4083</v>
      </c>
    </row>
    <row r="460" spans="1:12">
      <c r="A460" s="61" t="s">
        <v>3006</v>
      </c>
      <c r="B460" s="19" t="s">
        <v>2918</v>
      </c>
      <c r="C460" s="19" t="s">
        <v>3007</v>
      </c>
      <c r="D460" s="19" t="s">
        <v>5659</v>
      </c>
      <c r="E460" s="19" t="s">
        <v>5660</v>
      </c>
      <c r="F460" s="19" t="s">
        <v>2976</v>
      </c>
      <c r="G460" s="94" t="s">
        <v>4083</v>
      </c>
      <c r="H460" s="19" t="s">
        <v>2976</v>
      </c>
      <c r="I460" s="94" t="s">
        <v>4083</v>
      </c>
      <c r="J460" s="94" t="s">
        <v>4083</v>
      </c>
      <c r="K460" s="94" t="s">
        <v>4083</v>
      </c>
      <c r="L460" s="19" t="s">
        <v>2976</v>
      </c>
    </row>
    <row r="461" spans="1:12">
      <c r="A461" s="111" t="s">
        <v>1827</v>
      </c>
      <c r="B461" s="36" t="s">
        <v>3345</v>
      </c>
      <c r="C461" s="36" t="s">
        <v>1829</v>
      </c>
      <c r="D461" s="19" t="s">
        <v>5661</v>
      </c>
      <c r="E461" s="19" t="s">
        <v>5662</v>
      </c>
      <c r="F461" s="19" t="s">
        <v>2976</v>
      </c>
      <c r="G461" s="94" t="s">
        <v>4083</v>
      </c>
      <c r="H461" s="19" t="s">
        <v>2976</v>
      </c>
      <c r="I461" s="94" t="s">
        <v>4083</v>
      </c>
      <c r="J461" s="94" t="s">
        <v>4083</v>
      </c>
      <c r="K461" s="94" t="s">
        <v>4083</v>
      </c>
      <c r="L461" s="94" t="s">
        <v>4083</v>
      </c>
    </row>
    <row r="462" spans="1:12">
      <c r="A462" s="61" t="s">
        <v>1506</v>
      </c>
      <c r="B462" s="36" t="s">
        <v>2140</v>
      </c>
      <c r="C462" s="36" t="s">
        <v>2098</v>
      </c>
      <c r="D462" s="19" t="s">
        <v>5663</v>
      </c>
      <c r="E462" s="19" t="s">
        <v>5664</v>
      </c>
      <c r="F462" s="19" t="s">
        <v>2976</v>
      </c>
      <c r="G462" s="94" t="s">
        <v>4083</v>
      </c>
      <c r="H462" s="19" t="s">
        <v>2976</v>
      </c>
      <c r="I462" s="94" t="s">
        <v>4083</v>
      </c>
      <c r="J462" s="19" t="s">
        <v>2976</v>
      </c>
      <c r="K462" s="95" t="s">
        <v>4083</v>
      </c>
      <c r="L462" s="94" t="s">
        <v>4083</v>
      </c>
    </row>
    <row r="463" spans="1:12">
      <c r="A463" s="61" t="s">
        <v>5665</v>
      </c>
      <c r="B463" s="19" t="s">
        <v>2918</v>
      </c>
      <c r="C463" s="19" t="s">
        <v>2981</v>
      </c>
      <c r="D463" s="19" t="s">
        <v>5666</v>
      </c>
      <c r="E463" s="19" t="s">
        <v>5667</v>
      </c>
      <c r="G463" s="84" t="s">
        <v>4083</v>
      </c>
      <c r="H463" s="19" t="s">
        <v>2976</v>
      </c>
      <c r="I463" s="84" t="s">
        <v>4083</v>
      </c>
      <c r="J463" s="84" t="s">
        <v>4083</v>
      </c>
      <c r="K463" s="89" t="s">
        <v>4083</v>
      </c>
      <c r="L463" s="19" t="s">
        <v>2976</v>
      </c>
    </row>
    <row r="464" spans="1:12">
      <c r="A464" s="61" t="s">
        <v>2946</v>
      </c>
      <c r="B464" s="158" t="s">
        <v>2947</v>
      </c>
      <c r="C464" s="19" t="s">
        <v>2948</v>
      </c>
      <c r="D464" s="19" t="s">
        <v>5668</v>
      </c>
      <c r="E464" s="19" t="s">
        <v>5669</v>
      </c>
      <c r="F464" s="19" t="s">
        <v>2976</v>
      </c>
      <c r="G464" s="19" t="s">
        <v>2976</v>
      </c>
      <c r="H464" s="19" t="s">
        <v>2976</v>
      </c>
      <c r="I464" s="19" t="s">
        <v>2976</v>
      </c>
      <c r="J464" s="102" t="s">
        <v>2976</v>
      </c>
      <c r="L464" s="19" t="s">
        <v>2976</v>
      </c>
    </row>
    <row r="465" spans="1:12">
      <c r="A465" s="61" t="s">
        <v>2958</v>
      </c>
      <c r="B465" s="19" t="s">
        <v>2959</v>
      </c>
      <c r="C465" s="19" t="s">
        <v>2960</v>
      </c>
      <c r="D465" s="19" t="s">
        <v>5670</v>
      </c>
      <c r="E465" s="19" t="s">
        <v>5671</v>
      </c>
      <c r="G465" s="94" t="s">
        <v>4083</v>
      </c>
      <c r="H465" s="19" t="s">
        <v>2976</v>
      </c>
      <c r="I465" s="94" t="s">
        <v>4083</v>
      </c>
      <c r="J465" s="94" t="s">
        <v>4083</v>
      </c>
      <c r="K465" s="95" t="s">
        <v>4083</v>
      </c>
      <c r="L465" s="19" t="s">
        <v>2976</v>
      </c>
    </row>
    <row r="466" spans="1:12">
      <c r="A466" s="61" t="s">
        <v>5672</v>
      </c>
      <c r="B466" s="36" t="s">
        <v>3206</v>
      </c>
      <c r="C466" s="36" t="s">
        <v>3314</v>
      </c>
      <c r="D466" s="19" t="s">
        <v>5673</v>
      </c>
      <c r="E466" s="19" t="s">
        <v>5674</v>
      </c>
      <c r="G466" s="19" t="s">
        <v>2976</v>
      </c>
      <c r="H466" s="19" t="s">
        <v>2976</v>
      </c>
      <c r="I466" s="19" t="s">
        <v>2976</v>
      </c>
      <c r="J466" s="84" t="s">
        <v>4083</v>
      </c>
      <c r="K466" s="89" t="s">
        <v>4083</v>
      </c>
      <c r="L466" s="19" t="s">
        <v>2976</v>
      </c>
    </row>
    <row r="467" spans="1:12">
      <c r="A467" s="61" t="s">
        <v>1741</v>
      </c>
      <c r="B467" s="36" t="s">
        <v>3386</v>
      </c>
      <c r="C467" s="36" t="s">
        <v>1743</v>
      </c>
      <c r="D467" s="19" t="s">
        <v>5675</v>
      </c>
      <c r="E467" s="19" t="s">
        <v>5676</v>
      </c>
      <c r="G467" s="94" t="s">
        <v>4083</v>
      </c>
      <c r="I467" s="94" t="s">
        <v>4083</v>
      </c>
      <c r="J467" s="94" t="s">
        <v>4083</v>
      </c>
      <c r="K467" s="95" t="s">
        <v>4083</v>
      </c>
    </row>
    <row r="468" spans="1:12">
      <c r="A468" s="61" t="s">
        <v>253</v>
      </c>
      <c r="B468" s="36" t="s">
        <v>254</v>
      </c>
      <c r="C468" s="36" t="s">
        <v>255</v>
      </c>
      <c r="D468" s="19" t="s">
        <v>5677</v>
      </c>
      <c r="E468" s="19" t="s">
        <v>5678</v>
      </c>
      <c r="F468" s="19" t="s">
        <v>2976</v>
      </c>
      <c r="G468" s="94" t="s">
        <v>4083</v>
      </c>
      <c r="H468" s="19" t="s">
        <v>2976</v>
      </c>
      <c r="I468" s="94" t="s">
        <v>4083</v>
      </c>
      <c r="J468" s="94" t="s">
        <v>4083</v>
      </c>
      <c r="K468" s="94" t="s">
        <v>4083</v>
      </c>
      <c r="L468" s="19" t="s">
        <v>2976</v>
      </c>
    </row>
    <row r="469" spans="1:12">
      <c r="A469" s="61" t="s">
        <v>783</v>
      </c>
      <c r="B469" s="57" t="s">
        <v>1282</v>
      </c>
      <c r="C469" s="57" t="s">
        <v>1283</v>
      </c>
      <c r="D469" s="19" t="s">
        <v>5679</v>
      </c>
      <c r="E469" s="19" t="s">
        <v>5680</v>
      </c>
      <c r="F469" s="19" t="s">
        <v>2976</v>
      </c>
      <c r="G469" s="94" t="s">
        <v>4083</v>
      </c>
      <c r="H469" s="94" t="s">
        <v>4083</v>
      </c>
      <c r="I469" s="94" t="s">
        <v>4083</v>
      </c>
      <c r="J469" s="19" t="s">
        <v>2976</v>
      </c>
      <c r="K469" s="94" t="s">
        <v>4083</v>
      </c>
      <c r="L469" s="94" t="s">
        <v>4083</v>
      </c>
    </row>
    <row r="470" spans="1:12">
      <c r="A470" s="61" t="s">
        <v>298</v>
      </c>
      <c r="B470" s="36" t="s">
        <v>299</v>
      </c>
      <c r="C470" s="36" t="s">
        <v>300</v>
      </c>
      <c r="D470" s="19" t="s">
        <v>5681</v>
      </c>
      <c r="E470" s="19" t="s">
        <v>5682</v>
      </c>
      <c r="F470" s="19" t="s">
        <v>2976</v>
      </c>
      <c r="G470" s="94" t="s">
        <v>4083</v>
      </c>
      <c r="H470" s="19" t="s">
        <v>2976</v>
      </c>
      <c r="I470" s="94" t="s">
        <v>4083</v>
      </c>
      <c r="J470" s="94" t="s">
        <v>4083</v>
      </c>
      <c r="K470" s="94" t="s">
        <v>4083</v>
      </c>
      <c r="L470" s="19" t="s">
        <v>2976</v>
      </c>
    </row>
    <row r="471" spans="1:12">
      <c r="A471" s="61" t="s">
        <v>307</v>
      </c>
      <c r="B471" s="36" t="s">
        <v>82</v>
      </c>
      <c r="C471" s="36" t="s">
        <v>830</v>
      </c>
      <c r="D471" s="19" t="s">
        <v>5683</v>
      </c>
      <c r="E471" s="19" t="s">
        <v>5684</v>
      </c>
      <c r="F471" s="19" t="s">
        <v>2976</v>
      </c>
      <c r="G471" s="94" t="s">
        <v>4083</v>
      </c>
      <c r="H471" s="19" t="s">
        <v>2976</v>
      </c>
      <c r="I471" s="94" t="s">
        <v>4083</v>
      </c>
      <c r="J471" s="19" t="s">
        <v>2976</v>
      </c>
      <c r="K471" s="94" t="s">
        <v>4083</v>
      </c>
      <c r="L471" s="19" t="s">
        <v>2976</v>
      </c>
    </row>
    <row r="472" spans="1:12">
      <c r="A472" s="61" t="s">
        <v>191</v>
      </c>
      <c r="B472" s="57" t="s">
        <v>192</v>
      </c>
      <c r="C472" s="57" t="s">
        <v>193</v>
      </c>
      <c r="D472" s="19" t="s">
        <v>5685</v>
      </c>
      <c r="E472" s="19" t="s">
        <v>5686</v>
      </c>
      <c r="F472" s="19" t="s">
        <v>2976</v>
      </c>
      <c r="G472" s="94" t="s">
        <v>4083</v>
      </c>
      <c r="H472" s="19" t="s">
        <v>2976</v>
      </c>
      <c r="I472" s="94" t="s">
        <v>4083</v>
      </c>
      <c r="J472" s="94" t="s">
        <v>4083</v>
      </c>
      <c r="K472" s="94" t="s">
        <v>4083</v>
      </c>
      <c r="L472" s="19" t="s">
        <v>2976</v>
      </c>
    </row>
    <row r="473" spans="1:12">
      <c r="A473" s="61" t="s">
        <v>5687</v>
      </c>
      <c r="B473" s="57" t="s">
        <v>5688</v>
      </c>
      <c r="C473" s="57" t="s">
        <v>4498</v>
      </c>
      <c r="D473" s="19" t="s">
        <v>5689</v>
      </c>
      <c r="E473" s="19" t="s">
        <v>5690</v>
      </c>
      <c r="F473" s="19" t="s">
        <v>2976</v>
      </c>
      <c r="G473" s="94" t="s">
        <v>4083</v>
      </c>
      <c r="H473" s="94" t="s">
        <v>4083</v>
      </c>
      <c r="I473" s="94" t="s">
        <v>4083</v>
      </c>
      <c r="J473" s="94" t="s">
        <v>4083</v>
      </c>
      <c r="K473" s="94" t="s">
        <v>4083</v>
      </c>
      <c r="L473" s="19" t="s">
        <v>2976</v>
      </c>
    </row>
    <row r="474" spans="1:12">
      <c r="A474" s="61" t="s">
        <v>5691</v>
      </c>
      <c r="B474" s="57" t="s">
        <v>3639</v>
      </c>
      <c r="C474" s="57" t="s">
        <v>5692</v>
      </c>
      <c r="D474" s="19" t="s">
        <v>5693</v>
      </c>
      <c r="E474" s="19" t="s">
        <v>5694</v>
      </c>
      <c r="F474" s="19" t="s">
        <v>2976</v>
      </c>
      <c r="G474" s="94" t="s">
        <v>4083</v>
      </c>
      <c r="H474" s="94" t="s">
        <v>4083</v>
      </c>
      <c r="I474" s="94" t="s">
        <v>4083</v>
      </c>
      <c r="J474" s="94"/>
      <c r="K474" s="94" t="s">
        <v>4083</v>
      </c>
      <c r="L474" s="19" t="s">
        <v>2976</v>
      </c>
    </row>
    <row r="475" spans="1:12">
      <c r="A475" s="61" t="s">
        <v>5695</v>
      </c>
      <c r="B475" s="36" t="s">
        <v>814</v>
      </c>
      <c r="C475" s="36" t="s">
        <v>5696</v>
      </c>
      <c r="D475" s="19" t="s">
        <v>5697</v>
      </c>
      <c r="E475" s="19" t="s">
        <v>5698</v>
      </c>
      <c r="F475" s="19" t="s">
        <v>2976</v>
      </c>
      <c r="H475" s="19" t="s">
        <v>2976</v>
      </c>
      <c r="L475" s="19" t="s">
        <v>2976</v>
      </c>
    </row>
    <row r="476" spans="1:12">
      <c r="A476" s="61" t="s">
        <v>5699</v>
      </c>
      <c r="B476" s="36" t="s">
        <v>5700</v>
      </c>
      <c r="C476" s="36" t="s">
        <v>5701</v>
      </c>
      <c r="D476" s="19" t="s">
        <v>5702</v>
      </c>
      <c r="E476" s="19" t="s">
        <v>5703</v>
      </c>
      <c r="F476" s="19" t="s">
        <v>2976</v>
      </c>
      <c r="H476" s="19" t="s">
        <v>2976</v>
      </c>
    </row>
    <row r="477" spans="1:12">
      <c r="A477" s="61" t="s">
        <v>5704</v>
      </c>
      <c r="B477" s="36" t="s">
        <v>249</v>
      </c>
      <c r="C477" s="36" t="s">
        <v>250</v>
      </c>
      <c r="D477" s="19" t="s">
        <v>5705</v>
      </c>
      <c r="E477" s="19" t="s">
        <v>5706</v>
      </c>
      <c r="F477" s="19" t="s">
        <v>2976</v>
      </c>
      <c r="G477" s="94" t="s">
        <v>4083</v>
      </c>
      <c r="H477" s="19" t="s">
        <v>2976</v>
      </c>
      <c r="I477" s="94" t="s">
        <v>4083</v>
      </c>
      <c r="J477" s="94" t="s">
        <v>4083</v>
      </c>
      <c r="K477" s="94" t="s">
        <v>4083</v>
      </c>
      <c r="L477" s="94" t="s">
        <v>4083</v>
      </c>
    </row>
    <row r="478" spans="1:12">
      <c r="A478" s="61" t="s">
        <v>5707</v>
      </c>
      <c r="B478" s="36" t="s">
        <v>142</v>
      </c>
      <c r="C478" s="36" t="s">
        <v>143</v>
      </c>
      <c r="D478" s="19" t="s">
        <v>5708</v>
      </c>
      <c r="E478" s="19" t="s">
        <v>5709</v>
      </c>
      <c r="F478" s="19" t="s">
        <v>2976</v>
      </c>
      <c r="G478" s="94" t="s">
        <v>4083</v>
      </c>
      <c r="I478" s="94" t="s">
        <v>4083</v>
      </c>
      <c r="J478" s="94" t="s">
        <v>4083</v>
      </c>
      <c r="K478" s="94" t="s">
        <v>4083</v>
      </c>
      <c r="L478" s="19" t="s">
        <v>2976</v>
      </c>
    </row>
    <row r="479" spans="1:12">
      <c r="A479" s="61" t="s">
        <v>962</v>
      </c>
      <c r="B479" s="57" t="s">
        <v>5710</v>
      </c>
      <c r="C479" s="57" t="s">
        <v>1153</v>
      </c>
      <c r="D479" s="19" t="s">
        <v>5711</v>
      </c>
      <c r="E479" s="19" t="s">
        <v>5712</v>
      </c>
      <c r="F479" s="19" t="s">
        <v>2976</v>
      </c>
      <c r="G479" s="94" t="s">
        <v>4083</v>
      </c>
      <c r="H479" s="19" t="s">
        <v>2976</v>
      </c>
      <c r="I479" s="19" t="s">
        <v>2976</v>
      </c>
      <c r="J479" s="94" t="s">
        <v>4083</v>
      </c>
    </row>
    <row r="480" spans="1:12">
      <c r="A480" s="61" t="s">
        <v>1516</v>
      </c>
      <c r="B480" s="36" t="s">
        <v>3345</v>
      </c>
      <c r="C480" s="36" t="s">
        <v>2049</v>
      </c>
      <c r="D480" s="19" t="s">
        <v>5713</v>
      </c>
      <c r="E480" s="19" t="s">
        <v>5714</v>
      </c>
      <c r="F480" s="19" t="s">
        <v>2976</v>
      </c>
      <c r="G480" s="94" t="s">
        <v>4083</v>
      </c>
      <c r="H480" s="19" t="s">
        <v>2976</v>
      </c>
      <c r="I480" s="122" t="s">
        <v>4083</v>
      </c>
      <c r="J480" s="122" t="s">
        <v>4083</v>
      </c>
      <c r="K480" s="122" t="s">
        <v>4083</v>
      </c>
      <c r="L480" s="122" t="s">
        <v>4083</v>
      </c>
    </row>
    <row r="481" spans="1:12">
      <c r="A481" s="61" t="s">
        <v>5715</v>
      </c>
      <c r="B481" s="36" t="s">
        <v>3213</v>
      </c>
      <c r="C481" s="36" t="s">
        <v>5716</v>
      </c>
      <c r="D481" s="19" t="s">
        <v>5717</v>
      </c>
      <c r="E481" s="19" t="s">
        <v>5718</v>
      </c>
      <c r="F481" s="19" t="s">
        <v>2976</v>
      </c>
      <c r="G481" s="19" t="s">
        <v>2976</v>
      </c>
      <c r="H481" s="19" t="s">
        <v>2976</v>
      </c>
      <c r="I481" s="19" t="s">
        <v>2976</v>
      </c>
      <c r="J481" s="94" t="s">
        <v>4083</v>
      </c>
      <c r="K481" s="95" t="s">
        <v>4083</v>
      </c>
      <c r="L481" s="94" t="s">
        <v>4083</v>
      </c>
    </row>
    <row r="482" spans="1:12">
      <c r="A482" s="61" t="s">
        <v>1856</v>
      </c>
      <c r="B482" s="36" t="s">
        <v>2480</v>
      </c>
      <c r="C482" s="36" t="s">
        <v>1858</v>
      </c>
      <c r="D482" s="19" t="s">
        <v>5719</v>
      </c>
      <c r="E482" s="19" t="s">
        <v>5720</v>
      </c>
      <c r="F482" s="19" t="s">
        <v>2976</v>
      </c>
      <c r="G482" s="84" t="s">
        <v>4083</v>
      </c>
      <c r="H482" s="19" t="s">
        <v>2976</v>
      </c>
      <c r="I482" s="84" t="s">
        <v>4083</v>
      </c>
      <c r="J482" s="84" t="s">
        <v>4083</v>
      </c>
      <c r="K482" s="207" t="s">
        <v>4083</v>
      </c>
    </row>
    <row r="483" spans="1:12">
      <c r="A483" s="61" t="s">
        <v>5721</v>
      </c>
      <c r="B483" s="36" t="s">
        <v>201</v>
      </c>
      <c r="C483" s="36" t="s">
        <v>5722</v>
      </c>
      <c r="D483" s="19" t="s">
        <v>5723</v>
      </c>
      <c r="E483" s="19" t="s">
        <v>5724</v>
      </c>
      <c r="F483" s="19" t="s">
        <v>2976</v>
      </c>
      <c r="G483" s="84" t="s">
        <v>4083</v>
      </c>
      <c r="H483" s="84" t="s">
        <v>4083</v>
      </c>
      <c r="I483" s="84" t="s">
        <v>4083</v>
      </c>
      <c r="J483" s="84" t="s">
        <v>4083</v>
      </c>
      <c r="K483" s="84" t="s">
        <v>4083</v>
      </c>
      <c r="L483" s="84" t="s">
        <v>4083</v>
      </c>
    </row>
    <row r="484" spans="1:12">
      <c r="A484" s="61" t="s">
        <v>1741</v>
      </c>
      <c r="B484" s="36" t="s">
        <v>1474</v>
      </c>
      <c r="C484" s="36" t="s">
        <v>2267</v>
      </c>
      <c r="D484" s="19" t="s">
        <v>5725</v>
      </c>
      <c r="E484" s="19" t="s">
        <v>5676</v>
      </c>
      <c r="F484" s="19" t="s">
        <v>2976</v>
      </c>
      <c r="H484" s="19" t="s">
        <v>2976</v>
      </c>
    </row>
    <row r="485" spans="1:12">
      <c r="A485" s="61" t="s">
        <v>5726</v>
      </c>
      <c r="B485" s="36" t="s">
        <v>3373</v>
      </c>
      <c r="C485" s="36" t="s">
        <v>5727</v>
      </c>
      <c r="D485" s="19" t="s">
        <v>5728</v>
      </c>
      <c r="E485" s="19" t="s">
        <v>5729</v>
      </c>
      <c r="F485" s="19" t="s">
        <v>2976</v>
      </c>
      <c r="H485" s="19" t="s">
        <v>2976</v>
      </c>
    </row>
    <row r="486" spans="1:12">
      <c r="A486" s="61" t="s">
        <v>5730</v>
      </c>
      <c r="B486" s="31" t="s">
        <v>3204</v>
      </c>
      <c r="C486" s="29" t="s">
        <v>5731</v>
      </c>
      <c r="D486" s="19" t="s">
        <v>5732</v>
      </c>
      <c r="E486" s="19" t="s">
        <v>5733</v>
      </c>
      <c r="F486" s="19" t="s">
        <v>2976</v>
      </c>
      <c r="G486" s="94" t="s">
        <v>4083</v>
      </c>
      <c r="J486" s="19" t="s">
        <v>2976</v>
      </c>
      <c r="K486" s="122" t="s">
        <v>4083</v>
      </c>
      <c r="L486" s="19" t="s">
        <v>2976</v>
      </c>
    </row>
    <row r="487" spans="1:12">
      <c r="A487" s="61" t="s">
        <v>5734</v>
      </c>
      <c r="B487" s="36" t="s">
        <v>3307</v>
      </c>
      <c r="C487" s="36" t="s">
        <v>3310</v>
      </c>
      <c r="D487" s="19" t="s">
        <v>5735</v>
      </c>
      <c r="E487" s="19" t="s">
        <v>5736</v>
      </c>
      <c r="G487" s="94" t="s">
        <v>4083</v>
      </c>
      <c r="H487" s="19" t="s">
        <v>2976</v>
      </c>
      <c r="I487" s="19" t="s">
        <v>2976</v>
      </c>
      <c r="J487" s="94" t="s">
        <v>4083</v>
      </c>
      <c r="K487" s="95" t="s">
        <v>4083</v>
      </c>
      <c r="L487" s="19" t="s">
        <v>2976</v>
      </c>
    </row>
    <row r="488" spans="1:12">
      <c r="A488" s="61" t="s">
        <v>5737</v>
      </c>
      <c r="B488" s="36" t="s">
        <v>3267</v>
      </c>
      <c r="C488" s="36" t="s">
        <v>3270</v>
      </c>
      <c r="D488" s="19" t="s">
        <v>5738</v>
      </c>
      <c r="E488" s="19" t="s">
        <v>5739</v>
      </c>
      <c r="G488" s="19" t="s">
        <v>2976</v>
      </c>
      <c r="H488" s="19" t="s">
        <v>2976</v>
      </c>
      <c r="I488" s="19" t="s">
        <v>2976</v>
      </c>
      <c r="J488" s="19" t="s">
        <v>2976</v>
      </c>
      <c r="K488" s="95" t="s">
        <v>4083</v>
      </c>
      <c r="L488" s="19" t="s">
        <v>2976</v>
      </c>
    </row>
    <row r="489" spans="1:12">
      <c r="A489" s="111" t="s">
        <v>356</v>
      </c>
      <c r="B489" s="36" t="s">
        <v>844</v>
      </c>
      <c r="C489" s="36" t="s">
        <v>845</v>
      </c>
      <c r="D489" s="19" t="s">
        <v>5740</v>
      </c>
      <c r="E489" s="19" t="s">
        <v>5741</v>
      </c>
      <c r="F489" s="19" t="s">
        <v>2976</v>
      </c>
      <c r="G489" s="94" t="s">
        <v>4083</v>
      </c>
      <c r="I489" s="94" t="s">
        <v>4083</v>
      </c>
      <c r="J489" s="94" t="s">
        <v>4083</v>
      </c>
      <c r="K489" s="95" t="s">
        <v>4083</v>
      </c>
      <c r="L489" s="19" t="s">
        <v>2976</v>
      </c>
    </row>
    <row r="490" spans="1:12">
      <c r="A490" s="61" t="s">
        <v>5742</v>
      </c>
      <c r="B490" s="36" t="s">
        <v>2154</v>
      </c>
      <c r="C490" s="36" t="s">
        <v>5743</v>
      </c>
      <c r="D490" s="19" t="s">
        <v>5744</v>
      </c>
      <c r="E490" s="19" t="s">
        <v>5745</v>
      </c>
      <c r="F490" s="19" t="s">
        <v>2976</v>
      </c>
      <c r="H490" s="19" t="s">
        <v>2976</v>
      </c>
      <c r="J490" s="19" t="s">
        <v>2976</v>
      </c>
    </row>
    <row r="491" spans="1:12" ht="15.75">
      <c r="A491" s="61" t="s">
        <v>5746</v>
      </c>
      <c r="B491" s="267" t="s">
        <v>5747</v>
      </c>
      <c r="C491" s="20" t="s">
        <v>5748</v>
      </c>
      <c r="D491" s="19" t="s">
        <v>5749</v>
      </c>
      <c r="E491" s="19" t="s">
        <v>5750</v>
      </c>
      <c r="F491" s="19" t="s">
        <v>2976</v>
      </c>
      <c r="G491" s="94" t="s">
        <v>4083</v>
      </c>
      <c r="H491" s="19" t="s">
        <v>2976</v>
      </c>
      <c r="I491" s="94" t="s">
        <v>4083</v>
      </c>
      <c r="J491" s="94" t="s">
        <v>4083</v>
      </c>
      <c r="K491" s="95" t="s">
        <v>4083</v>
      </c>
    </row>
    <row r="492" spans="1:12">
      <c r="A492" s="61" t="s">
        <v>3000</v>
      </c>
      <c r="B492" s="19" t="s">
        <v>2955</v>
      </c>
      <c r="C492" s="19" t="s">
        <v>3001</v>
      </c>
      <c r="D492" s="19" t="s">
        <v>5751</v>
      </c>
      <c r="E492" s="19" t="s">
        <v>5752</v>
      </c>
      <c r="F492" s="19" t="s">
        <v>2976</v>
      </c>
      <c r="G492" s="94" t="s">
        <v>4083</v>
      </c>
      <c r="H492" s="19" t="s">
        <v>2976</v>
      </c>
      <c r="J492" s="94" t="s">
        <v>4083</v>
      </c>
      <c r="K492" s="95" t="s">
        <v>4083</v>
      </c>
      <c r="L492" s="19" t="s">
        <v>2976</v>
      </c>
    </row>
    <row r="493" spans="1:12">
      <c r="A493" s="61" t="s">
        <v>5753</v>
      </c>
      <c r="B493" s="36" t="s">
        <v>5754</v>
      </c>
      <c r="C493" s="36" t="s">
        <v>5755</v>
      </c>
      <c r="D493" s="19" t="s">
        <v>5756</v>
      </c>
      <c r="E493" s="19" t="s">
        <v>5757</v>
      </c>
      <c r="G493" s="94" t="s">
        <v>4083</v>
      </c>
      <c r="H493" s="19" t="s">
        <v>2976</v>
      </c>
      <c r="J493" s="94" t="s">
        <v>4083</v>
      </c>
      <c r="K493" s="95" t="s">
        <v>4083</v>
      </c>
      <c r="L493" s="19" t="s">
        <v>2976</v>
      </c>
    </row>
    <row r="494" spans="1:12" ht="29.25">
      <c r="A494" s="225" t="s">
        <v>5758</v>
      </c>
      <c r="B494" s="12" t="s">
        <v>2921</v>
      </c>
      <c r="C494" s="12" t="s">
        <v>2968</v>
      </c>
      <c r="D494" s="12" t="s">
        <v>5759</v>
      </c>
      <c r="E494" s="12" t="s">
        <v>5760</v>
      </c>
      <c r="F494" s="19" t="s">
        <v>2976</v>
      </c>
      <c r="G494" s="94" t="s">
        <v>4083</v>
      </c>
      <c r="H494" s="19" t="s">
        <v>2976</v>
      </c>
      <c r="I494" s="94" t="s">
        <v>4083</v>
      </c>
      <c r="J494" s="94" t="s">
        <v>4083</v>
      </c>
      <c r="K494" s="95" t="s">
        <v>4083</v>
      </c>
      <c r="L494" s="19" t="s">
        <v>2976</v>
      </c>
    </row>
    <row r="495" spans="1:12">
      <c r="A495" s="61" t="s">
        <v>3027</v>
      </c>
      <c r="B495" s="19" t="s">
        <v>2921</v>
      </c>
      <c r="C495" s="19" t="s">
        <v>3028</v>
      </c>
      <c r="D495" s="19" t="s">
        <v>5761</v>
      </c>
      <c r="E495" s="19" t="s">
        <v>5762</v>
      </c>
      <c r="F495" s="19" t="s">
        <v>2976</v>
      </c>
      <c r="G495" s="94" t="s">
        <v>4083</v>
      </c>
      <c r="H495" s="19" t="s">
        <v>2976</v>
      </c>
      <c r="I495" s="94" t="s">
        <v>4083</v>
      </c>
      <c r="J495" s="94" t="s">
        <v>4083</v>
      </c>
      <c r="K495" s="95" t="s">
        <v>4083</v>
      </c>
      <c r="L495" s="19" t="s">
        <v>2976</v>
      </c>
    </row>
    <row r="496" spans="1:12">
      <c r="A496" s="61" t="s">
        <v>5763</v>
      </c>
      <c r="B496" s="31" t="s">
        <v>2959</v>
      </c>
      <c r="C496" s="29" t="s">
        <v>2987</v>
      </c>
      <c r="D496" s="19" t="s">
        <v>5764</v>
      </c>
      <c r="E496" s="19" t="s">
        <v>5765</v>
      </c>
      <c r="G496" s="19" t="s">
        <v>2976</v>
      </c>
      <c r="I496" s="94" t="s">
        <v>4083</v>
      </c>
      <c r="J496" s="94" t="s">
        <v>4083</v>
      </c>
      <c r="K496" s="95" t="s">
        <v>4083</v>
      </c>
      <c r="L496" s="19" t="s">
        <v>2976</v>
      </c>
    </row>
    <row r="497" spans="1:12" ht="29.25">
      <c r="A497" s="225" t="s">
        <v>5766</v>
      </c>
      <c r="B497" s="24" t="s">
        <v>3061</v>
      </c>
      <c r="C497" s="24" t="s">
        <v>3062</v>
      </c>
      <c r="D497" s="19" t="s">
        <v>5767</v>
      </c>
      <c r="E497" s="19" t="s">
        <v>5768</v>
      </c>
      <c r="F497" s="19" t="s">
        <v>2976</v>
      </c>
      <c r="G497" s="19" t="s">
        <v>2976</v>
      </c>
      <c r="H497" s="19" t="s">
        <v>2976</v>
      </c>
      <c r="I497" s="19" t="s">
        <v>2976</v>
      </c>
      <c r="J497" s="94" t="s">
        <v>4083</v>
      </c>
      <c r="K497" s="95" t="s">
        <v>4083</v>
      </c>
    </row>
    <row r="498" spans="1:12">
      <c r="A498" s="61" t="s">
        <v>1518</v>
      </c>
      <c r="B498" s="36" t="s">
        <v>3358</v>
      </c>
      <c r="C498" s="36" t="s">
        <v>1957</v>
      </c>
      <c r="D498" s="19" t="s">
        <v>5769</v>
      </c>
      <c r="E498" s="19" t="s">
        <v>5770</v>
      </c>
      <c r="F498" s="19" t="s">
        <v>2976</v>
      </c>
      <c r="G498" s="19" t="s">
        <v>2976</v>
      </c>
      <c r="H498" s="19" t="s">
        <v>2976</v>
      </c>
      <c r="I498" s="94" t="s">
        <v>4083</v>
      </c>
      <c r="J498" s="94" t="s">
        <v>4083</v>
      </c>
      <c r="L498" s="19" t="s">
        <v>2976</v>
      </c>
    </row>
    <row r="499" spans="1:12" ht="29.25">
      <c r="A499" s="164" t="s">
        <v>5771</v>
      </c>
      <c r="B499" s="24" t="s">
        <v>2955</v>
      </c>
      <c r="C499" s="24" t="s">
        <v>2990</v>
      </c>
      <c r="D499" s="12" t="s">
        <v>5772</v>
      </c>
      <c r="E499" s="12" t="s">
        <v>5773</v>
      </c>
      <c r="F499" s="19" t="s">
        <v>2976</v>
      </c>
      <c r="G499" s="94" t="s">
        <v>4083</v>
      </c>
      <c r="H499" s="19" t="s">
        <v>2976</v>
      </c>
      <c r="I499" s="94" t="s">
        <v>4083</v>
      </c>
      <c r="J499" s="94" t="s">
        <v>4083</v>
      </c>
      <c r="K499" s="95" t="s">
        <v>4083</v>
      </c>
      <c r="L499" s="19" t="s">
        <v>2976</v>
      </c>
    </row>
    <row r="500" spans="1:12" ht="29.25">
      <c r="A500" s="225" t="s">
        <v>5774</v>
      </c>
      <c r="B500" s="24" t="s">
        <v>2955</v>
      </c>
      <c r="C500" s="12" t="s">
        <v>2985</v>
      </c>
      <c r="D500" s="12" t="s">
        <v>5775</v>
      </c>
      <c r="E500" s="19" t="s">
        <v>5776</v>
      </c>
      <c r="F500" s="19" t="s">
        <v>2976</v>
      </c>
      <c r="G500" s="94" t="s">
        <v>4083</v>
      </c>
      <c r="H500" s="19" t="s">
        <v>2976</v>
      </c>
      <c r="I500" s="94" t="s">
        <v>4083</v>
      </c>
      <c r="J500" s="94" t="s">
        <v>4083</v>
      </c>
      <c r="K500" s="95" t="s">
        <v>4083</v>
      </c>
      <c r="L500" s="19" t="s">
        <v>2976</v>
      </c>
    </row>
    <row r="501" spans="1:12" ht="29.25">
      <c r="A501" s="225" t="s">
        <v>5777</v>
      </c>
      <c r="B501" s="158" t="s">
        <v>2952</v>
      </c>
      <c r="C501" s="158" t="s">
        <v>2953</v>
      </c>
      <c r="D501" s="19" t="s">
        <v>5778</v>
      </c>
      <c r="E501" s="19" t="s">
        <v>5779</v>
      </c>
      <c r="F501" s="19" t="s">
        <v>2976</v>
      </c>
      <c r="G501" s="19" t="s">
        <v>2976</v>
      </c>
      <c r="H501" s="19" t="s">
        <v>2976</v>
      </c>
      <c r="I501" s="94" t="s">
        <v>4083</v>
      </c>
      <c r="J501" s="19" t="s">
        <v>2976</v>
      </c>
      <c r="K501" s="95" t="s">
        <v>4083</v>
      </c>
      <c r="L501" s="19" t="s">
        <v>2976</v>
      </c>
    </row>
    <row r="502" spans="1:12">
      <c r="A502" s="61" t="s">
        <v>1566</v>
      </c>
      <c r="B502" s="36" t="s">
        <v>5780</v>
      </c>
      <c r="C502" s="36" t="s">
        <v>2357</v>
      </c>
      <c r="D502" s="19" t="s">
        <v>5781</v>
      </c>
      <c r="E502" s="19" t="s">
        <v>5782</v>
      </c>
      <c r="F502" s="19" t="s">
        <v>2976</v>
      </c>
      <c r="G502" s="84" t="s">
        <v>4083</v>
      </c>
      <c r="H502" s="19" t="s">
        <v>2976</v>
      </c>
      <c r="I502" s="19" t="s">
        <v>2976</v>
      </c>
      <c r="J502" s="84" t="s">
        <v>4083</v>
      </c>
      <c r="K502" s="89" t="s">
        <v>4083</v>
      </c>
      <c r="L502" s="84" t="s">
        <v>4083</v>
      </c>
    </row>
    <row r="503" spans="1:12">
      <c r="A503" s="61" t="s">
        <v>108</v>
      </c>
      <c r="B503" s="36" t="s">
        <v>1017</v>
      </c>
      <c r="C503" s="36" t="s">
        <v>1018</v>
      </c>
      <c r="D503" s="19" t="s">
        <v>5783</v>
      </c>
      <c r="E503" s="19" t="s">
        <v>5784</v>
      </c>
      <c r="F503" s="19" t="s">
        <v>2976</v>
      </c>
      <c r="G503" s="94" t="s">
        <v>4083</v>
      </c>
      <c r="I503" s="94" t="s">
        <v>4083</v>
      </c>
      <c r="J503" s="94" t="s">
        <v>4083</v>
      </c>
      <c r="K503" s="94" t="s">
        <v>4083</v>
      </c>
      <c r="L503" s="94" t="s">
        <v>4083</v>
      </c>
    </row>
    <row r="504" spans="1:12">
      <c r="A504" s="61" t="s">
        <v>125</v>
      </c>
      <c r="B504" s="36" t="s">
        <v>341</v>
      </c>
      <c r="C504" s="36" t="s">
        <v>1021</v>
      </c>
      <c r="D504" s="19" t="s">
        <v>5785</v>
      </c>
      <c r="E504" s="19" t="s">
        <v>5786</v>
      </c>
      <c r="F504" s="19" t="s">
        <v>2976</v>
      </c>
      <c r="G504" s="94" t="s">
        <v>4083</v>
      </c>
      <c r="H504" s="94" t="s">
        <v>4083</v>
      </c>
      <c r="I504" s="94" t="s">
        <v>4083</v>
      </c>
      <c r="J504" s="19" t="s">
        <v>2976</v>
      </c>
      <c r="K504" s="264" t="s">
        <v>4083</v>
      </c>
      <c r="L504" s="264" t="s">
        <v>4083</v>
      </c>
    </row>
    <row r="505" spans="1:12">
      <c r="A505" s="19" t="s">
        <v>5787</v>
      </c>
      <c r="B505" s="36" t="s">
        <v>5788</v>
      </c>
      <c r="C505" s="36" t="s">
        <v>1952</v>
      </c>
    </row>
    <row r="506" spans="1:12" ht="29.25">
      <c r="A506" s="11" t="s">
        <v>1762</v>
      </c>
      <c r="B506" s="36" t="s">
        <v>1610</v>
      </c>
      <c r="C506" s="36" t="s">
        <v>1763</v>
      </c>
      <c r="D506" s="270" t="s">
        <v>5789</v>
      </c>
      <c r="E506" s="19" t="s">
        <v>5790</v>
      </c>
      <c r="F506" s="19" t="s">
        <v>2976</v>
      </c>
      <c r="G506" s="94" t="s">
        <v>4083</v>
      </c>
      <c r="H506" s="19" t="s">
        <v>2976</v>
      </c>
      <c r="I506" s="94" t="s">
        <v>4083</v>
      </c>
      <c r="J506" s="87" t="s">
        <v>2976</v>
      </c>
      <c r="K506" s="95" t="s">
        <v>4083</v>
      </c>
      <c r="L506" s="94" t="s">
        <v>4083</v>
      </c>
    </row>
    <row r="507" spans="1:12">
      <c r="A507" s="61" t="s">
        <v>1571</v>
      </c>
      <c r="B507" s="36" t="s">
        <v>1945</v>
      </c>
      <c r="C507" s="36" t="s">
        <v>1946</v>
      </c>
      <c r="D507" s="19" t="s">
        <v>5791</v>
      </c>
      <c r="E507" s="19" t="s">
        <v>5792</v>
      </c>
      <c r="F507" s="19" t="s">
        <v>2976</v>
      </c>
      <c r="G507" s="94" t="s">
        <v>4083</v>
      </c>
      <c r="H507" s="19" t="s">
        <v>2976</v>
      </c>
      <c r="I507" s="94" t="s">
        <v>4083</v>
      </c>
      <c r="J507" s="94" t="s">
        <v>4083</v>
      </c>
      <c r="K507" s="94" t="s">
        <v>4083</v>
      </c>
      <c r="L507" s="94" t="s">
        <v>4083</v>
      </c>
    </row>
    <row r="508" spans="1:12">
      <c r="A508" s="61" t="s">
        <v>354</v>
      </c>
      <c r="B508" s="36" t="s">
        <v>892</v>
      </c>
      <c r="C508" s="36" t="s">
        <v>893</v>
      </c>
      <c r="D508" s="19" t="s">
        <v>5793</v>
      </c>
      <c r="E508" t="s">
        <v>5794</v>
      </c>
      <c r="F508" s="19" t="s">
        <v>2976</v>
      </c>
      <c r="G508" s="94" t="s">
        <v>4083</v>
      </c>
      <c r="H508" s="19" t="s">
        <v>2976</v>
      </c>
      <c r="I508" s="94" t="s">
        <v>4083</v>
      </c>
      <c r="J508" s="94" t="s">
        <v>4083</v>
      </c>
      <c r="K508" s="94" t="s">
        <v>4083</v>
      </c>
      <c r="L508" s="94" t="s">
        <v>4083</v>
      </c>
    </row>
    <row r="509" spans="1:12">
      <c r="A509" s="61" t="s">
        <v>5795</v>
      </c>
      <c r="B509" s="36" t="s">
        <v>3366</v>
      </c>
      <c r="C509" s="36" t="s">
        <v>5796</v>
      </c>
      <c r="D509" s="19" t="s">
        <v>5797</v>
      </c>
      <c r="E509" s="19" t="s">
        <v>5798</v>
      </c>
      <c r="F509" s="19" t="s">
        <v>2976</v>
      </c>
      <c r="G509" s="94" t="s">
        <v>4083</v>
      </c>
      <c r="H509" s="19" t="s">
        <v>2976</v>
      </c>
      <c r="I509" s="94" t="s">
        <v>4083</v>
      </c>
      <c r="J509" s="94" t="s">
        <v>4083</v>
      </c>
      <c r="K509" s="94" t="s">
        <v>4083</v>
      </c>
      <c r="L509" s="94" t="s">
        <v>4083</v>
      </c>
    </row>
    <row r="510" spans="1:12">
      <c r="A510" s="61" t="s">
        <v>1328</v>
      </c>
      <c r="B510" s="36" t="s">
        <v>666</v>
      </c>
      <c r="C510" s="36" t="s">
        <v>1329</v>
      </c>
      <c r="D510" s="19" t="s">
        <v>5799</v>
      </c>
      <c r="E510" s="19" t="s">
        <v>5800</v>
      </c>
      <c r="F510" s="19" t="s">
        <v>2976</v>
      </c>
      <c r="G510" s="94" t="s">
        <v>4083</v>
      </c>
      <c r="H510" s="19" t="s">
        <v>2976</v>
      </c>
      <c r="I510" s="94" t="s">
        <v>4083</v>
      </c>
      <c r="J510" s="94" t="s">
        <v>4083</v>
      </c>
      <c r="K510" s="95" t="s">
        <v>4083</v>
      </c>
      <c r="L510" s="19" t="s">
        <v>2976</v>
      </c>
    </row>
    <row r="511" spans="1:12">
      <c r="A511" s="289" t="s">
        <v>377</v>
      </c>
      <c r="B511" s="36" t="s">
        <v>839</v>
      </c>
      <c r="C511" s="36" t="s">
        <v>840</v>
      </c>
      <c r="D511" s="19" t="s">
        <v>5801</v>
      </c>
      <c r="E511" s="19" t="s">
        <v>5802</v>
      </c>
      <c r="F511" s="19" t="s">
        <v>2976</v>
      </c>
      <c r="G511" s="94" t="s">
        <v>4083</v>
      </c>
      <c r="H511" s="19" t="s">
        <v>2976</v>
      </c>
      <c r="I511" s="94" t="s">
        <v>4083</v>
      </c>
      <c r="J511" s="94" t="s">
        <v>4083</v>
      </c>
      <c r="K511" s="94" t="s">
        <v>4083</v>
      </c>
      <c r="L511" s="94" t="s">
        <v>4083</v>
      </c>
    </row>
    <row r="512" spans="1:12">
      <c r="A512" s="61" t="s">
        <v>1568</v>
      </c>
      <c r="B512" s="36" t="s">
        <v>5803</v>
      </c>
      <c r="C512" s="36" t="s">
        <v>2058</v>
      </c>
      <c r="D512" s="19" t="s">
        <v>5804</v>
      </c>
      <c r="E512" s="19" t="s">
        <v>5805</v>
      </c>
      <c r="F512" s="19" t="s">
        <v>2976</v>
      </c>
      <c r="G512" s="94" t="s">
        <v>4083</v>
      </c>
      <c r="H512" s="19" t="s">
        <v>2976</v>
      </c>
      <c r="I512" s="94" t="s">
        <v>4083</v>
      </c>
      <c r="J512" s="94" t="s">
        <v>4083</v>
      </c>
      <c r="K512" s="94" t="s">
        <v>4083</v>
      </c>
      <c r="L512" s="94" t="s">
        <v>4083</v>
      </c>
    </row>
    <row r="513" spans="1:12">
      <c r="A513" s="61" t="s">
        <v>5806</v>
      </c>
      <c r="B513" s="151" t="s">
        <v>3313</v>
      </c>
      <c r="C513" s="151" t="s">
        <v>4835</v>
      </c>
      <c r="D513" s="19" t="s">
        <v>5807</v>
      </c>
      <c r="E513" s="19" t="s">
        <v>5808</v>
      </c>
      <c r="F513" s="19" t="s">
        <v>2976</v>
      </c>
      <c r="G513" s="84" t="s">
        <v>4083</v>
      </c>
      <c r="H513" s="84" t="s">
        <v>4083</v>
      </c>
      <c r="I513" s="84" t="s">
        <v>4083</v>
      </c>
      <c r="J513" s="84" t="s">
        <v>4083</v>
      </c>
      <c r="K513" s="84" t="s">
        <v>4083</v>
      </c>
      <c r="L513" s="84" t="s">
        <v>4083</v>
      </c>
    </row>
    <row r="514" spans="1:12">
      <c r="A514" s="61" t="s">
        <v>456</v>
      </c>
      <c r="B514" s="57" t="s">
        <v>457</v>
      </c>
      <c r="C514" s="57" t="s">
        <v>458</v>
      </c>
      <c r="D514" s="19" t="s">
        <v>5809</v>
      </c>
      <c r="E514" s="19" t="s">
        <v>5810</v>
      </c>
      <c r="F514" s="19" t="s">
        <v>2976</v>
      </c>
      <c r="G514" s="84" t="s">
        <v>4083</v>
      </c>
      <c r="H514" s="19" t="s">
        <v>2976</v>
      </c>
      <c r="J514" s="84" t="s">
        <v>4083</v>
      </c>
      <c r="K514" s="89" t="s">
        <v>4083</v>
      </c>
      <c r="L514" s="19" t="s">
        <v>2976</v>
      </c>
    </row>
    <row r="515" spans="1:12">
      <c r="A515" s="61" t="s">
        <v>360</v>
      </c>
      <c r="B515" s="36" t="s">
        <v>1000</v>
      </c>
      <c r="C515" s="36" t="s">
        <v>1001</v>
      </c>
      <c r="D515" s="19" t="s">
        <v>5811</v>
      </c>
      <c r="E515" s="19" t="s">
        <v>5812</v>
      </c>
      <c r="G515" s="84" t="s">
        <v>4083</v>
      </c>
      <c r="H515" s="19" t="s">
        <v>2976</v>
      </c>
      <c r="I515" s="84" t="s">
        <v>4083</v>
      </c>
      <c r="J515" s="19" t="s">
        <v>2976</v>
      </c>
      <c r="K515" s="89" t="s">
        <v>4083</v>
      </c>
      <c r="L515" s="19" t="s">
        <v>2976</v>
      </c>
    </row>
    <row r="516" spans="1:12" ht="29.25">
      <c r="A516" s="11" t="s">
        <v>5813</v>
      </c>
      <c r="B516" s="286" t="s">
        <v>5814</v>
      </c>
      <c r="C516" s="270" t="s">
        <v>5815</v>
      </c>
      <c r="D516" s="12" t="s">
        <v>5816</v>
      </c>
      <c r="E516" s="19" t="s">
        <v>5817</v>
      </c>
      <c r="F516" s="19" t="s">
        <v>2976</v>
      </c>
      <c r="G516" s="287" t="s">
        <v>4083</v>
      </c>
      <c r="H516" s="288" t="s">
        <v>4083</v>
      </c>
      <c r="I516" s="288" t="s">
        <v>4083</v>
      </c>
      <c r="J516" s="288" t="s">
        <v>4083</v>
      </c>
      <c r="K516" s="288" t="s">
        <v>4083</v>
      </c>
      <c r="L516" s="288" t="s">
        <v>4083</v>
      </c>
    </row>
    <row r="517" spans="1:12">
      <c r="A517" s="61" t="s">
        <v>5818</v>
      </c>
      <c r="B517" s="4" t="s">
        <v>2653</v>
      </c>
      <c r="C517" s="4" t="s">
        <v>5819</v>
      </c>
      <c r="D517" s="19" t="s">
        <v>5820</v>
      </c>
      <c r="E517" s="19" t="s">
        <v>5821</v>
      </c>
      <c r="F517" s="19" t="s">
        <v>2976</v>
      </c>
      <c r="G517" s="19" t="s">
        <v>2976</v>
      </c>
      <c r="H517" s="19" t="s">
        <v>2976</v>
      </c>
      <c r="I517" s="84" t="s">
        <v>4083</v>
      </c>
      <c r="J517" s="19" t="s">
        <v>2976</v>
      </c>
      <c r="K517" s="89" t="s">
        <v>4083</v>
      </c>
    </row>
    <row r="518" spans="1:12" ht="29.25">
      <c r="A518" s="164" t="s">
        <v>5822</v>
      </c>
      <c r="B518" s="4" t="s">
        <v>2766</v>
      </c>
      <c r="C518" s="4" t="s">
        <v>2767</v>
      </c>
      <c r="D518" s="12" t="s">
        <v>5823</v>
      </c>
      <c r="E518" s="19" t="s">
        <v>5824</v>
      </c>
      <c r="H518" s="19" t="s">
        <v>2976</v>
      </c>
      <c r="I518" s="94" t="s">
        <v>4083</v>
      </c>
      <c r="J518" s="19" t="s">
        <v>2976</v>
      </c>
      <c r="K518" s="94" t="s">
        <v>4083</v>
      </c>
      <c r="L518" s="94" t="s">
        <v>4083</v>
      </c>
    </row>
    <row r="519" spans="1:12">
      <c r="A519" s="289" t="s">
        <v>5825</v>
      </c>
      <c r="B519" s="19" t="s">
        <v>2808</v>
      </c>
      <c r="C519" s="19" t="s">
        <v>2809</v>
      </c>
      <c r="D519" s="19" t="s">
        <v>4916</v>
      </c>
      <c r="E519" s="19" t="s">
        <v>5826</v>
      </c>
      <c r="F519" s="19" t="s">
        <v>2976</v>
      </c>
      <c r="G519" s="84" t="s">
        <v>4083</v>
      </c>
      <c r="I519" s="84" t="s">
        <v>4083</v>
      </c>
      <c r="J519" s="19" t="s">
        <v>2976</v>
      </c>
      <c r="K519" s="89" t="s">
        <v>4083</v>
      </c>
      <c r="L519" s="19" t="s">
        <v>2976</v>
      </c>
    </row>
    <row r="520" spans="1:12">
      <c r="A520" s="61" t="s">
        <v>5827</v>
      </c>
      <c r="B520" s="19" t="s">
        <v>2812</v>
      </c>
      <c r="C520" s="19" t="s">
        <v>2813</v>
      </c>
      <c r="D520" s="19" t="s">
        <v>4894</v>
      </c>
      <c r="E520" s="19" t="s">
        <v>5828</v>
      </c>
      <c r="F520" s="19" t="s">
        <v>2976</v>
      </c>
      <c r="G520" s="84" t="s">
        <v>4083</v>
      </c>
      <c r="I520" s="288" t="s">
        <v>4083</v>
      </c>
      <c r="J520" s="288" t="s">
        <v>4083</v>
      </c>
      <c r="K520" s="288" t="s">
        <v>4083</v>
      </c>
      <c r="L520" s="288" t="s">
        <v>4083</v>
      </c>
    </row>
    <row r="521" spans="1:12">
      <c r="A521" s="61" t="s">
        <v>2684</v>
      </c>
      <c r="B521" s="4" t="s">
        <v>2687</v>
      </c>
      <c r="C521" s="4" t="s">
        <v>2688</v>
      </c>
      <c r="D521" s="19" t="s">
        <v>5829</v>
      </c>
      <c r="E521" s="19" t="s">
        <v>5830</v>
      </c>
      <c r="F521" s="19" t="s">
        <v>2976</v>
      </c>
      <c r="G521" s="19" t="s">
        <v>2976</v>
      </c>
      <c r="H521" s="19" t="s">
        <v>2976</v>
      </c>
      <c r="I521" s="94" t="s">
        <v>4083</v>
      </c>
      <c r="J521" s="19" t="s">
        <v>2976</v>
      </c>
      <c r="K521" s="95" t="s">
        <v>4083</v>
      </c>
      <c r="L521" s="19" t="s">
        <v>2976</v>
      </c>
    </row>
    <row r="522" spans="1:12">
      <c r="A522" s="61" t="s">
        <v>2634</v>
      </c>
      <c r="B522" s="31" t="s">
        <v>2725</v>
      </c>
      <c r="C522" s="29" t="s">
        <v>2733</v>
      </c>
      <c r="D522" s="19" t="s">
        <v>5831</v>
      </c>
      <c r="E522" s="19" t="s">
        <v>5832</v>
      </c>
    </row>
    <row r="523" spans="1:12">
      <c r="A523" s="61" t="s">
        <v>5833</v>
      </c>
      <c r="B523" s="32" t="s">
        <v>2716</v>
      </c>
      <c r="C523" s="32" t="s">
        <v>2717</v>
      </c>
      <c r="D523" s="19" t="s">
        <v>5252</v>
      </c>
      <c r="E523" s="19" t="s">
        <v>5834</v>
      </c>
      <c r="F523" s="19" t="s">
        <v>2976</v>
      </c>
      <c r="G523" s="19" t="s">
        <v>2976</v>
      </c>
      <c r="H523" s="19" t="s">
        <v>2976</v>
      </c>
      <c r="I523" s="84" t="s">
        <v>4083</v>
      </c>
      <c r="J523" s="84" t="s">
        <v>4083</v>
      </c>
      <c r="K523" s="89" t="s">
        <v>4083</v>
      </c>
    </row>
    <row r="524" spans="1:12">
      <c r="A524" s="61" t="s">
        <v>5835</v>
      </c>
      <c r="B524" s="7" t="s">
        <v>2835</v>
      </c>
      <c r="C524" s="4" t="s">
        <v>2836</v>
      </c>
      <c r="D524" s="19" t="s">
        <v>5195</v>
      </c>
      <c r="E524" s="19" t="s">
        <v>5836</v>
      </c>
      <c r="F524" s="19" t="s">
        <v>2976</v>
      </c>
      <c r="G524" s="84" t="s">
        <v>4083</v>
      </c>
      <c r="I524" s="84" t="s">
        <v>4083</v>
      </c>
      <c r="J524" s="84" t="s">
        <v>4083</v>
      </c>
      <c r="K524" s="89" t="s">
        <v>4083</v>
      </c>
      <c r="L524" s="84" t="s">
        <v>4083</v>
      </c>
    </row>
    <row r="525" spans="1:12" ht="29.25">
      <c r="A525" s="11" t="s">
        <v>2064</v>
      </c>
      <c r="B525" s="36" t="s">
        <v>3187</v>
      </c>
      <c r="C525" s="36" t="s">
        <v>2066</v>
      </c>
      <c r="D525" s="270" t="s">
        <v>5837</v>
      </c>
      <c r="E525" s="12" t="s">
        <v>5838</v>
      </c>
      <c r="F525" s="19" t="s">
        <v>2976</v>
      </c>
      <c r="G525" s="84" t="s">
        <v>4083</v>
      </c>
      <c r="I525" s="19" t="s">
        <v>2976</v>
      </c>
      <c r="J525" s="84" t="s">
        <v>4083</v>
      </c>
      <c r="K525" s="89" t="s">
        <v>4083</v>
      </c>
      <c r="L525" s="84" t="s">
        <v>4083</v>
      </c>
    </row>
    <row r="526" spans="1:12">
      <c r="A526" s="61" t="s">
        <v>1960</v>
      </c>
      <c r="B526" s="36" t="s">
        <v>5046</v>
      </c>
      <c r="C526" s="36" t="s">
        <v>1964</v>
      </c>
      <c r="D526" s="19" t="s">
        <v>5839</v>
      </c>
      <c r="E526" s="19" t="s">
        <v>5840</v>
      </c>
      <c r="F526" s="19" t="s">
        <v>2976</v>
      </c>
      <c r="G526" s="94" t="s">
        <v>4083</v>
      </c>
      <c r="H526" s="19" t="s">
        <v>2976</v>
      </c>
      <c r="I526" s="94" t="s">
        <v>4083</v>
      </c>
      <c r="J526" s="102" t="s">
        <v>2976</v>
      </c>
      <c r="K526" s="95" t="s">
        <v>4083</v>
      </c>
    </row>
    <row r="527" spans="1:12">
      <c r="A527" s="61" t="s">
        <v>1635</v>
      </c>
      <c r="B527" s="36" t="s">
        <v>3173</v>
      </c>
      <c r="C527" s="36" t="s">
        <v>2082</v>
      </c>
      <c r="D527" s="19" t="s">
        <v>5841</v>
      </c>
      <c r="E527" s="19" t="s">
        <v>5842</v>
      </c>
      <c r="F527" s="19" t="s">
        <v>2976</v>
      </c>
      <c r="G527" s="84" t="s">
        <v>4083</v>
      </c>
      <c r="H527" s="19" t="s">
        <v>2976</v>
      </c>
      <c r="J527" s="84" t="s">
        <v>4083</v>
      </c>
      <c r="K527" s="89" t="s">
        <v>4083</v>
      </c>
      <c r="L527" s="19" t="s">
        <v>2976</v>
      </c>
    </row>
    <row r="528" spans="1:12">
      <c r="A528" s="164" t="s">
        <v>3023</v>
      </c>
      <c r="B528" s="19" t="s">
        <v>3014</v>
      </c>
      <c r="C528" s="19" t="s">
        <v>3024</v>
      </c>
      <c r="D528" s="19" t="s">
        <v>5843</v>
      </c>
      <c r="E528" s="19" t="s">
        <v>5844</v>
      </c>
      <c r="G528" s="84" t="s">
        <v>4083</v>
      </c>
      <c r="H528" s="19" t="s">
        <v>2976</v>
      </c>
      <c r="I528" s="84" t="s">
        <v>4083</v>
      </c>
      <c r="J528" s="84" t="s">
        <v>4083</v>
      </c>
      <c r="K528" s="89" t="s">
        <v>4083</v>
      </c>
      <c r="L528" s="84" t="s">
        <v>4083</v>
      </c>
    </row>
    <row r="529" spans="1:12">
      <c r="A529" s="252" t="s">
        <v>5845</v>
      </c>
      <c r="B529" s="19" t="s">
        <v>3018</v>
      </c>
      <c r="C529" s="19" t="s">
        <v>5846</v>
      </c>
      <c r="D529" s="19" t="s">
        <v>5847</v>
      </c>
      <c r="E529" s="19" t="s">
        <v>5848</v>
      </c>
      <c r="F529" s="19" t="s">
        <v>2976</v>
      </c>
      <c r="G529" s="19" t="s">
        <v>2976</v>
      </c>
      <c r="I529" s="84" t="s">
        <v>4083</v>
      </c>
      <c r="J529" s="19" t="s">
        <v>2976</v>
      </c>
      <c r="K529" s="89" t="s">
        <v>4083</v>
      </c>
      <c r="L529" s="84" t="s">
        <v>4083</v>
      </c>
    </row>
    <row r="530" spans="1:12">
      <c r="A530" s="61" t="s">
        <v>3054</v>
      </c>
      <c r="B530" s="19" t="s">
        <v>2536</v>
      </c>
      <c r="C530" s="19" t="s">
        <v>3055</v>
      </c>
      <c r="D530" s="19" t="s">
        <v>5849</v>
      </c>
      <c r="E530" s="19" t="s">
        <v>5850</v>
      </c>
      <c r="G530" s="19" t="s">
        <v>2976</v>
      </c>
      <c r="H530" s="19" t="s">
        <v>2976</v>
      </c>
      <c r="I530" s="84" t="s">
        <v>4083</v>
      </c>
      <c r="K530" s="89" t="s">
        <v>4083</v>
      </c>
    </row>
    <row r="531" spans="1:12">
      <c r="A531" s="61" t="s">
        <v>2949</v>
      </c>
      <c r="B531" s="19" t="s">
        <v>2924</v>
      </c>
      <c r="C531" s="19" t="s">
        <v>2950</v>
      </c>
      <c r="D531" s="19" t="s">
        <v>5851</v>
      </c>
      <c r="E531" s="19" t="s">
        <v>5852</v>
      </c>
      <c r="F531" s="19" t="s">
        <v>2976</v>
      </c>
      <c r="G531" s="19" t="s">
        <v>2976</v>
      </c>
      <c r="J531" s="94" t="s">
        <v>4083</v>
      </c>
      <c r="K531" s="95" t="s">
        <v>4083</v>
      </c>
      <c r="L531" s="19" t="s">
        <v>2976</v>
      </c>
    </row>
    <row r="532" spans="1:12">
      <c r="A532" s="61" t="s">
        <v>1799</v>
      </c>
      <c r="B532" s="36" t="s">
        <v>5853</v>
      </c>
      <c r="C532" s="36" t="s">
        <v>1801</v>
      </c>
      <c r="D532" s="19" t="s">
        <v>5854</v>
      </c>
      <c r="E532" s="19" t="s">
        <v>5855</v>
      </c>
      <c r="F532" s="19" t="s">
        <v>2976</v>
      </c>
      <c r="G532" s="94" t="s">
        <v>4083</v>
      </c>
      <c r="H532" s="19" t="s">
        <v>2976</v>
      </c>
      <c r="I532" s="94" t="s">
        <v>4083</v>
      </c>
      <c r="J532" s="94" t="s">
        <v>4083</v>
      </c>
      <c r="K532" s="95" t="s">
        <v>4083</v>
      </c>
      <c r="L532" s="94" t="s">
        <v>4083</v>
      </c>
    </row>
    <row r="533" spans="1:12">
      <c r="A533" s="61" t="s">
        <v>1595</v>
      </c>
      <c r="B533" s="36" t="s">
        <v>2314</v>
      </c>
      <c r="C533" s="36" t="s">
        <v>2237</v>
      </c>
      <c r="D533" s="19" t="s">
        <v>5856</v>
      </c>
      <c r="E533" s="19" t="s">
        <v>5857</v>
      </c>
      <c r="F533" s="19" t="s">
        <v>2976</v>
      </c>
      <c r="H533" s="19" t="s">
        <v>2976</v>
      </c>
      <c r="I533" s="94" t="s">
        <v>4083</v>
      </c>
      <c r="J533" s="102" t="s">
        <v>2976</v>
      </c>
      <c r="K533" s="95" t="s">
        <v>4083</v>
      </c>
      <c r="L533" s="94" t="s">
        <v>4083</v>
      </c>
    </row>
    <row r="534" spans="1:12">
      <c r="A534" s="61" t="s">
        <v>327</v>
      </c>
      <c r="B534" s="36" t="s">
        <v>717</v>
      </c>
      <c r="C534" s="36" t="s">
        <v>858</v>
      </c>
      <c r="D534" s="19" t="s">
        <v>5858</v>
      </c>
      <c r="E534" s="19" t="s">
        <v>5859</v>
      </c>
      <c r="F534" s="19" t="s">
        <v>2976</v>
      </c>
      <c r="G534" s="94" t="s">
        <v>4083</v>
      </c>
      <c r="H534" s="94" t="s">
        <v>4083</v>
      </c>
      <c r="I534" s="94" t="s">
        <v>4083</v>
      </c>
      <c r="J534" s="94" t="s">
        <v>4083</v>
      </c>
      <c r="K534" s="95" t="s">
        <v>4083</v>
      </c>
      <c r="L534" s="19" t="s">
        <v>2976</v>
      </c>
    </row>
    <row r="535" spans="1:12">
      <c r="A535" s="61" t="s">
        <v>390</v>
      </c>
      <c r="B535" s="36" t="s">
        <v>1255</v>
      </c>
      <c r="C535" s="36" t="s">
        <v>1256</v>
      </c>
      <c r="D535" s="19" t="s">
        <v>5860</v>
      </c>
      <c r="E535" s="19" t="s">
        <v>5861</v>
      </c>
      <c r="F535" s="19" t="s">
        <v>2976</v>
      </c>
      <c r="G535" s="94" t="s">
        <v>4083</v>
      </c>
      <c r="H535" s="19" t="s">
        <v>2976</v>
      </c>
      <c r="I535" s="94" t="s">
        <v>4083</v>
      </c>
      <c r="J535" s="94" t="s">
        <v>4083</v>
      </c>
      <c r="K535" s="95" t="s">
        <v>5862</v>
      </c>
      <c r="L535" s="94" t="s">
        <v>4083</v>
      </c>
    </row>
    <row r="536" spans="1:12">
      <c r="A536" s="61" t="s">
        <v>60</v>
      </c>
      <c r="B536" s="36" t="s">
        <v>341</v>
      </c>
      <c r="C536" s="36" t="s">
        <v>1084</v>
      </c>
      <c r="D536" s="19" t="s">
        <v>5863</v>
      </c>
      <c r="E536" s="19" t="s">
        <v>5864</v>
      </c>
      <c r="G536" s="94" t="s">
        <v>4083</v>
      </c>
      <c r="H536" s="94" t="s">
        <v>4083</v>
      </c>
      <c r="I536" s="94" t="s">
        <v>4083</v>
      </c>
      <c r="J536" s="94" t="s">
        <v>4083</v>
      </c>
      <c r="K536" s="95" t="s">
        <v>4083</v>
      </c>
      <c r="L536" s="94" t="s">
        <v>4083</v>
      </c>
    </row>
    <row r="537" spans="1:12">
      <c r="A537" s="61" t="s">
        <v>895</v>
      </c>
      <c r="B537" s="57" t="s">
        <v>1161</v>
      </c>
      <c r="C537" s="57" t="s">
        <v>1162</v>
      </c>
      <c r="D537" s="19" t="s">
        <v>5865</v>
      </c>
      <c r="E537" s="19" t="s">
        <v>5866</v>
      </c>
      <c r="F537" s="19" t="s">
        <v>2976</v>
      </c>
      <c r="G537" s="94" t="s">
        <v>4083</v>
      </c>
      <c r="H537" s="19" t="s">
        <v>2976</v>
      </c>
      <c r="I537" s="94" t="s">
        <v>4083</v>
      </c>
      <c r="J537" s="94" t="s">
        <v>4083</v>
      </c>
      <c r="K537" s="94" t="s">
        <v>4083</v>
      </c>
      <c r="L537" s="94" t="s">
        <v>4083</v>
      </c>
    </row>
    <row r="538" spans="1:12">
      <c r="A538" s="61" t="s">
        <v>999</v>
      </c>
      <c r="B538" s="57" t="s">
        <v>773</v>
      </c>
      <c r="C538" s="57" t="s">
        <v>774</v>
      </c>
      <c r="D538" s="19" t="s">
        <v>5867</v>
      </c>
      <c r="E538" s="19" t="s">
        <v>5868</v>
      </c>
      <c r="F538" s="19" t="s">
        <v>2976</v>
      </c>
      <c r="G538" s="94" t="s">
        <v>4083</v>
      </c>
      <c r="H538" s="19" t="s">
        <v>2976</v>
      </c>
      <c r="I538" s="94" t="s">
        <v>4083</v>
      </c>
      <c r="J538" s="94" t="s">
        <v>4083</v>
      </c>
      <c r="K538" s="94" t="s">
        <v>4083</v>
      </c>
      <c r="L538" s="19" t="s">
        <v>2976</v>
      </c>
    </row>
    <row r="539" spans="1:12">
      <c r="A539" s="61" t="s">
        <v>5869</v>
      </c>
      <c r="B539" s="36" t="s">
        <v>206</v>
      </c>
      <c r="C539" s="36" t="s">
        <v>5870</v>
      </c>
      <c r="D539" s="19" t="s">
        <v>5871</v>
      </c>
      <c r="E539" s="19" t="s">
        <v>5872</v>
      </c>
      <c r="F539" s="19" t="s">
        <v>2976</v>
      </c>
      <c r="G539" s="94" t="s">
        <v>4083</v>
      </c>
      <c r="J539" s="94" t="s">
        <v>4083</v>
      </c>
      <c r="K539" s="95" t="s">
        <v>4083</v>
      </c>
      <c r="L539" s="94" t="s">
        <v>4083</v>
      </c>
    </row>
    <row r="540" spans="1:12">
      <c r="A540" s="61" t="s">
        <v>5873</v>
      </c>
      <c r="B540" s="19" t="s">
        <v>2921</v>
      </c>
      <c r="C540" s="19" t="s">
        <v>5874</v>
      </c>
      <c r="D540" s="19" t="s">
        <v>5875</v>
      </c>
      <c r="E540" s="19" t="s">
        <v>5876</v>
      </c>
      <c r="F540" s="19" t="s">
        <v>2976</v>
      </c>
      <c r="G540" s="94" t="s">
        <v>4083</v>
      </c>
      <c r="H540" s="19" t="s">
        <v>2976</v>
      </c>
      <c r="I540" s="94" t="s">
        <v>4083</v>
      </c>
      <c r="J540" s="94" t="s">
        <v>4083</v>
      </c>
      <c r="K540" s="95" t="s">
        <v>4083</v>
      </c>
      <c r="L540" s="19" t="s">
        <v>2976</v>
      </c>
    </row>
    <row r="541" spans="1:12">
      <c r="A541" s="61" t="s">
        <v>5877</v>
      </c>
      <c r="B541" s="19" t="s">
        <v>2955</v>
      </c>
      <c r="C541" s="19" t="s">
        <v>5878</v>
      </c>
      <c r="D541" s="19" t="s">
        <v>5879</v>
      </c>
      <c r="E541" s="19" t="s">
        <v>5880</v>
      </c>
      <c r="F541" s="19" t="s">
        <v>2976</v>
      </c>
      <c r="G541" s="94" t="s">
        <v>4083</v>
      </c>
      <c r="H541" s="19" t="s">
        <v>2976</v>
      </c>
      <c r="I541" s="94" t="s">
        <v>4083</v>
      </c>
      <c r="J541" s="94" t="s">
        <v>4083</v>
      </c>
      <c r="K541" s="95" t="s">
        <v>4083</v>
      </c>
      <c r="L541" s="19" t="s">
        <v>2976</v>
      </c>
    </row>
    <row r="542" spans="1:12" ht="29.25">
      <c r="A542" s="164" t="s">
        <v>5881</v>
      </c>
      <c r="B542" s="19" t="s">
        <v>2955</v>
      </c>
      <c r="C542" s="19" t="s">
        <v>5882</v>
      </c>
      <c r="D542" s="19" t="s">
        <v>5883</v>
      </c>
      <c r="E542" s="19" t="s">
        <v>5884</v>
      </c>
      <c r="F542" s="19" t="s">
        <v>2976</v>
      </c>
      <c r="G542" s="94" t="s">
        <v>4083</v>
      </c>
      <c r="H542" s="19" t="s">
        <v>2976</v>
      </c>
      <c r="I542" s="94" t="s">
        <v>4083</v>
      </c>
      <c r="J542" s="94" t="s">
        <v>4083</v>
      </c>
      <c r="K542" s="95" t="s">
        <v>4083</v>
      </c>
      <c r="L542" s="19" t="s">
        <v>2976</v>
      </c>
    </row>
    <row r="543" spans="1:12" ht="29.25">
      <c r="A543" s="164" t="s">
        <v>5885</v>
      </c>
      <c r="B543" s="19" t="s">
        <v>2955</v>
      </c>
      <c r="C543" s="19" t="s">
        <v>5886</v>
      </c>
      <c r="D543" s="19" t="s">
        <v>5887</v>
      </c>
      <c r="E543" s="19" t="s">
        <v>5888</v>
      </c>
      <c r="F543" s="19" t="s">
        <v>2976</v>
      </c>
      <c r="G543" s="94" t="s">
        <v>4083</v>
      </c>
      <c r="H543" s="19" t="s">
        <v>2976</v>
      </c>
      <c r="I543" s="94" t="s">
        <v>4083</v>
      </c>
      <c r="J543" s="94" t="s">
        <v>4083</v>
      </c>
      <c r="K543" s="95" t="s">
        <v>4083</v>
      </c>
      <c r="L543" s="19" t="s">
        <v>2976</v>
      </c>
    </row>
    <row r="544" spans="1:12" ht="29.25">
      <c r="A544" s="164" t="s">
        <v>5889</v>
      </c>
      <c r="B544" s="19" t="s">
        <v>2795</v>
      </c>
      <c r="C544" s="19" t="s">
        <v>2992</v>
      </c>
      <c r="D544" s="19" t="s">
        <v>5890</v>
      </c>
      <c r="E544" s="19" t="s">
        <v>5891</v>
      </c>
      <c r="F544" s="19" t="s">
        <v>2976</v>
      </c>
      <c r="G544" s="94" t="s">
        <v>4083</v>
      </c>
      <c r="H544" s="19" t="s">
        <v>2976</v>
      </c>
      <c r="I544" s="94" t="s">
        <v>4083</v>
      </c>
      <c r="J544" s="94" t="s">
        <v>4083</v>
      </c>
      <c r="K544" s="95" t="s">
        <v>4083</v>
      </c>
      <c r="L544" s="94" t="s">
        <v>5862</v>
      </c>
    </row>
    <row r="545" spans="1:12" ht="29.25">
      <c r="A545" s="164" t="s">
        <v>5892</v>
      </c>
      <c r="B545" s="29" t="s">
        <v>2632</v>
      </c>
      <c r="C545" s="29" t="s">
        <v>2633</v>
      </c>
      <c r="D545" s="19" t="s">
        <v>5893</v>
      </c>
      <c r="E545" s="19" t="s">
        <v>5894</v>
      </c>
      <c r="F545" s="19" t="s">
        <v>2976</v>
      </c>
      <c r="H545" s="19" t="s">
        <v>2976</v>
      </c>
      <c r="I545" s="84" t="s">
        <v>4083</v>
      </c>
      <c r="K545" s="89" t="s">
        <v>4083</v>
      </c>
      <c r="L545" s="19" t="s">
        <v>2976</v>
      </c>
    </row>
    <row r="546" spans="1:12">
      <c r="A546" s="164" t="s">
        <v>5895</v>
      </c>
      <c r="B546" s="57" t="s">
        <v>5896</v>
      </c>
      <c r="C546" s="57" t="s">
        <v>5897</v>
      </c>
      <c r="D546" s="19" t="s">
        <v>5898</v>
      </c>
      <c r="E546" s="19" t="s">
        <v>5899</v>
      </c>
      <c r="F546" s="19" t="s">
        <v>2976</v>
      </c>
      <c r="G546" s="94" t="s">
        <v>4083</v>
      </c>
      <c r="H546" s="94" t="s">
        <v>4083</v>
      </c>
      <c r="I546" s="94" t="s">
        <v>4083</v>
      </c>
      <c r="J546" s="19" t="s">
        <v>2976</v>
      </c>
      <c r="K546" s="95" t="s">
        <v>4083</v>
      </c>
      <c r="L546" s="94" t="s">
        <v>4083</v>
      </c>
    </row>
    <row r="547" spans="1:12">
      <c r="A547" s="164" t="s">
        <v>5900</v>
      </c>
      <c r="B547" s="57" t="s">
        <v>487</v>
      </c>
      <c r="C547" s="57" t="s">
        <v>488</v>
      </c>
      <c r="D547" s="19" t="s">
        <v>4935</v>
      </c>
      <c r="E547" s="19" t="s">
        <v>5901</v>
      </c>
      <c r="F547" s="19" t="s">
        <v>2976</v>
      </c>
      <c r="G547" s="94" t="s">
        <v>4083</v>
      </c>
      <c r="H547" s="19" t="s">
        <v>2976</v>
      </c>
      <c r="J547" s="94" t="s">
        <v>4083</v>
      </c>
      <c r="K547" s="95" t="s">
        <v>4083</v>
      </c>
      <c r="L547" s="94" t="s">
        <v>4083</v>
      </c>
    </row>
    <row r="548" spans="1:12">
      <c r="A548" s="164" t="s">
        <v>5902</v>
      </c>
      <c r="B548" s="57" t="s">
        <v>954</v>
      </c>
      <c r="C548" s="57" t="s">
        <v>955</v>
      </c>
      <c r="D548" s="19" t="s">
        <v>5903</v>
      </c>
      <c r="E548" s="19" t="s">
        <v>5904</v>
      </c>
      <c r="F548" s="19" t="s">
        <v>2976</v>
      </c>
      <c r="G548" s="94" t="s">
        <v>4083</v>
      </c>
      <c r="H548" s="19" t="s">
        <v>2976</v>
      </c>
      <c r="I548" s="94" t="s">
        <v>4083</v>
      </c>
      <c r="J548" s="94" t="s">
        <v>4083</v>
      </c>
      <c r="K548" s="95" t="s">
        <v>4083</v>
      </c>
      <c r="L548" s="94" t="s">
        <v>4083</v>
      </c>
    </row>
    <row r="549" spans="1:12">
      <c r="A549" s="61" t="s">
        <v>5905</v>
      </c>
      <c r="B549" s="57" t="s">
        <v>925</v>
      </c>
      <c r="C549" s="57" t="s">
        <v>940</v>
      </c>
      <c r="D549" s="19" t="s">
        <v>5205</v>
      </c>
      <c r="E549" s="19" t="s">
        <v>5906</v>
      </c>
      <c r="F549" s="19" t="s">
        <v>2976</v>
      </c>
      <c r="G549" s="94" t="s">
        <v>4083</v>
      </c>
      <c r="H549" s="94" t="s">
        <v>4083</v>
      </c>
      <c r="I549" s="94" t="s">
        <v>4083</v>
      </c>
      <c r="J549" s="94" t="s">
        <v>4083</v>
      </c>
      <c r="K549" s="94" t="s">
        <v>4083</v>
      </c>
      <c r="L549" s="94" t="s">
        <v>4083</v>
      </c>
    </row>
    <row r="550" spans="1:12" ht="29.25">
      <c r="A550" s="225" t="s">
        <v>5907</v>
      </c>
      <c r="B550" s="12" t="s">
        <v>3018</v>
      </c>
      <c r="C550" s="12" t="s">
        <v>3039</v>
      </c>
      <c r="D550" s="19" t="s">
        <v>5908</v>
      </c>
      <c r="E550" s="19" t="s">
        <v>5909</v>
      </c>
      <c r="F550" s="19" t="s">
        <v>2976</v>
      </c>
      <c r="G550" s="19" t="s">
        <v>2976</v>
      </c>
      <c r="H550" s="19" t="s">
        <v>2976</v>
      </c>
      <c r="I550" s="94" t="s">
        <v>4083</v>
      </c>
      <c r="J550" s="102" t="s">
        <v>2976</v>
      </c>
      <c r="K550" s="95" t="s">
        <v>4083</v>
      </c>
      <c r="L550" s="94" t="s">
        <v>4083</v>
      </c>
    </row>
    <row r="551" spans="1:12">
      <c r="A551" s="61" t="s">
        <v>41</v>
      </c>
      <c r="B551" s="36" t="s">
        <v>1239</v>
      </c>
      <c r="C551" s="36" t="s">
        <v>1240</v>
      </c>
      <c r="D551" s="19" t="s">
        <v>5910</v>
      </c>
      <c r="E551" s="19" t="s">
        <v>5911</v>
      </c>
      <c r="F551" s="19" t="s">
        <v>2976</v>
      </c>
      <c r="H551" s="19" t="s">
        <v>2976</v>
      </c>
    </row>
    <row r="552" spans="1:12">
      <c r="A552" s="61" t="s">
        <v>1831</v>
      </c>
      <c r="B552" s="36" t="s">
        <v>5080</v>
      </c>
      <c r="C552" s="36" t="s">
        <v>1832</v>
      </c>
      <c r="D552" s="19" t="s">
        <v>5912</v>
      </c>
      <c r="E552" s="19" t="s">
        <v>5913</v>
      </c>
      <c r="F552" s="19" t="s">
        <v>2976</v>
      </c>
      <c r="G552" s="19" t="s">
        <v>2976</v>
      </c>
      <c r="H552" s="19" t="s">
        <v>2976</v>
      </c>
    </row>
    <row r="553" spans="1:12">
      <c r="A553" s="61" t="s">
        <v>1653</v>
      </c>
      <c r="B553" s="36" t="s">
        <v>2289</v>
      </c>
      <c r="C553" s="36" t="s">
        <v>2239</v>
      </c>
      <c r="D553" s="19" t="s">
        <v>5914</v>
      </c>
      <c r="E553" s="19" t="s">
        <v>5915</v>
      </c>
      <c r="F553" s="19" t="s">
        <v>2976</v>
      </c>
      <c r="G553" s="94" t="s">
        <v>4083</v>
      </c>
      <c r="H553" s="19" t="s">
        <v>2976</v>
      </c>
      <c r="J553" s="94" t="s">
        <v>4083</v>
      </c>
      <c r="K553" s="95" t="s">
        <v>4083</v>
      </c>
      <c r="L553" s="94" t="s">
        <v>4083</v>
      </c>
    </row>
    <row r="554" spans="1:12">
      <c r="A554" s="61" t="s">
        <v>5916</v>
      </c>
      <c r="B554" s="36" t="s">
        <v>3210</v>
      </c>
      <c r="C554" s="36" t="s">
        <v>5917</v>
      </c>
      <c r="D554" s="19" t="s">
        <v>5918</v>
      </c>
      <c r="E554" s="19" t="s">
        <v>5919</v>
      </c>
      <c r="F554" s="19" t="s">
        <v>2976</v>
      </c>
      <c r="G554" s="19" t="s">
        <v>2976</v>
      </c>
      <c r="I554" s="94" t="s">
        <v>4083</v>
      </c>
      <c r="K554" s="95" t="s">
        <v>4083</v>
      </c>
    </row>
    <row r="555" spans="1:12">
      <c r="A555" s="61" t="s">
        <v>1564</v>
      </c>
      <c r="B555" s="36" t="s">
        <v>5920</v>
      </c>
      <c r="C555" s="36" t="s">
        <v>2277</v>
      </c>
      <c r="D555" s="19" t="s">
        <v>5921</v>
      </c>
      <c r="E555" s="19" t="s">
        <v>5922</v>
      </c>
      <c r="F555" s="19" t="s">
        <v>2976</v>
      </c>
      <c r="H555" s="19" t="s">
        <v>2976</v>
      </c>
      <c r="J555" s="19" t="s">
        <v>2976</v>
      </c>
    </row>
    <row r="556" spans="1:12">
      <c r="A556" s="61" t="s">
        <v>3036</v>
      </c>
      <c r="B556" s="19" t="s">
        <v>2940</v>
      </c>
      <c r="C556" s="19" t="s">
        <v>5923</v>
      </c>
      <c r="D556" s="19" t="s">
        <v>5924</v>
      </c>
      <c r="E556" s="19" t="s">
        <v>5925</v>
      </c>
      <c r="F556" s="19" t="s">
        <v>2976</v>
      </c>
      <c r="G556" s="19" t="s">
        <v>2976</v>
      </c>
      <c r="J556" s="19" t="s">
        <v>2976</v>
      </c>
      <c r="L556" s="19" t="s">
        <v>2976</v>
      </c>
    </row>
    <row r="557" spans="1:12">
      <c r="A557" s="61" t="s">
        <v>5926</v>
      </c>
      <c r="B557" s="29" t="s">
        <v>2610</v>
      </c>
      <c r="C557" s="29" t="s">
        <v>5927</v>
      </c>
      <c r="D557" s="99" t="s">
        <v>5928</v>
      </c>
      <c r="E557" s="19" t="s">
        <v>5929</v>
      </c>
      <c r="F557" s="19" t="s">
        <v>2976</v>
      </c>
      <c r="G557" s="19" t="s">
        <v>2976</v>
      </c>
      <c r="H557" s="19" t="s">
        <v>2976</v>
      </c>
      <c r="J557" s="19" t="s">
        <v>2976</v>
      </c>
    </row>
    <row r="558" spans="1:12">
      <c r="A558" s="61" t="s">
        <v>2731</v>
      </c>
      <c r="B558" s="29" t="s">
        <v>2687</v>
      </c>
      <c r="C558" s="29" t="s">
        <v>2755</v>
      </c>
      <c r="D558" s="19" t="s">
        <v>5930</v>
      </c>
      <c r="E558" s="19" t="s">
        <v>5931</v>
      </c>
      <c r="F558" s="19" t="s">
        <v>2976</v>
      </c>
      <c r="G558" s="19" t="s">
        <v>2976</v>
      </c>
      <c r="H558" s="19" t="s">
        <v>2976</v>
      </c>
    </row>
    <row r="559" spans="1:12">
      <c r="A559" s="61" t="s">
        <v>2660</v>
      </c>
      <c r="B559" s="29" t="s">
        <v>2661</v>
      </c>
      <c r="C559" s="29" t="s">
        <v>2662</v>
      </c>
      <c r="D559" s="19" t="s">
        <v>5932</v>
      </c>
      <c r="E559" s="19" t="s">
        <v>5933</v>
      </c>
      <c r="F559" s="19" t="s">
        <v>2976</v>
      </c>
      <c r="H559" s="19" t="s">
        <v>2976</v>
      </c>
      <c r="J559" s="19" t="s">
        <v>2976</v>
      </c>
      <c r="L559" s="19" t="s">
        <v>2976</v>
      </c>
    </row>
    <row r="560" spans="1:12">
      <c r="A560" s="61" t="s">
        <v>2710</v>
      </c>
      <c r="B560" s="4" t="s">
        <v>2610</v>
      </c>
      <c r="C560" s="4" t="s">
        <v>2839</v>
      </c>
      <c r="D560" s="19" t="s">
        <v>5934</v>
      </c>
      <c r="E560" s="19" t="s">
        <v>5935</v>
      </c>
      <c r="F560" s="19" t="s">
        <v>2976</v>
      </c>
      <c r="G560" s="19" t="s">
        <v>2976</v>
      </c>
      <c r="H560" s="19" t="s">
        <v>2976</v>
      </c>
      <c r="J560" s="19" t="s">
        <v>2976</v>
      </c>
      <c r="L560" s="19" t="s">
        <v>2976</v>
      </c>
    </row>
    <row r="561" spans="1:12">
      <c r="A561" s="61" t="s">
        <v>1697</v>
      </c>
      <c r="B561" s="36" t="s">
        <v>5936</v>
      </c>
      <c r="C561" s="36" t="s">
        <v>2094</v>
      </c>
      <c r="D561" s="19" t="s">
        <v>5937</v>
      </c>
      <c r="E561" s="19" t="s">
        <v>5938</v>
      </c>
      <c r="H561" s="19" t="s">
        <v>2976</v>
      </c>
      <c r="L561" s="19" t="s">
        <v>2976</v>
      </c>
    </row>
    <row r="562" spans="1:12">
      <c r="A562" s="61" t="s">
        <v>5939</v>
      </c>
      <c r="B562" s="36" t="s">
        <v>3307</v>
      </c>
      <c r="C562" s="36" t="s">
        <v>5940</v>
      </c>
      <c r="D562" s="19" t="s">
        <v>5941</v>
      </c>
      <c r="E562" s="19" t="s">
        <v>5942</v>
      </c>
      <c r="F562" s="19" t="s">
        <v>2976</v>
      </c>
      <c r="H562" s="19" t="s">
        <v>2976</v>
      </c>
      <c r="I562" s="19" t="s">
        <v>2976</v>
      </c>
    </row>
    <row r="563" spans="1:12">
      <c r="A563" s="61" t="s">
        <v>1809</v>
      </c>
      <c r="B563" s="36" t="s">
        <v>2316</v>
      </c>
      <c r="C563" s="36" t="s">
        <v>1810</v>
      </c>
      <c r="D563" s="19" t="s">
        <v>5943</v>
      </c>
      <c r="E563" s="19" t="s">
        <v>5944</v>
      </c>
      <c r="F563" s="19" t="s">
        <v>2976</v>
      </c>
      <c r="H563" s="19" t="s">
        <v>2976</v>
      </c>
    </row>
    <row r="564" spans="1:12">
      <c r="A564" s="61" t="s">
        <v>1607</v>
      </c>
      <c r="B564" s="36" t="s">
        <v>4959</v>
      </c>
      <c r="C564" s="36" t="s">
        <v>2104</v>
      </c>
      <c r="D564" s="19" t="s">
        <v>5945</v>
      </c>
      <c r="E564" s="19" t="s">
        <v>5946</v>
      </c>
      <c r="F564" s="19" t="s">
        <v>2976</v>
      </c>
      <c r="H564" s="19" t="s">
        <v>2976</v>
      </c>
      <c r="L564" s="19" t="s">
        <v>2976</v>
      </c>
    </row>
    <row r="565" spans="1:12">
      <c r="A565" s="61" t="s">
        <v>5947</v>
      </c>
      <c r="B565" s="57" t="s">
        <v>3247</v>
      </c>
      <c r="C565" s="57" t="s">
        <v>5948</v>
      </c>
      <c r="D565" s="19" t="s">
        <v>5949</v>
      </c>
      <c r="E565" s="19" t="s">
        <v>5950</v>
      </c>
      <c r="L565" s="19" t="s">
        <v>2976</v>
      </c>
    </row>
    <row r="566" spans="1:12">
      <c r="A566" s="61" t="s">
        <v>5951</v>
      </c>
      <c r="B566" s="57" t="s">
        <v>1295</v>
      </c>
      <c r="C566" s="57" t="s">
        <v>5952</v>
      </c>
      <c r="D566" s="19" t="s">
        <v>5953</v>
      </c>
      <c r="E566" s="19" t="s">
        <v>5954</v>
      </c>
      <c r="F566" s="19" t="s">
        <v>2976</v>
      </c>
      <c r="H566" s="19" t="s">
        <v>2976</v>
      </c>
    </row>
    <row r="567" spans="1:12">
      <c r="A567" s="61" t="s">
        <v>5955</v>
      </c>
      <c r="B567" s="36" t="s">
        <v>5956</v>
      </c>
      <c r="C567" s="36" t="s">
        <v>5957</v>
      </c>
      <c r="D567" s="19" t="s">
        <v>5958</v>
      </c>
      <c r="E567" s="19" t="s">
        <v>5959</v>
      </c>
      <c r="H567" s="19" t="s">
        <v>2976</v>
      </c>
      <c r="J567" s="19" t="s">
        <v>2976</v>
      </c>
      <c r="L567" s="19" t="s">
        <v>2976</v>
      </c>
    </row>
    <row r="568" spans="1:12">
      <c r="A568" s="61" t="s">
        <v>494</v>
      </c>
      <c r="B568" s="36" t="s">
        <v>994</v>
      </c>
      <c r="C568" s="36" t="s">
        <v>995</v>
      </c>
      <c r="D568" s="19" t="s">
        <v>5960</v>
      </c>
      <c r="E568" s="19" t="s">
        <v>5961</v>
      </c>
      <c r="F568" s="19" t="s">
        <v>2976</v>
      </c>
      <c r="L568" s="19" t="s">
        <v>2976</v>
      </c>
    </row>
    <row r="569" spans="1:12">
      <c r="A569" s="11" t="s">
        <v>5962</v>
      </c>
      <c r="B569" s="57" t="s">
        <v>785</v>
      </c>
      <c r="C569" s="57" t="s">
        <v>786</v>
      </c>
      <c r="D569" s="19" t="s">
        <v>5963</v>
      </c>
      <c r="E569" s="19" t="s">
        <v>5964</v>
      </c>
      <c r="F569" s="19" t="s">
        <v>2976</v>
      </c>
    </row>
    <row r="570" spans="1:12">
      <c r="A570" s="61" t="s">
        <v>5965</v>
      </c>
      <c r="B570" s="125" t="s">
        <v>2924</v>
      </c>
      <c r="C570" s="294" t="s">
        <v>3087</v>
      </c>
      <c r="D570" s="19" t="s">
        <v>5966</v>
      </c>
      <c r="E570" s="19" t="s">
        <v>5967</v>
      </c>
      <c r="F570" s="19" t="s">
        <v>2976</v>
      </c>
      <c r="G570" s="19" t="s">
        <v>2976</v>
      </c>
      <c r="J570" s="19" t="s">
        <v>2976</v>
      </c>
      <c r="L570" s="19" t="s">
        <v>2976</v>
      </c>
    </row>
    <row r="571" spans="1:12">
      <c r="A571" s="61" t="s">
        <v>3017</v>
      </c>
      <c r="B571" s="19" t="s">
        <v>3018</v>
      </c>
      <c r="C571" s="19" t="s">
        <v>3019</v>
      </c>
      <c r="D571" s="19" t="s">
        <v>5968</v>
      </c>
      <c r="E571" s="19" t="s">
        <v>5969</v>
      </c>
      <c r="F571" s="19" t="s">
        <v>2976</v>
      </c>
      <c r="G571" s="19" t="s">
        <v>2976</v>
      </c>
      <c r="H571" s="19" t="s">
        <v>2976</v>
      </c>
      <c r="J571" s="19" t="s">
        <v>2976</v>
      </c>
    </row>
    <row r="572" spans="1:12">
      <c r="A572" s="61" t="s">
        <v>1030</v>
      </c>
      <c r="B572" s="57" t="s">
        <v>1201</v>
      </c>
      <c r="C572" s="57" t="s">
        <v>1202</v>
      </c>
      <c r="D572" s="19" t="s">
        <v>5970</v>
      </c>
      <c r="E572" s="19" t="s">
        <v>5971</v>
      </c>
      <c r="F572" s="19" t="s">
        <v>2976</v>
      </c>
    </row>
    <row r="573" spans="1:12">
      <c r="A573" s="61" t="s">
        <v>503</v>
      </c>
      <c r="B573" s="36" t="s">
        <v>737</v>
      </c>
      <c r="C573" s="36" t="s">
        <v>738</v>
      </c>
      <c r="D573" s="19" t="s">
        <v>5972</v>
      </c>
      <c r="E573" s="19" t="s">
        <v>5973</v>
      </c>
      <c r="G573" s="94" t="s">
        <v>4083</v>
      </c>
      <c r="H573" s="19" t="s">
        <v>2976</v>
      </c>
      <c r="I573" s="94" t="s">
        <v>4083</v>
      </c>
      <c r="K573" s="95" t="s">
        <v>4083</v>
      </c>
      <c r="L573" s="19" t="s">
        <v>2976</v>
      </c>
    </row>
    <row r="574" spans="1:12">
      <c r="A574" s="61" t="s">
        <v>644</v>
      </c>
      <c r="B574" s="57" t="s">
        <v>641</v>
      </c>
      <c r="C574" s="57" t="s">
        <v>645</v>
      </c>
      <c r="D574" s="19" t="s">
        <v>5974</v>
      </c>
      <c r="E574" s="19" t="s">
        <v>5975</v>
      </c>
      <c r="F574" s="19" t="s">
        <v>2976</v>
      </c>
      <c r="K574" s="55" t="s">
        <v>2976</v>
      </c>
      <c r="L574" s="19" t="s">
        <v>2976</v>
      </c>
    </row>
    <row r="575" spans="1:12">
      <c r="A575" s="61" t="s">
        <v>5976</v>
      </c>
      <c r="B575" s="29" t="s">
        <v>2610</v>
      </c>
      <c r="C575" s="29" t="s">
        <v>5977</v>
      </c>
      <c r="D575" s="19" t="s">
        <v>5978</v>
      </c>
      <c r="E575" s="19" t="s">
        <v>5979</v>
      </c>
      <c r="F575" s="19" t="s">
        <v>2976</v>
      </c>
      <c r="H575" s="19" t="s">
        <v>2976</v>
      </c>
      <c r="L575" s="19" t="s">
        <v>2976</v>
      </c>
    </row>
    <row r="576" spans="1:12">
      <c r="A576" s="19" t="s">
        <v>5980</v>
      </c>
    </row>
    <row r="577" spans="1:12">
      <c r="A577" s="61" t="s">
        <v>2727</v>
      </c>
      <c r="B577" s="29" t="s">
        <v>2610</v>
      </c>
      <c r="C577" s="29" t="s">
        <v>2758</v>
      </c>
      <c r="D577" s="19" t="s">
        <v>5981</v>
      </c>
      <c r="E577" s="19" t="s">
        <v>5982</v>
      </c>
      <c r="F577" s="19" t="s">
        <v>2976</v>
      </c>
      <c r="H577" s="19" t="s">
        <v>2976</v>
      </c>
      <c r="I577" s="94" t="s">
        <v>4083</v>
      </c>
      <c r="J577" s="94" t="s">
        <v>4083</v>
      </c>
      <c r="K577" s="95" t="s">
        <v>4083</v>
      </c>
      <c r="L577" s="19" t="s">
        <v>2976</v>
      </c>
    </row>
    <row r="578" spans="1:12">
      <c r="A578" s="61" t="s">
        <v>2708</v>
      </c>
      <c r="B578" s="19" t="s">
        <v>2687</v>
      </c>
      <c r="C578" s="296" t="s">
        <v>5983</v>
      </c>
      <c r="D578" s="19" t="s">
        <v>5984</v>
      </c>
      <c r="E578" s="19" t="s">
        <v>5985</v>
      </c>
      <c r="F578" s="19" t="s">
        <v>2976</v>
      </c>
      <c r="G578" s="102" t="s">
        <v>2976</v>
      </c>
      <c r="H578" s="19" t="s">
        <v>2976</v>
      </c>
      <c r="I578" s="94" t="s">
        <v>4083</v>
      </c>
      <c r="K578" s="95" t="s">
        <v>4083</v>
      </c>
    </row>
    <row r="579" spans="1:12">
      <c r="A579" s="61" t="s">
        <v>5986</v>
      </c>
      <c r="B579" s="36" t="s">
        <v>1251</v>
      </c>
      <c r="C579" s="36" t="s">
        <v>1252</v>
      </c>
      <c r="D579" s="19" t="s">
        <v>5638</v>
      </c>
      <c r="E579" s="19" t="s">
        <v>5987</v>
      </c>
      <c r="L579" s="19" t="s">
        <v>2976</v>
      </c>
    </row>
    <row r="580" spans="1:12" ht="29.25">
      <c r="A580" s="164" t="s">
        <v>5988</v>
      </c>
      <c r="B580" s="12" t="s">
        <v>3042</v>
      </c>
      <c r="C580" s="12" t="s">
        <v>3043</v>
      </c>
      <c r="D580" s="19" t="s">
        <v>5989</v>
      </c>
      <c r="E580" s="19" t="s">
        <v>5990</v>
      </c>
      <c r="F580" s="19" t="s">
        <v>2976</v>
      </c>
      <c r="G580" s="94" t="s">
        <v>4083</v>
      </c>
      <c r="I580" s="94" t="s">
        <v>4083</v>
      </c>
      <c r="J580" s="94" t="s">
        <v>4083</v>
      </c>
      <c r="K580" s="95" t="s">
        <v>4083</v>
      </c>
      <c r="L580" s="94" t="s">
        <v>4083</v>
      </c>
    </row>
    <row r="581" spans="1:12">
      <c r="A581" s="61" t="s">
        <v>2122</v>
      </c>
      <c r="B581" s="36" t="s">
        <v>5392</v>
      </c>
      <c r="C581" s="36" t="s">
        <v>2125</v>
      </c>
      <c r="D581" s="19" t="s">
        <v>5991</v>
      </c>
      <c r="E581" s="19" t="s">
        <v>5992</v>
      </c>
      <c r="F581" s="19" t="s">
        <v>2976</v>
      </c>
      <c r="G581" s="94" t="s">
        <v>4083</v>
      </c>
      <c r="H581" s="19" t="s">
        <v>2976</v>
      </c>
      <c r="J581" s="94" t="s">
        <v>4083</v>
      </c>
      <c r="K581" s="95" t="s">
        <v>4083</v>
      </c>
      <c r="L581" s="94" t="s">
        <v>4083</v>
      </c>
    </row>
    <row r="582" spans="1:12">
      <c r="A582" s="61" t="s">
        <v>5993</v>
      </c>
      <c r="B582" s="19" t="s">
        <v>2924</v>
      </c>
      <c r="C582" s="19" t="s">
        <v>3046</v>
      </c>
      <c r="D582" s="19" t="s">
        <v>5994</v>
      </c>
      <c r="E582" s="19" t="s">
        <v>5995</v>
      </c>
      <c r="F582" s="19" t="s">
        <v>2976</v>
      </c>
      <c r="G582" s="94" t="s">
        <v>4083</v>
      </c>
      <c r="H582" s="19" t="s">
        <v>2976</v>
      </c>
      <c r="I582" s="19" t="s">
        <v>2976</v>
      </c>
      <c r="J582" s="94" t="s">
        <v>4083</v>
      </c>
      <c r="K582" s="95" t="s">
        <v>4083</v>
      </c>
      <c r="L582" s="19" t="s">
        <v>2976</v>
      </c>
    </row>
    <row r="583" spans="1:12">
      <c r="A583" s="61" t="s">
        <v>1714</v>
      </c>
      <c r="B583" s="36" t="s">
        <v>2242</v>
      </c>
      <c r="C583" s="36" t="s">
        <v>2241</v>
      </c>
      <c r="D583" s="19" t="s">
        <v>5996</v>
      </c>
      <c r="E583" s="19" t="s">
        <v>5997</v>
      </c>
      <c r="F583" s="19" t="s">
        <v>2976</v>
      </c>
      <c r="H583" s="19" t="s">
        <v>2976</v>
      </c>
      <c r="I583" s="19" t="s">
        <v>2976</v>
      </c>
      <c r="J583" s="19" t="s">
        <v>2976</v>
      </c>
      <c r="L583" s="19" t="s">
        <v>2976</v>
      </c>
    </row>
    <row r="584" spans="1:12" ht="29.25">
      <c r="A584" s="164" t="s">
        <v>5998</v>
      </c>
      <c r="B584" s="12" t="s">
        <v>3050</v>
      </c>
      <c r="C584" s="12" t="s">
        <v>3051</v>
      </c>
      <c r="D584" s="19" t="s">
        <v>5999</v>
      </c>
      <c r="E584" s="19" t="s">
        <v>6000</v>
      </c>
      <c r="F584" s="19" t="s">
        <v>2976</v>
      </c>
      <c r="G584" s="94" t="s">
        <v>4083</v>
      </c>
      <c r="H584" s="19" t="s">
        <v>2976</v>
      </c>
      <c r="I584" s="94" t="s">
        <v>4083</v>
      </c>
      <c r="J584" s="94" t="s">
        <v>4083</v>
      </c>
      <c r="K584" s="95" t="s">
        <v>4083</v>
      </c>
      <c r="L584" s="94" t="s">
        <v>4083</v>
      </c>
    </row>
    <row r="585" spans="1:12">
      <c r="A585" s="61" t="s">
        <v>418</v>
      </c>
      <c r="B585" s="36" t="s">
        <v>1092</v>
      </c>
      <c r="C585" s="36" t="s">
        <v>1093</v>
      </c>
      <c r="D585" s="19" t="s">
        <v>6001</v>
      </c>
      <c r="E585" s="19" t="s">
        <v>6002</v>
      </c>
      <c r="F585" s="19" t="s">
        <v>2976</v>
      </c>
      <c r="G585" s="94" t="s">
        <v>4083</v>
      </c>
      <c r="H585" s="19" t="s">
        <v>2976</v>
      </c>
      <c r="I585" s="94" t="s">
        <v>4083</v>
      </c>
      <c r="J585" s="94" t="s">
        <v>4083</v>
      </c>
      <c r="K585" s="95" t="s">
        <v>4083</v>
      </c>
      <c r="L585" s="94" t="s">
        <v>4083</v>
      </c>
    </row>
    <row r="586" spans="1:12">
      <c r="A586" s="61" t="s">
        <v>335</v>
      </c>
      <c r="B586" s="36" t="s">
        <v>336</v>
      </c>
      <c r="C586" s="36" t="s">
        <v>337</v>
      </c>
      <c r="D586" s="19" t="s">
        <v>6003</v>
      </c>
      <c r="E586" s="19" t="s">
        <v>6004</v>
      </c>
      <c r="F586" s="19" t="s">
        <v>2976</v>
      </c>
      <c r="G586" s="94" t="s">
        <v>4083</v>
      </c>
      <c r="I586" s="94" t="s">
        <v>4083</v>
      </c>
      <c r="K586" s="95" t="s">
        <v>4083</v>
      </c>
      <c r="L586" s="94" t="s">
        <v>4083</v>
      </c>
    </row>
    <row r="587" spans="1:12">
      <c r="A587" s="61" t="s">
        <v>1619</v>
      </c>
      <c r="B587" s="29" t="s">
        <v>6005</v>
      </c>
      <c r="C587" s="29" t="s">
        <v>2367</v>
      </c>
      <c r="D587" s="19" t="s">
        <v>6006</v>
      </c>
      <c r="E587" s="19" t="s">
        <v>6007</v>
      </c>
      <c r="G587" s="19" t="s">
        <v>2976</v>
      </c>
      <c r="H587" s="19" t="s">
        <v>2976</v>
      </c>
      <c r="I587" s="94" t="s">
        <v>4083</v>
      </c>
      <c r="J587" s="94" t="s">
        <v>4083</v>
      </c>
      <c r="K587" s="95" t="s">
        <v>4083</v>
      </c>
    </row>
    <row r="588" spans="1:12">
      <c r="A588" s="61" t="s">
        <v>6008</v>
      </c>
      <c r="B588" s="19" t="s">
        <v>2912</v>
      </c>
      <c r="C588" s="19" t="s">
        <v>6009</v>
      </c>
      <c r="D588" s="19" t="s">
        <v>6010</v>
      </c>
      <c r="E588" s="19" t="s">
        <v>6011</v>
      </c>
      <c r="F588" s="19" t="s">
        <v>2976</v>
      </c>
      <c r="G588" s="19" t="s">
        <v>2976</v>
      </c>
      <c r="H588" s="19" t="s">
        <v>2976</v>
      </c>
      <c r="I588" s="19" t="s">
        <v>2976</v>
      </c>
      <c r="J588" s="19" t="s">
        <v>2976</v>
      </c>
      <c r="L588" s="19" t="s">
        <v>2976</v>
      </c>
    </row>
    <row r="589" spans="1:12">
      <c r="A589" s="61" t="s">
        <v>3052</v>
      </c>
      <c r="B589" s="19" t="s">
        <v>2940</v>
      </c>
      <c r="C589" s="19" t="s">
        <v>3053</v>
      </c>
      <c r="D589" s="19" t="s">
        <v>6012</v>
      </c>
      <c r="E589" s="19" t="s">
        <v>6013</v>
      </c>
      <c r="F589" s="19" t="s">
        <v>2976</v>
      </c>
      <c r="G589" s="19" t="s">
        <v>2976</v>
      </c>
      <c r="L589" s="19" t="s">
        <v>2976</v>
      </c>
    </row>
    <row r="590" spans="1:12">
      <c r="A590" s="61" t="s">
        <v>2969</v>
      </c>
      <c r="B590" s="19" t="s">
        <v>2947</v>
      </c>
      <c r="C590" s="19" t="s">
        <v>2970</v>
      </c>
      <c r="D590" s="19" t="s">
        <v>6014</v>
      </c>
      <c r="E590" s="19" t="s">
        <v>6015</v>
      </c>
      <c r="F590" s="19" t="s">
        <v>2976</v>
      </c>
      <c r="G590" s="19" t="s">
        <v>2976</v>
      </c>
      <c r="H590" s="19" t="s">
        <v>2976</v>
      </c>
      <c r="I590" s="19" t="s">
        <v>2976</v>
      </c>
      <c r="J590" s="19" t="s">
        <v>2976</v>
      </c>
      <c r="L590" s="19" t="s">
        <v>2976</v>
      </c>
    </row>
    <row r="591" spans="1:12">
      <c r="A591" s="61" t="s">
        <v>6016</v>
      </c>
      <c r="B591" s="19" t="s">
        <v>2928</v>
      </c>
      <c r="C591" s="165" t="s">
        <v>2931</v>
      </c>
      <c r="D591" s="19" t="s">
        <v>6017</v>
      </c>
      <c r="E591" s="19" t="s">
        <v>6018</v>
      </c>
      <c r="F591" s="19" t="s">
        <v>2976</v>
      </c>
      <c r="G591" s="94" t="s">
        <v>4083</v>
      </c>
      <c r="H591" s="94" t="s">
        <v>4083</v>
      </c>
      <c r="I591" s="94" t="s">
        <v>4083</v>
      </c>
      <c r="J591" s="94" t="s">
        <v>4083</v>
      </c>
      <c r="K591" s="95" t="s">
        <v>4083</v>
      </c>
      <c r="L591" s="94" t="s">
        <v>4083</v>
      </c>
    </row>
    <row r="592" spans="1:12">
      <c r="A592" s="61" t="s">
        <v>1740</v>
      </c>
      <c r="B592" s="36" t="s">
        <v>1671</v>
      </c>
      <c r="C592" s="36" t="s">
        <v>1864</v>
      </c>
      <c r="D592" s="19" t="s">
        <v>6019</v>
      </c>
      <c r="E592" s="19" t="s">
        <v>6020</v>
      </c>
      <c r="H592" s="19" t="s">
        <v>2976</v>
      </c>
      <c r="J592" s="19" t="s">
        <v>2976</v>
      </c>
      <c r="L592" s="19" t="s">
        <v>2976</v>
      </c>
    </row>
    <row r="593" spans="1:12">
      <c r="A593" s="61" t="s">
        <v>1735</v>
      </c>
      <c r="B593" s="36" t="s">
        <v>1805</v>
      </c>
      <c r="C593" s="36" t="s">
        <v>1974</v>
      </c>
      <c r="D593" s="19" t="s">
        <v>6021</v>
      </c>
      <c r="E593" s="19" t="s">
        <v>6022</v>
      </c>
      <c r="F593" s="19" t="s">
        <v>2976</v>
      </c>
      <c r="H593" s="19" t="s">
        <v>2976</v>
      </c>
      <c r="I593" s="19" t="s">
        <v>2976</v>
      </c>
    </row>
    <row r="594" spans="1:12">
      <c r="A594" s="61" t="s">
        <v>524</v>
      </c>
      <c r="B594" s="36" t="s">
        <v>861</v>
      </c>
      <c r="C594" s="36" t="s">
        <v>862</v>
      </c>
      <c r="D594" s="19" t="s">
        <v>6023</v>
      </c>
      <c r="E594" s="19" t="s">
        <v>6024</v>
      </c>
      <c r="F594" s="19" t="s">
        <v>2976</v>
      </c>
      <c r="H594" s="19" t="s">
        <v>2976</v>
      </c>
      <c r="L594" s="19" t="s">
        <v>2976</v>
      </c>
    </row>
    <row r="595" spans="1:12">
      <c r="A595" s="61" t="s">
        <v>410</v>
      </c>
      <c r="B595" s="36" t="s">
        <v>1097</v>
      </c>
      <c r="C595" s="36" t="s">
        <v>1098</v>
      </c>
      <c r="D595" s="19" t="s">
        <v>6025</v>
      </c>
      <c r="E595" s="19" t="s">
        <v>6026</v>
      </c>
      <c r="L595" s="19" t="s">
        <v>2976</v>
      </c>
    </row>
    <row r="596" spans="1:12">
      <c r="A596" s="61" t="s">
        <v>6027</v>
      </c>
      <c r="B596" s="4" t="s">
        <v>2661</v>
      </c>
      <c r="C596" s="4" t="s">
        <v>2705</v>
      </c>
      <c r="D596" s="19" t="s">
        <v>6028</v>
      </c>
      <c r="E596" s="19" t="s">
        <v>6029</v>
      </c>
      <c r="F596" s="19" t="s">
        <v>2976</v>
      </c>
      <c r="H596" s="19" t="s">
        <v>2976</v>
      </c>
      <c r="L596" s="19" t="s">
        <v>2976</v>
      </c>
    </row>
    <row r="597" spans="1:12">
      <c r="A597" s="61" t="s">
        <v>2657</v>
      </c>
      <c r="B597" s="4" t="s">
        <v>2647</v>
      </c>
      <c r="C597" s="4" t="s">
        <v>2658</v>
      </c>
      <c r="D597" s="19" t="s">
        <v>6030</v>
      </c>
      <c r="E597" s="19" t="s">
        <v>6031</v>
      </c>
      <c r="F597" s="19" t="s">
        <v>2976</v>
      </c>
      <c r="G597" s="19" t="s">
        <v>2976</v>
      </c>
      <c r="H597" s="19" t="s">
        <v>2976</v>
      </c>
    </row>
    <row r="598" spans="1:12">
      <c r="A598" s="61" t="s">
        <v>2753</v>
      </c>
      <c r="B598" s="4" t="s">
        <v>2762</v>
      </c>
      <c r="C598" s="4" t="s">
        <v>2799</v>
      </c>
      <c r="D598" s="19" t="s">
        <v>6032</v>
      </c>
      <c r="E598" s="19" t="s">
        <v>6033</v>
      </c>
      <c r="F598" s="19" t="s">
        <v>2976</v>
      </c>
      <c r="G598" s="19" t="s">
        <v>2976</v>
      </c>
      <c r="H598" s="19" t="s">
        <v>2976</v>
      </c>
      <c r="J598" s="19" t="s">
        <v>2976</v>
      </c>
      <c r="K598" s="55" t="s">
        <v>2976</v>
      </c>
      <c r="L598" s="19" t="s">
        <v>2976</v>
      </c>
    </row>
    <row r="599" spans="1:12">
      <c r="A599" s="61" t="s">
        <v>1709</v>
      </c>
      <c r="B599" s="36" t="s">
        <v>1436</v>
      </c>
      <c r="C599" s="36" t="s">
        <v>2364</v>
      </c>
      <c r="D599" s="19" t="s">
        <v>6034</v>
      </c>
      <c r="E599" s="19" t="s">
        <v>6035</v>
      </c>
      <c r="F599" s="19" t="s">
        <v>2976</v>
      </c>
      <c r="G599" s="19" t="s">
        <v>2976</v>
      </c>
      <c r="H599" s="19" t="s">
        <v>2976</v>
      </c>
    </row>
    <row r="600" spans="1:12">
      <c r="A600" s="61" t="s">
        <v>443</v>
      </c>
      <c r="B600" s="36" t="s">
        <v>110</v>
      </c>
      <c r="C600" s="36" t="s">
        <v>1393</v>
      </c>
      <c r="D600" s="19" t="s">
        <v>6036</v>
      </c>
      <c r="E600" s="19" t="s">
        <v>6037</v>
      </c>
      <c r="F600" s="19" t="s">
        <v>2976</v>
      </c>
      <c r="G600" s="19" t="s">
        <v>2976</v>
      </c>
      <c r="H600" s="19" t="s">
        <v>2976</v>
      </c>
      <c r="L600" s="19" t="s">
        <v>2976</v>
      </c>
    </row>
    <row r="601" spans="1:12">
      <c r="A601" s="61" t="s">
        <v>633</v>
      </c>
      <c r="B601" s="57" t="s">
        <v>634</v>
      </c>
      <c r="C601" s="57" t="s">
        <v>635</v>
      </c>
      <c r="D601" s="19" t="s">
        <v>6038</v>
      </c>
      <c r="E601" s="19" t="s">
        <v>6039</v>
      </c>
      <c r="K601" s="55" t="s">
        <v>6040</v>
      </c>
      <c r="L601" s="19" t="s">
        <v>2976</v>
      </c>
    </row>
    <row r="602" spans="1:12">
      <c r="A602" s="61" t="s">
        <v>510</v>
      </c>
      <c r="B602" s="36" t="s">
        <v>1246</v>
      </c>
      <c r="C602" s="36" t="s">
        <v>1247</v>
      </c>
      <c r="D602" s="19" t="s">
        <v>6041</v>
      </c>
      <c r="E602" s="19" t="s">
        <v>6042</v>
      </c>
      <c r="F602" s="19" t="s">
        <v>2976</v>
      </c>
      <c r="H602" s="19" t="s">
        <v>2976</v>
      </c>
      <c r="L602" s="19" t="s">
        <v>2976</v>
      </c>
    </row>
    <row r="603" spans="1:12">
      <c r="A603" s="61" t="s">
        <v>451</v>
      </c>
      <c r="B603" s="36" t="s">
        <v>1089</v>
      </c>
      <c r="C603" s="36" t="s">
        <v>1090</v>
      </c>
      <c r="D603" s="19" t="s">
        <v>6043</v>
      </c>
      <c r="E603" s="19" t="s">
        <v>6044</v>
      </c>
      <c r="F603" s="19" t="s">
        <v>2976</v>
      </c>
      <c r="H603" s="19" t="s">
        <v>2976</v>
      </c>
      <c r="L603" s="19" t="s">
        <v>2976</v>
      </c>
    </row>
    <row r="604" spans="1:12">
      <c r="A604" s="61" t="s">
        <v>1761</v>
      </c>
      <c r="B604" s="36" t="s">
        <v>1923</v>
      </c>
      <c r="C604" s="36" t="s">
        <v>1935</v>
      </c>
      <c r="D604" s="19" t="s">
        <v>6045</v>
      </c>
      <c r="E604" s="19" t="s">
        <v>6046</v>
      </c>
      <c r="H604" s="19" t="s">
        <v>2976</v>
      </c>
      <c r="I604" s="19" t="s">
        <v>2976</v>
      </c>
      <c r="L604" s="19" t="s">
        <v>2976</v>
      </c>
    </row>
    <row r="605" spans="1:12">
      <c r="A605" s="61" t="s">
        <v>2668</v>
      </c>
      <c r="B605" s="29" t="s">
        <v>2670</v>
      </c>
      <c r="C605" s="29" t="s">
        <v>2671</v>
      </c>
      <c r="D605" s="19" t="s">
        <v>6047</v>
      </c>
      <c r="E605" s="19" t="s">
        <v>6048</v>
      </c>
      <c r="F605" s="19" t="s">
        <v>2976</v>
      </c>
      <c r="H605" s="19" t="s">
        <v>2976</v>
      </c>
      <c r="L605" s="19" t="s">
        <v>2976</v>
      </c>
    </row>
    <row r="606" spans="1:12">
      <c r="A606" s="61" t="s">
        <v>543</v>
      </c>
      <c r="B606" s="36" t="s">
        <v>821</v>
      </c>
      <c r="C606" s="36" t="s">
        <v>1395</v>
      </c>
      <c r="D606" s="19" t="s">
        <v>6049</v>
      </c>
      <c r="E606" s="19" t="s">
        <v>6050</v>
      </c>
      <c r="H606" s="19" t="s">
        <v>2976</v>
      </c>
      <c r="L606" s="19" t="s">
        <v>2976</v>
      </c>
    </row>
    <row r="607" spans="1:12">
      <c r="A607" s="61" t="s">
        <v>2735</v>
      </c>
      <c r="B607" s="29" t="s">
        <v>2661</v>
      </c>
      <c r="C607" s="29" t="s">
        <v>2774</v>
      </c>
      <c r="D607" s="19" t="s">
        <v>6051</v>
      </c>
      <c r="E607" s="19" t="s">
        <v>6052</v>
      </c>
      <c r="F607" s="19" t="s">
        <v>2976</v>
      </c>
      <c r="H607" s="19" t="s">
        <v>2976</v>
      </c>
      <c r="I607" s="94" t="s">
        <v>4083</v>
      </c>
      <c r="J607" s="19" t="s">
        <v>2976</v>
      </c>
      <c r="K607" s="95" t="s">
        <v>4083</v>
      </c>
      <c r="L607" s="19" t="s">
        <v>2976</v>
      </c>
    </row>
    <row r="608" spans="1:12" ht="29.25">
      <c r="A608" s="164" t="s">
        <v>6053</v>
      </c>
      <c r="B608" s="12" t="s">
        <v>2921</v>
      </c>
      <c r="C608" s="12" t="s">
        <v>4875</v>
      </c>
      <c r="D608" s="12" t="s">
        <v>4876</v>
      </c>
      <c r="E608" s="12" t="s">
        <v>6054</v>
      </c>
      <c r="F608" s="94" t="s">
        <v>4083</v>
      </c>
      <c r="G608" s="94" t="s">
        <v>4083</v>
      </c>
      <c r="H608" s="19" t="s">
        <v>2976</v>
      </c>
      <c r="I608" s="94" t="s">
        <v>4083</v>
      </c>
      <c r="J608" s="264" t="s">
        <v>4083</v>
      </c>
      <c r="K608" s="264" t="s">
        <v>4083</v>
      </c>
      <c r="L608" s="19" t="s">
        <v>2976</v>
      </c>
    </row>
    <row r="609" spans="1:12">
      <c r="A609" s="61" t="s">
        <v>303</v>
      </c>
      <c r="B609" s="36" t="s">
        <v>304</v>
      </c>
      <c r="C609" s="36" t="s">
        <v>305</v>
      </c>
      <c r="D609" s="19" t="s">
        <v>6055</v>
      </c>
      <c r="E609" s="19" t="s">
        <v>6056</v>
      </c>
      <c r="G609" s="94" t="s">
        <v>4083</v>
      </c>
      <c r="H609" s="19" t="s">
        <v>2976</v>
      </c>
      <c r="I609" s="94" t="s">
        <v>4083</v>
      </c>
      <c r="K609" s="95" t="s">
        <v>4083</v>
      </c>
    </row>
    <row r="610" spans="1:12">
      <c r="A610" s="61" t="s">
        <v>6057</v>
      </c>
      <c r="B610" s="303" t="s">
        <v>985</v>
      </c>
      <c r="C610" s="303" t="s">
        <v>986</v>
      </c>
      <c r="D610" s="294" t="s">
        <v>6058</v>
      </c>
      <c r="E610" s="301" t="s">
        <v>6059</v>
      </c>
      <c r="F610" s="301" t="s">
        <v>2976</v>
      </c>
      <c r="G610" s="301"/>
      <c r="H610" s="301" t="s">
        <v>2976</v>
      </c>
      <c r="I610" s="301"/>
      <c r="J610" s="301"/>
      <c r="K610" s="302"/>
      <c r="L610" s="301" t="s">
        <v>2976</v>
      </c>
    </row>
    <row r="611" spans="1:12">
      <c r="A611" s="11" t="s">
        <v>6060</v>
      </c>
      <c r="B611" s="57" t="s">
        <v>916</v>
      </c>
      <c r="C611" s="57" t="s">
        <v>917</v>
      </c>
      <c r="D611" s="19" t="s">
        <v>6061</v>
      </c>
      <c r="E611" s="19" t="s">
        <v>6062</v>
      </c>
      <c r="F611" s="19" t="s">
        <v>2976</v>
      </c>
    </row>
    <row r="612" spans="1:12">
      <c r="A612" s="61" t="s">
        <v>562</v>
      </c>
      <c r="B612" s="36" t="s">
        <v>1249</v>
      </c>
      <c r="C612" s="36" t="s">
        <v>1250</v>
      </c>
      <c r="D612" s="19" t="s">
        <v>6063</v>
      </c>
      <c r="E612" s="94" t="s">
        <v>6064</v>
      </c>
    </row>
    <row r="613" spans="1:12">
      <c r="A613" s="11" t="s">
        <v>395</v>
      </c>
      <c r="B613" s="29" t="s">
        <v>110</v>
      </c>
      <c r="C613" s="29" t="s">
        <v>397</v>
      </c>
      <c r="D613" s="294" t="s">
        <v>6065</v>
      </c>
      <c r="E613" s="294" t="s">
        <v>6066</v>
      </c>
      <c r="F613" s="294" t="s">
        <v>2976</v>
      </c>
      <c r="G613" s="294"/>
      <c r="H613" s="294" t="s">
        <v>2976</v>
      </c>
      <c r="I613" s="294"/>
      <c r="J613" s="294" t="s">
        <v>2976</v>
      </c>
      <c r="K613" s="309"/>
      <c r="L613" s="294"/>
    </row>
    <row r="614" spans="1:12">
      <c r="A614" s="111" t="s">
        <v>465</v>
      </c>
      <c r="B614" s="36" t="s">
        <v>170</v>
      </c>
      <c r="C614" s="36" t="s">
        <v>1266</v>
      </c>
      <c r="D614" s="19" t="s">
        <v>6067</v>
      </c>
      <c r="E614" s="19" t="s">
        <v>6068</v>
      </c>
      <c r="F614" s="19" t="s">
        <v>2976</v>
      </c>
      <c r="L614" s="19" t="s">
        <v>2976</v>
      </c>
    </row>
    <row r="615" spans="1:12">
      <c r="A615" s="61" t="s">
        <v>546</v>
      </c>
      <c r="B615" s="36" t="s">
        <v>814</v>
      </c>
      <c r="C615" s="36" t="s">
        <v>856</v>
      </c>
      <c r="D615" s="19" t="s">
        <v>6069</v>
      </c>
      <c r="E615" s="19" t="s">
        <v>6070</v>
      </c>
      <c r="F615" s="19" t="s">
        <v>2976</v>
      </c>
      <c r="L615" s="19" t="s">
        <v>2976</v>
      </c>
    </row>
    <row r="616" spans="1:12">
      <c r="A616" s="61" t="s">
        <v>769</v>
      </c>
      <c r="B616" s="57" t="s">
        <v>618</v>
      </c>
      <c r="C616" s="57" t="s">
        <v>770</v>
      </c>
      <c r="D616" s="19" t="s">
        <v>6071</v>
      </c>
      <c r="E616" s="19" t="s">
        <v>6072</v>
      </c>
      <c r="F616" s="19" t="s">
        <v>2976</v>
      </c>
      <c r="K616" s="55" t="s">
        <v>2976</v>
      </c>
      <c r="L616" s="19" t="s">
        <v>2976</v>
      </c>
    </row>
    <row r="617" spans="1:12">
      <c r="A617" s="61" t="s">
        <v>378</v>
      </c>
      <c r="B617" s="36" t="s">
        <v>287</v>
      </c>
      <c r="C617" s="303" t="s">
        <v>379</v>
      </c>
      <c r="D617" s="19" t="s">
        <v>6073</v>
      </c>
      <c r="E617" s="19" t="s">
        <v>6074</v>
      </c>
      <c r="F617" s="19" t="s">
        <v>2976</v>
      </c>
      <c r="H617" s="19" t="s">
        <v>2976</v>
      </c>
      <c r="L617" s="19" t="s">
        <v>2976</v>
      </c>
    </row>
    <row r="618" spans="1:12">
      <c r="A618" s="61" t="s">
        <v>1765</v>
      </c>
      <c r="B618" s="36" t="s">
        <v>2321</v>
      </c>
      <c r="C618" s="36" t="s">
        <v>2399</v>
      </c>
      <c r="D618" s="19" t="s">
        <v>6075</v>
      </c>
      <c r="E618" s="19" t="s">
        <v>6076</v>
      </c>
    </row>
    <row r="619" spans="1:12">
      <c r="A619" s="61" t="s">
        <v>1774</v>
      </c>
      <c r="B619" s="36" t="s">
        <v>2151</v>
      </c>
      <c r="C619" s="36" t="s">
        <v>2152</v>
      </c>
      <c r="D619" s="19" t="s">
        <v>6077</v>
      </c>
      <c r="E619" s="19" t="s">
        <v>6078</v>
      </c>
      <c r="G619" s="19" t="s">
        <v>2976</v>
      </c>
      <c r="H619" s="19" t="s">
        <v>2976</v>
      </c>
      <c r="J619" s="19" t="s">
        <v>2976</v>
      </c>
      <c r="L619" s="19" t="s">
        <v>2976</v>
      </c>
    </row>
    <row r="620" spans="1:12">
      <c r="A620" s="61" t="s">
        <v>1757</v>
      </c>
      <c r="B620" s="36" t="s">
        <v>2242</v>
      </c>
      <c r="C620" s="36" t="s">
        <v>2243</v>
      </c>
      <c r="D620" s="19" t="s">
        <v>6079</v>
      </c>
      <c r="E620" s="19" t="s">
        <v>6080</v>
      </c>
    </row>
    <row r="621" spans="1:12">
      <c r="A621" s="61" t="s">
        <v>765</v>
      </c>
      <c r="B621" s="19" t="s">
        <v>766</v>
      </c>
      <c r="C621" s="3" t="s">
        <v>6081</v>
      </c>
      <c r="D621" s="19" t="s">
        <v>6082</v>
      </c>
      <c r="E621" s="19" t="s">
        <v>6083</v>
      </c>
      <c r="F621" s="19" t="s">
        <v>2976</v>
      </c>
      <c r="K621" s="55" t="s">
        <v>2976</v>
      </c>
    </row>
    <row r="622" spans="1:12">
      <c r="A622" s="111" t="s">
        <v>1844</v>
      </c>
      <c r="B622" s="36" t="s">
        <v>1845</v>
      </c>
      <c r="C622" s="36" t="s">
        <v>1846</v>
      </c>
      <c r="D622" s="19" t="s">
        <v>6084</v>
      </c>
      <c r="E622" s="19" t="s">
        <v>6085</v>
      </c>
      <c r="F622" s="19" t="s">
        <v>2976</v>
      </c>
      <c r="G622" s="19" t="s">
        <v>2976</v>
      </c>
      <c r="H622" s="19" t="s">
        <v>2976</v>
      </c>
      <c r="L622" s="19" t="s">
        <v>2976</v>
      </c>
    </row>
    <row r="623" spans="1:12">
      <c r="A623" s="61" t="s">
        <v>2699</v>
      </c>
      <c r="B623" s="29" t="s">
        <v>2683</v>
      </c>
      <c r="C623" s="29" t="s">
        <v>1291</v>
      </c>
      <c r="D623" s="19" t="s">
        <v>6086</v>
      </c>
      <c r="E623" s="19" t="s">
        <v>6087</v>
      </c>
      <c r="F623" s="19" t="s">
        <v>2976</v>
      </c>
      <c r="K623" s="55" t="s">
        <v>2976</v>
      </c>
    </row>
    <row r="624" spans="1:12">
      <c r="A624" s="61" t="s">
        <v>585</v>
      </c>
      <c r="B624" s="36" t="s">
        <v>887</v>
      </c>
      <c r="C624" s="36" t="s">
        <v>888</v>
      </c>
      <c r="D624" s="19" t="s">
        <v>6088</v>
      </c>
      <c r="E624" s="19" t="s">
        <v>6089</v>
      </c>
      <c r="F624" s="19" t="s">
        <v>2976</v>
      </c>
      <c r="J624" s="19" t="s">
        <v>2976</v>
      </c>
      <c r="L624" s="19" t="s">
        <v>2976</v>
      </c>
    </row>
    <row r="625" spans="1:12">
      <c r="A625" s="225" t="s">
        <v>6090</v>
      </c>
      <c r="B625" s="12" t="s">
        <v>6091</v>
      </c>
      <c r="C625" s="12" t="s">
        <v>6092</v>
      </c>
      <c r="D625" s="12" t="s">
        <v>6093</v>
      </c>
      <c r="E625" s="19" t="s">
        <v>6094</v>
      </c>
      <c r="F625" s="19" t="s">
        <v>2976</v>
      </c>
      <c r="G625" s="94" t="s">
        <v>4083</v>
      </c>
      <c r="H625" s="19" t="s">
        <v>2976</v>
      </c>
      <c r="I625" s="94" t="s">
        <v>4083</v>
      </c>
      <c r="J625" s="94" t="s">
        <v>4083</v>
      </c>
      <c r="K625" s="95" t="s">
        <v>4083</v>
      </c>
      <c r="L625" s="94" t="s">
        <v>4083</v>
      </c>
    </row>
    <row r="626" spans="1:12">
      <c r="A626" s="61" t="s">
        <v>6095</v>
      </c>
      <c r="B626" s="19" t="s">
        <v>3011</v>
      </c>
      <c r="C626" s="19" t="s">
        <v>3012</v>
      </c>
      <c r="D626" s="19" t="s">
        <v>6096</v>
      </c>
      <c r="E626" s="19" t="s">
        <v>6097</v>
      </c>
      <c r="F626" s="19" t="s">
        <v>2976</v>
      </c>
      <c r="J626" s="19" t="s">
        <v>2976</v>
      </c>
      <c r="L626" s="19" t="s">
        <v>2976</v>
      </c>
    </row>
    <row r="627" spans="1:12">
      <c r="A627" s="61" t="s">
        <v>3064</v>
      </c>
      <c r="B627" s="19" t="s">
        <v>2952</v>
      </c>
      <c r="C627" s="19" t="s">
        <v>3065</v>
      </c>
      <c r="D627" s="19" t="s">
        <v>6098</v>
      </c>
      <c r="E627" s="19" t="s">
        <v>6099</v>
      </c>
      <c r="F627" s="102" t="s">
        <v>2976</v>
      </c>
      <c r="G627" s="94" t="s">
        <v>4083</v>
      </c>
      <c r="H627" s="19" t="s">
        <v>2976</v>
      </c>
      <c r="I627" s="94" t="s">
        <v>4083</v>
      </c>
      <c r="J627" s="19" t="s">
        <v>2976</v>
      </c>
      <c r="K627" s="95" t="s">
        <v>4083</v>
      </c>
      <c r="L627" s="19" t="s">
        <v>2976</v>
      </c>
    </row>
    <row r="628" spans="1:12" ht="29.25">
      <c r="A628" s="164" t="s">
        <v>6100</v>
      </c>
      <c r="B628" s="12" t="s">
        <v>6101</v>
      </c>
      <c r="C628" s="12" t="s">
        <v>6102</v>
      </c>
      <c r="D628" s="19" t="s">
        <v>6103</v>
      </c>
      <c r="E628" s="19" t="s">
        <v>6104</v>
      </c>
      <c r="F628" s="19" t="s">
        <v>2976</v>
      </c>
      <c r="H628" s="19" t="s">
        <v>2976</v>
      </c>
      <c r="L628" s="19" t="s">
        <v>2976</v>
      </c>
    </row>
    <row r="629" spans="1:12">
      <c r="A629" s="61" t="s">
        <v>121</v>
      </c>
      <c r="B629" s="36" t="s">
        <v>254</v>
      </c>
      <c r="C629" s="36" t="s">
        <v>663</v>
      </c>
      <c r="D629" s="19" t="s">
        <v>6105</v>
      </c>
      <c r="E629" s="19" t="s">
        <v>6106</v>
      </c>
      <c r="F629" s="19" t="s">
        <v>2976</v>
      </c>
      <c r="L629" s="19" t="s">
        <v>2976</v>
      </c>
    </row>
    <row r="630" spans="1:12">
      <c r="A630" s="61" t="s">
        <v>1752</v>
      </c>
      <c r="B630" s="36" t="s">
        <v>1998</v>
      </c>
      <c r="C630" s="36" t="s">
        <v>1999</v>
      </c>
      <c r="D630" s="19" t="s">
        <v>6107</v>
      </c>
      <c r="E630" s="19" t="s">
        <v>6108</v>
      </c>
      <c r="F630" s="19" t="s">
        <v>2976</v>
      </c>
      <c r="G630" s="94" t="s">
        <v>4083</v>
      </c>
      <c r="H630" s="19" t="s">
        <v>2976</v>
      </c>
      <c r="I630" s="94" t="s">
        <v>4083</v>
      </c>
      <c r="J630" s="19" t="s">
        <v>2976</v>
      </c>
      <c r="K630" s="95" t="s">
        <v>4083</v>
      </c>
      <c r="L630" s="94" t="s">
        <v>4083</v>
      </c>
    </row>
    <row r="631" spans="1:12">
      <c r="A631" s="61" t="s">
        <v>1082</v>
      </c>
      <c r="B631" s="57" t="s">
        <v>902</v>
      </c>
      <c r="C631" s="57" t="s">
        <v>1340</v>
      </c>
      <c r="D631" s="19" t="s">
        <v>6109</v>
      </c>
      <c r="E631" s="19" t="s">
        <v>6110</v>
      </c>
      <c r="F631" s="19" t="s">
        <v>2976</v>
      </c>
    </row>
    <row r="632" spans="1:12">
      <c r="A632" s="61" t="s">
        <v>2659</v>
      </c>
      <c r="B632" s="19" t="s">
        <v>2835</v>
      </c>
      <c r="C632" s="19" t="s">
        <v>2789</v>
      </c>
      <c r="D632" s="19" t="s">
        <v>6111</v>
      </c>
      <c r="E632" s="19" t="s">
        <v>6112</v>
      </c>
      <c r="F632" s="19" t="s">
        <v>2976</v>
      </c>
      <c r="G632" s="94" t="s">
        <v>4083</v>
      </c>
      <c r="H632" s="19" t="s">
        <v>2976</v>
      </c>
      <c r="I632" s="94" t="s">
        <v>4083</v>
      </c>
      <c r="K632" s="95" t="s">
        <v>4083</v>
      </c>
      <c r="L632" s="94" t="s">
        <v>4083</v>
      </c>
    </row>
    <row r="633" spans="1:12">
      <c r="A633" s="61" t="s">
        <v>2769</v>
      </c>
      <c r="B633" s="29" t="s">
        <v>2610</v>
      </c>
      <c r="C633" s="29" t="s">
        <v>2770</v>
      </c>
      <c r="D633" s="19" t="s">
        <v>6113</v>
      </c>
      <c r="E633" s="19" t="s">
        <v>6114</v>
      </c>
      <c r="F633" s="19" t="s">
        <v>2976</v>
      </c>
      <c r="G633" s="19" t="s">
        <v>2976</v>
      </c>
      <c r="H633" s="19" t="s">
        <v>2976</v>
      </c>
      <c r="I633" s="84" t="s">
        <v>4083</v>
      </c>
      <c r="K633" s="89" t="s">
        <v>4083</v>
      </c>
      <c r="L633" s="19" t="s">
        <v>2976</v>
      </c>
    </row>
    <row r="634" spans="1:12">
      <c r="A634" s="19" t="s">
        <v>1765</v>
      </c>
      <c r="B634" s="94" t="s">
        <v>6115</v>
      </c>
    </row>
    <row r="635" spans="1:12">
      <c r="A635" s="61" t="s">
        <v>2690</v>
      </c>
      <c r="B635" s="29" t="s">
        <v>2647</v>
      </c>
      <c r="C635" s="29" t="s">
        <v>2692</v>
      </c>
      <c r="D635" s="19" t="s">
        <v>6116</v>
      </c>
      <c r="E635" s="19" t="s">
        <v>6117</v>
      </c>
      <c r="F635" s="19" t="s">
        <v>2976</v>
      </c>
      <c r="G635" s="19" t="s">
        <v>2976</v>
      </c>
      <c r="H635" s="19" t="s">
        <v>2976</v>
      </c>
      <c r="I635" s="84" t="s">
        <v>4083</v>
      </c>
      <c r="J635" s="19" t="s">
        <v>2976</v>
      </c>
      <c r="K635" s="89" t="s">
        <v>4083</v>
      </c>
      <c r="L635" s="84" t="s">
        <v>4083</v>
      </c>
    </row>
    <row r="636" spans="1:12">
      <c r="A636" s="61" t="s">
        <v>1850</v>
      </c>
      <c r="B636" s="19" t="s">
        <v>2242</v>
      </c>
      <c r="C636" s="19" t="s">
        <v>6118</v>
      </c>
      <c r="D636" s="19" t="s">
        <v>6119</v>
      </c>
      <c r="E636" s="19" t="s">
        <v>6120</v>
      </c>
      <c r="F636" s="19" t="s">
        <v>2976</v>
      </c>
      <c r="H636" s="19" t="s">
        <v>2976</v>
      </c>
      <c r="J636" s="102" t="s">
        <v>2976</v>
      </c>
      <c r="L636" s="94"/>
    </row>
    <row r="637" spans="1:12">
      <c r="A637" s="61" t="s">
        <v>639</v>
      </c>
      <c r="B637" s="36" t="s">
        <v>1234</v>
      </c>
      <c r="C637" s="36" t="s">
        <v>1235</v>
      </c>
      <c r="D637" s="19" t="s">
        <v>6121</v>
      </c>
      <c r="E637" s="19" t="s">
        <v>6122</v>
      </c>
      <c r="F637" s="19" t="s">
        <v>2976</v>
      </c>
      <c r="G637" s="19" t="s">
        <v>2976</v>
      </c>
      <c r="H637" s="19" t="s">
        <v>2976</v>
      </c>
      <c r="I637" s="84" t="s">
        <v>4083</v>
      </c>
      <c r="K637" s="89" t="s">
        <v>4083</v>
      </c>
      <c r="L637" s="19" t="s">
        <v>2976</v>
      </c>
    </row>
    <row r="638" spans="1:12">
      <c r="A638" s="61" t="s">
        <v>2695</v>
      </c>
      <c r="B638" s="29" t="s">
        <v>2610</v>
      </c>
      <c r="C638" s="329" t="s">
        <v>2696</v>
      </c>
      <c r="D638" s="19" t="s">
        <v>6123</v>
      </c>
      <c r="E638" s="19" t="s">
        <v>6124</v>
      </c>
      <c r="H638" s="19" t="s">
        <v>2976</v>
      </c>
      <c r="I638" s="84" t="s">
        <v>4083</v>
      </c>
      <c r="K638" s="89" t="s">
        <v>4083</v>
      </c>
      <c r="L638" s="87" t="s">
        <v>2976</v>
      </c>
    </row>
    <row r="639" spans="1:12">
      <c r="A639" s="289" t="s">
        <v>3082</v>
      </c>
      <c r="B639" s="19" t="s">
        <v>3011</v>
      </c>
      <c r="C639" s="19" t="s">
        <v>3083</v>
      </c>
      <c r="D639" s="19" t="s">
        <v>6125</v>
      </c>
      <c r="E639" s="19" t="s">
        <v>6126</v>
      </c>
      <c r="G639" s="19" t="s">
        <v>2976</v>
      </c>
      <c r="H639" s="19" t="s">
        <v>2976</v>
      </c>
      <c r="I639" s="84" t="s">
        <v>4083</v>
      </c>
      <c r="J639" s="19" t="s">
        <v>2976</v>
      </c>
      <c r="K639" s="89" t="s">
        <v>4083</v>
      </c>
      <c r="L639" s="19" t="s">
        <v>2976</v>
      </c>
    </row>
    <row r="640" spans="1:12">
      <c r="A640" s="61" t="s">
        <v>2782</v>
      </c>
      <c r="B640" s="345" t="s">
        <v>2674</v>
      </c>
      <c r="C640" s="29" t="s">
        <v>2784</v>
      </c>
      <c r="D640" s="19" t="s">
        <v>6127</v>
      </c>
      <c r="E640" s="19" t="s">
        <v>6128</v>
      </c>
      <c r="F640" s="19" t="s">
        <v>2976</v>
      </c>
      <c r="G640" s="19" t="s">
        <v>2976</v>
      </c>
      <c r="H640" s="19" t="s">
        <v>2976</v>
      </c>
      <c r="I640" s="94" t="s">
        <v>4083</v>
      </c>
      <c r="J640" s="19" t="s">
        <v>2976</v>
      </c>
      <c r="K640" s="95" t="s">
        <v>4083</v>
      </c>
      <c r="L640" s="94" t="s">
        <v>4083</v>
      </c>
    </row>
    <row r="641" spans="1:12">
      <c r="A641" s="61" t="s">
        <v>650</v>
      </c>
      <c r="B641" s="36" t="s">
        <v>1367</v>
      </c>
      <c r="C641" s="36" t="s">
        <v>1368</v>
      </c>
      <c r="D641" s="19" t="s">
        <v>6129</v>
      </c>
      <c r="E641" s="19" t="s">
        <v>6130</v>
      </c>
      <c r="F641" s="19" t="s">
        <v>2976</v>
      </c>
      <c r="G641" s="19" t="s">
        <v>2976</v>
      </c>
      <c r="H641" s="19" t="s">
        <v>2976</v>
      </c>
      <c r="I641" s="84" t="s">
        <v>4083</v>
      </c>
      <c r="K641" s="89" t="s">
        <v>4083</v>
      </c>
      <c r="L641" s="84" t="s">
        <v>4083</v>
      </c>
    </row>
    <row r="642" spans="1:12">
      <c r="A642" s="61" t="s">
        <v>1088</v>
      </c>
      <c r="B642" s="57" t="s">
        <v>1310</v>
      </c>
      <c r="C642" s="57" t="s">
        <v>1311</v>
      </c>
      <c r="D642" s="19" t="s">
        <v>6131</v>
      </c>
      <c r="E642" s="19" t="s">
        <v>6132</v>
      </c>
      <c r="F642" s="19" t="s">
        <v>2976</v>
      </c>
      <c r="G642" s="84" t="s">
        <v>4083</v>
      </c>
      <c r="H642" s="19" t="s">
        <v>2976</v>
      </c>
      <c r="I642" s="84" t="s">
        <v>4083</v>
      </c>
      <c r="J642" s="84" t="s">
        <v>4083</v>
      </c>
      <c r="K642" s="89" t="s">
        <v>4083</v>
      </c>
      <c r="L642" s="84" t="s">
        <v>4083</v>
      </c>
    </row>
    <row r="643" spans="1:12">
      <c r="A643" s="61" t="s">
        <v>611</v>
      </c>
      <c r="B643" s="36" t="s">
        <v>896</v>
      </c>
      <c r="C643" s="36" t="s">
        <v>897</v>
      </c>
      <c r="D643" s="19" t="s">
        <v>6133</v>
      </c>
      <c r="E643" s="19" t="s">
        <v>6134</v>
      </c>
      <c r="F643" s="19" t="s">
        <v>2976</v>
      </c>
      <c r="G643" s="84" t="s">
        <v>4083</v>
      </c>
      <c r="H643" s="19" t="s">
        <v>2976</v>
      </c>
      <c r="I643" s="84" t="s">
        <v>4083</v>
      </c>
      <c r="J643" s="84" t="s">
        <v>4083</v>
      </c>
      <c r="K643" s="89" t="s">
        <v>4083</v>
      </c>
      <c r="L643" s="84" t="s">
        <v>4083</v>
      </c>
    </row>
    <row r="644" spans="1:12" ht="15.75">
      <c r="A644" s="61" t="s">
        <v>474</v>
      </c>
      <c r="B644" s="36" t="s">
        <v>278</v>
      </c>
      <c r="C644" s="36" t="s">
        <v>1131</v>
      </c>
      <c r="D644" s="352" t="s">
        <v>6135</v>
      </c>
      <c r="E644" s="19" t="s">
        <v>6136</v>
      </c>
      <c r="F644" s="19" t="s">
        <v>2976</v>
      </c>
      <c r="G644" s="94" t="s">
        <v>4083</v>
      </c>
      <c r="H644" s="19" t="s">
        <v>2976</v>
      </c>
      <c r="I644" s="94" t="s">
        <v>4083</v>
      </c>
      <c r="J644" s="94" t="s">
        <v>4083</v>
      </c>
      <c r="K644" s="95" t="s">
        <v>4083</v>
      </c>
      <c r="L644" s="19" t="s">
        <v>2976</v>
      </c>
    </row>
    <row r="645" spans="1:12">
      <c r="A645" s="61" t="s">
        <v>583</v>
      </c>
      <c r="B645" s="36" t="s">
        <v>841</v>
      </c>
      <c r="C645" s="36" t="s">
        <v>1207</v>
      </c>
      <c r="D645" s="19" t="s">
        <v>6137</v>
      </c>
      <c r="E645" s="19" t="s">
        <v>6138</v>
      </c>
      <c r="G645" s="94" t="s">
        <v>4083</v>
      </c>
      <c r="J645" s="94" t="s">
        <v>4083</v>
      </c>
      <c r="K645" s="95" t="s">
        <v>4083</v>
      </c>
      <c r="L645" s="353" t="s">
        <v>2976</v>
      </c>
    </row>
    <row r="646" spans="1:12">
      <c r="A646" s="61" t="s">
        <v>566</v>
      </c>
      <c r="B646" s="29" t="s">
        <v>1120</v>
      </c>
      <c r="C646" s="29" t="s">
        <v>1121</v>
      </c>
      <c r="D646" s="20" t="s">
        <v>6139</v>
      </c>
      <c r="E646" s="19" t="s">
        <v>6140</v>
      </c>
      <c r="F646" s="19" t="s">
        <v>2976</v>
      </c>
      <c r="G646" s="94" t="s">
        <v>4083</v>
      </c>
      <c r="H646" s="19" t="s">
        <v>2976</v>
      </c>
      <c r="I646" s="94" t="s">
        <v>4083</v>
      </c>
      <c r="J646" s="94" t="s">
        <v>4083</v>
      </c>
      <c r="K646" s="95" t="s">
        <v>4083</v>
      </c>
      <c r="L646" s="95" t="s">
        <v>4083</v>
      </c>
    </row>
    <row r="647" spans="1:12">
      <c r="A647" s="61" t="s">
        <v>588</v>
      </c>
      <c r="B647" s="36" t="s">
        <v>814</v>
      </c>
      <c r="C647" s="36" t="s">
        <v>978</v>
      </c>
      <c r="D647" s="19" t="s">
        <v>6141</v>
      </c>
      <c r="E647" s="19" t="s">
        <v>6142</v>
      </c>
      <c r="F647" s="19" t="s">
        <v>2976</v>
      </c>
      <c r="G647" s="94" t="s">
        <v>4083</v>
      </c>
      <c r="H647" s="19" t="s">
        <v>2976</v>
      </c>
      <c r="I647" s="94" t="s">
        <v>4083</v>
      </c>
      <c r="K647" s="95" t="s">
        <v>4083</v>
      </c>
      <c r="L647" s="19" t="s">
        <v>2976</v>
      </c>
    </row>
    <row r="648" spans="1:12">
      <c r="A648" s="61" t="s">
        <v>624</v>
      </c>
      <c r="B648" s="36" t="s">
        <v>743</v>
      </c>
      <c r="C648" s="36" t="s">
        <v>744</v>
      </c>
      <c r="D648" s="19" t="s">
        <v>6143</v>
      </c>
      <c r="E648" s="19" t="s">
        <v>6144</v>
      </c>
      <c r="F648" s="19" t="s">
        <v>2976</v>
      </c>
      <c r="G648" s="94" t="s">
        <v>4083</v>
      </c>
      <c r="H648" s="19" t="s">
        <v>2976</v>
      </c>
      <c r="I648" s="19" t="s">
        <v>2976</v>
      </c>
      <c r="J648" s="19" t="s">
        <v>2976</v>
      </c>
      <c r="K648" s="95" t="s">
        <v>4083</v>
      </c>
      <c r="L648" s="19" t="s">
        <v>2976</v>
      </c>
    </row>
    <row r="649" spans="1:12">
      <c r="A649" s="61" t="s">
        <v>6145</v>
      </c>
      <c r="B649" s="57" t="s">
        <v>500</v>
      </c>
      <c r="C649" s="57" t="s">
        <v>907</v>
      </c>
      <c r="D649" s="19" t="s">
        <v>6146</v>
      </c>
      <c r="E649" s="19" t="s">
        <v>6147</v>
      </c>
      <c r="F649" s="19" t="s">
        <v>2976</v>
      </c>
      <c r="G649" s="84" t="s">
        <v>4083</v>
      </c>
      <c r="I649" s="84" t="s">
        <v>4083</v>
      </c>
      <c r="J649" s="84" t="s">
        <v>4083</v>
      </c>
      <c r="K649" s="55" t="s">
        <v>2976</v>
      </c>
      <c r="L649" s="84" t="s">
        <v>4083</v>
      </c>
    </row>
    <row r="650" spans="1:12">
      <c r="A650" s="61" t="s">
        <v>369</v>
      </c>
      <c r="B650" s="36" t="s">
        <v>370</v>
      </c>
      <c r="C650" s="36" t="s">
        <v>371</v>
      </c>
      <c r="D650" s="19" t="s">
        <v>6148</v>
      </c>
      <c r="E650" s="19" t="s">
        <v>6149</v>
      </c>
      <c r="F650" s="19" t="s">
        <v>2976</v>
      </c>
      <c r="G650" s="19" t="s">
        <v>2976</v>
      </c>
      <c r="H650" s="19" t="s">
        <v>2976</v>
      </c>
      <c r="I650" s="84" t="s">
        <v>4083</v>
      </c>
      <c r="J650" s="84" t="s">
        <v>4083</v>
      </c>
      <c r="K650" s="89" t="s">
        <v>4083</v>
      </c>
      <c r="L650" s="84" t="s">
        <v>4083</v>
      </c>
    </row>
    <row r="651" spans="1:12">
      <c r="A651" s="61" t="s">
        <v>592</v>
      </c>
      <c r="B651" s="36" t="s">
        <v>1112</v>
      </c>
      <c r="C651" s="36" t="s">
        <v>1113</v>
      </c>
      <c r="D651" s="19" t="s">
        <v>6150</v>
      </c>
      <c r="E651" s="19" t="s">
        <v>6151</v>
      </c>
      <c r="F651" s="19" t="s">
        <v>2976</v>
      </c>
      <c r="G651" s="94" t="s">
        <v>4083</v>
      </c>
      <c r="H651" s="19" t="s">
        <v>2976</v>
      </c>
      <c r="I651" s="94" t="s">
        <v>4083</v>
      </c>
      <c r="J651" s="19" t="s">
        <v>2976</v>
      </c>
      <c r="K651" s="89" t="s">
        <v>4083</v>
      </c>
    </row>
    <row r="652" spans="1:12">
      <c r="A652" s="61" t="s">
        <v>1843</v>
      </c>
      <c r="B652" s="36" t="s">
        <v>2140</v>
      </c>
      <c r="C652" s="36" t="s">
        <v>2141</v>
      </c>
      <c r="D652" s="19" t="s">
        <v>6152</v>
      </c>
      <c r="E652" s="19" t="s">
        <v>6153</v>
      </c>
      <c r="F652" s="19" t="s">
        <v>2976</v>
      </c>
      <c r="G652" s="84" t="s">
        <v>4083</v>
      </c>
      <c r="H652" s="19" t="s">
        <v>2976</v>
      </c>
      <c r="I652" s="84" t="s">
        <v>4083</v>
      </c>
      <c r="J652" s="19" t="s">
        <v>2976</v>
      </c>
      <c r="K652" s="89" t="s">
        <v>4083</v>
      </c>
      <c r="L652" s="19" t="s">
        <v>2976</v>
      </c>
    </row>
    <row r="653" spans="1:12">
      <c r="A653" s="61" t="s">
        <v>6154</v>
      </c>
      <c r="B653" s="36" t="s">
        <v>1322</v>
      </c>
      <c r="C653" s="36" t="s">
        <v>1323</v>
      </c>
      <c r="D653" s="19" t="s">
        <v>6155</v>
      </c>
      <c r="E653" s="19" t="s">
        <v>6156</v>
      </c>
      <c r="F653" s="19" t="s">
        <v>2976</v>
      </c>
      <c r="G653" s="84" t="s">
        <v>4083</v>
      </c>
      <c r="I653" s="19" t="s">
        <v>2976</v>
      </c>
      <c r="J653" s="84" t="s">
        <v>4083</v>
      </c>
      <c r="K653" s="89" t="s">
        <v>4083</v>
      </c>
      <c r="L653" s="19" t="s">
        <v>2976</v>
      </c>
    </row>
    <row r="654" spans="1:12">
      <c r="A654" s="11" t="s">
        <v>6157</v>
      </c>
      <c r="B654" s="36" t="s">
        <v>883</v>
      </c>
      <c r="C654" s="36" t="s">
        <v>884</v>
      </c>
      <c r="D654" s="19" t="s">
        <v>6158</v>
      </c>
      <c r="E654" s="19" t="s">
        <v>6159</v>
      </c>
      <c r="F654" s="19" t="s">
        <v>2976</v>
      </c>
      <c r="G654" s="94" t="s">
        <v>4083</v>
      </c>
      <c r="H654" s="19" t="s">
        <v>2976</v>
      </c>
      <c r="I654" s="94" t="s">
        <v>4083</v>
      </c>
      <c r="J654" s="94" t="s">
        <v>4083</v>
      </c>
      <c r="K654" s="95" t="s">
        <v>4083</v>
      </c>
      <c r="L654" s="94" t="s">
        <v>4083</v>
      </c>
    </row>
    <row r="655" spans="1:12">
      <c r="A655" s="11" t="s">
        <v>607</v>
      </c>
      <c r="B655" s="36" t="s">
        <v>158</v>
      </c>
      <c r="C655" s="36" t="s">
        <v>6160</v>
      </c>
      <c r="D655" s="19" t="s">
        <v>6161</v>
      </c>
      <c r="E655" s="19" t="s">
        <v>6162</v>
      </c>
      <c r="F655" s="19" t="s">
        <v>2976</v>
      </c>
      <c r="H655" s="19" t="s">
        <v>2976</v>
      </c>
      <c r="J655" s="19" t="s">
        <v>2976</v>
      </c>
      <c r="L655" s="19" t="s">
        <v>2976</v>
      </c>
    </row>
    <row r="656" spans="1:12">
      <c r="A656" s="11" t="s">
        <v>6163</v>
      </c>
      <c r="B656" s="36" t="s">
        <v>847</v>
      </c>
      <c r="C656" s="36" t="s">
        <v>973</v>
      </c>
      <c r="D656" s="19" t="s">
        <v>6164</v>
      </c>
      <c r="E656" s="19" t="s">
        <v>6165</v>
      </c>
      <c r="F656" s="19" t="s">
        <v>2976</v>
      </c>
      <c r="G656" s="94" t="s">
        <v>4083</v>
      </c>
      <c r="H656" s="19" t="s">
        <v>2976</v>
      </c>
      <c r="I656" s="19" t="s">
        <v>2976</v>
      </c>
      <c r="J656" s="94" t="s">
        <v>4083</v>
      </c>
      <c r="K656" s="95" t="s">
        <v>4083</v>
      </c>
      <c r="L656" s="19" t="s">
        <v>2976</v>
      </c>
    </row>
    <row r="657" spans="1:12">
      <c r="A657" s="61" t="s">
        <v>2778</v>
      </c>
      <c r="B657" s="29" t="s">
        <v>2610</v>
      </c>
      <c r="C657" s="29" t="s">
        <v>2780</v>
      </c>
      <c r="D657" s="19" t="s">
        <v>6166</v>
      </c>
      <c r="E657" s="19" t="s">
        <v>6167</v>
      </c>
      <c r="F657" s="19" t="s">
        <v>2976</v>
      </c>
      <c r="G657" s="19" t="s">
        <v>2976</v>
      </c>
      <c r="H657" s="19" t="s">
        <v>2976</v>
      </c>
    </row>
    <row r="658" spans="1:12">
      <c r="A658" s="164" t="s">
        <v>6168</v>
      </c>
      <c r="B658" s="19" t="s">
        <v>3042</v>
      </c>
      <c r="C658" s="19" t="s">
        <v>3067</v>
      </c>
      <c r="D658" s="19" t="s">
        <v>6169</v>
      </c>
      <c r="E658" s="19" t="s">
        <v>6170</v>
      </c>
      <c r="F658" s="19" t="s">
        <v>2976</v>
      </c>
      <c r="G658" s="19" t="s">
        <v>2976</v>
      </c>
    </row>
    <row r="659" spans="1:12" ht="29.25">
      <c r="A659" s="164" t="s">
        <v>6171</v>
      </c>
      <c r="B659" s="19" t="s">
        <v>3061</v>
      </c>
      <c r="C659" s="19" t="s">
        <v>3079</v>
      </c>
      <c r="D659" s="19" t="s">
        <v>6172</v>
      </c>
      <c r="E659" s="19" t="s">
        <v>6173</v>
      </c>
      <c r="F659" s="19" t="s">
        <v>2976</v>
      </c>
      <c r="G659" s="19" t="s">
        <v>2976</v>
      </c>
      <c r="H659" s="19" t="s">
        <v>2976</v>
      </c>
      <c r="J659" s="84" t="s">
        <v>4083</v>
      </c>
      <c r="K659" s="89" t="s">
        <v>4083</v>
      </c>
      <c r="L659" s="84" t="s">
        <v>4083</v>
      </c>
    </row>
    <row r="660" spans="1:12" ht="43.5">
      <c r="A660" s="11" t="s">
        <v>684</v>
      </c>
      <c r="B660" s="36" t="s">
        <v>681</v>
      </c>
      <c r="C660" s="36" t="s">
        <v>682</v>
      </c>
      <c r="D660" s="270" t="s">
        <v>6174</v>
      </c>
      <c r="E660" s="19" t="s">
        <v>6175</v>
      </c>
      <c r="F660" s="19" t="s">
        <v>2976</v>
      </c>
      <c r="G660" s="84" t="s">
        <v>4083</v>
      </c>
      <c r="H660" s="19" t="s">
        <v>2976</v>
      </c>
      <c r="I660" s="84"/>
      <c r="K660" s="89" t="s">
        <v>4083</v>
      </c>
      <c r="L660" s="19" t="s">
        <v>2976</v>
      </c>
    </row>
    <row r="661" spans="1:12">
      <c r="A661" s="61" t="s">
        <v>6176</v>
      </c>
      <c r="B661" s="19" t="s">
        <v>3076</v>
      </c>
      <c r="C661" s="19" t="s">
        <v>3089</v>
      </c>
      <c r="D661" s="19" t="s">
        <v>6177</v>
      </c>
      <c r="E661" s="19" t="s">
        <v>6178</v>
      </c>
      <c r="F661" s="19" t="s">
        <v>2976</v>
      </c>
      <c r="G661" s="19" t="s">
        <v>2976</v>
      </c>
      <c r="I661" s="84" t="s">
        <v>4083</v>
      </c>
      <c r="J661" s="87" t="s">
        <v>2976</v>
      </c>
      <c r="K661" s="89" t="s">
        <v>4083</v>
      </c>
      <c r="L661" s="19" t="s">
        <v>2976</v>
      </c>
    </row>
    <row r="662" spans="1:12">
      <c r="A662" s="61" t="s">
        <v>772</v>
      </c>
      <c r="B662" s="57" t="s">
        <v>773</v>
      </c>
      <c r="C662" s="57" t="s">
        <v>774</v>
      </c>
      <c r="D662" s="19" t="s">
        <v>6179</v>
      </c>
      <c r="E662" s="19" t="s">
        <v>6180</v>
      </c>
      <c r="F662" s="19" t="s">
        <v>2976</v>
      </c>
      <c r="G662" s="84" t="s">
        <v>4083</v>
      </c>
      <c r="H662" s="19" t="s">
        <v>2976</v>
      </c>
      <c r="I662" s="84" t="s">
        <v>4083</v>
      </c>
      <c r="J662" s="84" t="s">
        <v>4083</v>
      </c>
      <c r="K662" s="89" t="s">
        <v>4083</v>
      </c>
      <c r="L662" s="19" t="s">
        <v>2976</v>
      </c>
    </row>
    <row r="663" spans="1:12">
      <c r="A663" s="61" t="s">
        <v>1091</v>
      </c>
      <c r="B663" s="57" t="s">
        <v>1224</v>
      </c>
      <c r="C663" s="57" t="s">
        <v>1230</v>
      </c>
      <c r="D663" s="19" t="s">
        <v>6181</v>
      </c>
      <c r="E663" s="19" t="s">
        <v>6182</v>
      </c>
      <c r="F663" s="19" t="s">
        <v>2976</v>
      </c>
      <c r="G663" s="84" t="s">
        <v>4083</v>
      </c>
      <c r="H663" s="19" t="s">
        <v>2976</v>
      </c>
      <c r="I663" s="84" t="s">
        <v>4083</v>
      </c>
      <c r="J663" s="84" t="s">
        <v>4083</v>
      </c>
      <c r="K663" s="89" t="s">
        <v>4083</v>
      </c>
      <c r="L663" s="84" t="s">
        <v>4083</v>
      </c>
    </row>
    <row r="664" spans="1:12" ht="29.25">
      <c r="A664" s="164" t="s">
        <v>6183</v>
      </c>
      <c r="B664" s="29" t="s">
        <v>2674</v>
      </c>
      <c r="C664" s="29" t="s">
        <v>2846</v>
      </c>
      <c r="D664" s="19" t="s">
        <v>6184</v>
      </c>
      <c r="E664" s="19" t="s">
        <v>6185</v>
      </c>
      <c r="G664" s="19" t="s">
        <v>2976</v>
      </c>
      <c r="H664" s="19" t="s">
        <v>2976</v>
      </c>
      <c r="I664" s="84" t="s">
        <v>4083</v>
      </c>
      <c r="J664" s="19" t="s">
        <v>2976</v>
      </c>
      <c r="K664" s="89" t="s">
        <v>4083</v>
      </c>
      <c r="L664" s="19" t="s">
        <v>2976</v>
      </c>
    </row>
    <row r="665" spans="1:12">
      <c r="A665" s="61" t="s">
        <v>3069</v>
      </c>
      <c r="B665" s="19" t="s">
        <v>2835</v>
      </c>
      <c r="C665" s="19" t="s">
        <v>3070</v>
      </c>
      <c r="D665" s="19" t="s">
        <v>6186</v>
      </c>
      <c r="E665" s="19" t="s">
        <v>6187</v>
      </c>
      <c r="F665" s="19" t="s">
        <v>2976</v>
      </c>
      <c r="G665" s="84" t="s">
        <v>4083</v>
      </c>
      <c r="H665" s="19" t="s">
        <v>2976</v>
      </c>
      <c r="I665" s="84" t="s">
        <v>4083</v>
      </c>
      <c r="J665" s="84" t="s">
        <v>4083</v>
      </c>
      <c r="K665" s="89" t="s">
        <v>4083</v>
      </c>
      <c r="L665" s="84" t="s">
        <v>4083</v>
      </c>
    </row>
    <row r="666" spans="1:12" ht="29.25">
      <c r="A666" s="164" t="s">
        <v>6188</v>
      </c>
      <c r="B666" s="12" t="s">
        <v>2795</v>
      </c>
      <c r="C666" s="12" t="s">
        <v>3072</v>
      </c>
      <c r="D666" s="12" t="s">
        <v>6189</v>
      </c>
      <c r="E666" s="19" t="s">
        <v>6190</v>
      </c>
      <c r="F666" s="19" t="s">
        <v>2976</v>
      </c>
      <c r="G666" s="84" t="s">
        <v>4083</v>
      </c>
      <c r="H666" s="19" t="s">
        <v>2976</v>
      </c>
      <c r="I666" s="84" t="s">
        <v>4083</v>
      </c>
      <c r="J666" s="19" t="s">
        <v>2976</v>
      </c>
      <c r="K666" s="89" t="s">
        <v>4083</v>
      </c>
      <c r="L666" s="84" t="s">
        <v>4083</v>
      </c>
    </row>
    <row r="667" spans="1:12">
      <c r="A667" s="61" t="s">
        <v>2645</v>
      </c>
      <c r="B667" s="29" t="s">
        <v>2647</v>
      </c>
      <c r="C667" s="329" t="s">
        <v>2648</v>
      </c>
      <c r="D667" s="19" t="s">
        <v>6191</v>
      </c>
      <c r="E667" s="19" t="s">
        <v>6192</v>
      </c>
      <c r="F667" s="19" t="s">
        <v>2976</v>
      </c>
      <c r="H667" s="19" t="s">
        <v>2976</v>
      </c>
      <c r="I667" s="84" t="s">
        <v>4083</v>
      </c>
      <c r="J667" s="19" t="s">
        <v>2976</v>
      </c>
      <c r="K667" s="89" t="s">
        <v>4083</v>
      </c>
      <c r="L667" s="19" t="s">
        <v>2976</v>
      </c>
    </row>
    <row r="668" spans="1:12">
      <c r="A668" s="61" t="s">
        <v>1847</v>
      </c>
      <c r="B668" s="36" t="s">
        <v>2007</v>
      </c>
      <c r="C668" s="36" t="s">
        <v>2008</v>
      </c>
      <c r="D668" s="19" t="s">
        <v>6193</v>
      </c>
      <c r="E668" s="19" t="s">
        <v>6194</v>
      </c>
      <c r="G668" s="19" t="s">
        <v>2976</v>
      </c>
      <c r="H668" s="19" t="s">
        <v>2976</v>
      </c>
      <c r="I668" s="19" t="s">
        <v>2976</v>
      </c>
      <c r="J668" s="84" t="s">
        <v>4083</v>
      </c>
      <c r="K668" s="89" t="s">
        <v>4083</v>
      </c>
      <c r="L668" s="84" t="s">
        <v>4083</v>
      </c>
    </row>
    <row r="669" spans="1:12">
      <c r="A669" s="61" t="s">
        <v>1808</v>
      </c>
      <c r="B669" s="36" t="s">
        <v>1941</v>
      </c>
      <c r="C669" s="36" t="s">
        <v>1942</v>
      </c>
      <c r="D669" s="19" t="s">
        <v>6195</v>
      </c>
      <c r="E669" s="19" t="s">
        <v>6196</v>
      </c>
      <c r="G669" s="84" t="s">
        <v>4083</v>
      </c>
      <c r="H669" s="19" t="s">
        <v>2976</v>
      </c>
      <c r="I669" s="84" t="s">
        <v>4083</v>
      </c>
      <c r="J669" s="84" t="s">
        <v>4083</v>
      </c>
      <c r="K669" s="89" t="s">
        <v>4083</v>
      </c>
      <c r="L669" s="19" t="s">
        <v>2976</v>
      </c>
    </row>
    <row r="670" spans="1:12">
      <c r="A670" s="61" t="s">
        <v>1779</v>
      </c>
      <c r="B670" s="36" t="s">
        <v>2216</v>
      </c>
      <c r="C670" s="36" t="s">
        <v>2217</v>
      </c>
      <c r="D670" s="19" t="s">
        <v>6197</v>
      </c>
      <c r="E670" s="19" t="s">
        <v>6198</v>
      </c>
      <c r="F670" s="19" t="s">
        <v>2976</v>
      </c>
      <c r="G670" s="84" t="s">
        <v>4083</v>
      </c>
      <c r="H670" s="19" t="s">
        <v>2976</v>
      </c>
      <c r="I670" s="84" t="s">
        <v>4083</v>
      </c>
      <c r="J670" s="84" t="s">
        <v>4083</v>
      </c>
      <c r="K670" s="89" t="s">
        <v>4083</v>
      </c>
      <c r="L670" s="89" t="s">
        <v>4083</v>
      </c>
    </row>
    <row r="671" spans="1:12">
      <c r="A671" s="61" t="s">
        <v>3075</v>
      </c>
      <c r="B671" s="19" t="s">
        <v>3076</v>
      </c>
      <c r="C671" s="19" t="s">
        <v>3077</v>
      </c>
      <c r="D671" s="19" t="s">
        <v>6199</v>
      </c>
      <c r="E671" s="19" t="s">
        <v>6200</v>
      </c>
      <c r="F671" s="19" t="s">
        <v>2976</v>
      </c>
      <c r="G671" s="84" t="s">
        <v>4083</v>
      </c>
      <c r="H671" s="84" t="s">
        <v>4083</v>
      </c>
      <c r="I671" s="84" t="s">
        <v>4083</v>
      </c>
      <c r="J671" s="84" t="s">
        <v>4083</v>
      </c>
      <c r="K671" s="89" t="s">
        <v>4083</v>
      </c>
      <c r="L671" s="19" t="s">
        <v>2976</v>
      </c>
    </row>
    <row r="672" spans="1:12">
      <c r="A672" s="61" t="s">
        <v>6201</v>
      </c>
      <c r="B672" s="29" t="s">
        <v>304</v>
      </c>
      <c r="C672" s="29" t="s">
        <v>305</v>
      </c>
      <c r="D672" s="297" t="s">
        <v>6055</v>
      </c>
      <c r="E672" s="19" t="s">
        <v>6202</v>
      </c>
      <c r="F672" s="19" t="s">
        <v>2976</v>
      </c>
      <c r="G672" s="84" t="s">
        <v>4083</v>
      </c>
      <c r="H672" s="19" t="s">
        <v>2976</v>
      </c>
      <c r="I672" s="84" t="s">
        <v>4083</v>
      </c>
      <c r="K672" s="89" t="s">
        <v>4083</v>
      </c>
    </row>
    <row r="673" spans="1:12">
      <c r="A673" s="61" t="s">
        <v>6203</v>
      </c>
      <c r="B673" s="19" t="s">
        <v>2918</v>
      </c>
      <c r="C673" s="19" t="s">
        <v>3091</v>
      </c>
      <c r="D673" s="19" t="s">
        <v>6204</v>
      </c>
      <c r="E673" s="19" t="s">
        <v>6205</v>
      </c>
      <c r="F673" s="19" t="s">
        <v>2976</v>
      </c>
      <c r="G673" s="94" t="s">
        <v>4083</v>
      </c>
      <c r="H673" s="19" t="s">
        <v>2976</v>
      </c>
      <c r="I673" s="94" t="s">
        <v>4083</v>
      </c>
      <c r="J673" s="94" t="s">
        <v>4083</v>
      </c>
      <c r="K673" s="95" t="s">
        <v>4083</v>
      </c>
      <c r="L673" s="19" t="s">
        <v>2976</v>
      </c>
    </row>
    <row r="674" spans="1:12">
      <c r="A674" s="358" t="s">
        <v>6206</v>
      </c>
    </row>
    <row r="675" spans="1:12">
      <c r="A675" s="61" t="s">
        <v>1833</v>
      </c>
      <c r="B675" s="36" t="s">
        <v>2154</v>
      </c>
      <c r="C675" s="36" t="s">
        <v>2155</v>
      </c>
      <c r="D675" s="19" t="s">
        <v>6207</v>
      </c>
      <c r="E675" s="19" t="s">
        <v>6208</v>
      </c>
      <c r="F675" s="19" t="s">
        <v>2976</v>
      </c>
      <c r="G675" s="84" t="s">
        <v>4083</v>
      </c>
      <c r="I675" s="84" t="s">
        <v>4083</v>
      </c>
      <c r="J675" s="19" t="s">
        <v>2976</v>
      </c>
      <c r="K675" s="89" t="s">
        <v>4083</v>
      </c>
      <c r="L675" s="19" t="s">
        <v>2976</v>
      </c>
    </row>
    <row r="676" spans="1:12">
      <c r="A676" s="61" t="s">
        <v>1868</v>
      </c>
      <c r="B676" s="36" t="s">
        <v>1912</v>
      </c>
      <c r="C676" s="36" t="s">
        <v>2194</v>
      </c>
      <c r="D676" s="19" t="s">
        <v>6209</v>
      </c>
      <c r="E676" s="19" t="s">
        <v>6210</v>
      </c>
      <c r="F676" s="19" t="s">
        <v>2976</v>
      </c>
      <c r="G676" s="84" t="s">
        <v>4083</v>
      </c>
      <c r="H676" s="19" t="s">
        <v>2976</v>
      </c>
      <c r="I676" s="84" t="s">
        <v>4083</v>
      </c>
      <c r="J676" s="84" t="s">
        <v>4083</v>
      </c>
      <c r="K676" s="89" t="s">
        <v>4083</v>
      </c>
      <c r="L676" s="84" t="s">
        <v>4083</v>
      </c>
    </row>
    <row r="677" spans="1:12">
      <c r="A677" s="61" t="s">
        <v>970</v>
      </c>
      <c r="B677" s="57" t="s">
        <v>956</v>
      </c>
      <c r="C677" s="57" t="s">
        <v>971</v>
      </c>
      <c r="D677" s="19" t="s">
        <v>6211</v>
      </c>
      <c r="E677" s="19" t="s">
        <v>6212</v>
      </c>
      <c r="F677" s="19" t="s">
        <v>2976</v>
      </c>
      <c r="G677" s="94" t="s">
        <v>4083</v>
      </c>
      <c r="I677" s="94"/>
      <c r="J677" s="94" t="s">
        <v>4083</v>
      </c>
      <c r="K677" s="95" t="s">
        <v>4083</v>
      </c>
      <c r="L677" s="19" t="s">
        <v>2976</v>
      </c>
    </row>
    <row r="678" spans="1:12">
      <c r="A678" s="61" t="s">
        <v>6213</v>
      </c>
      <c r="B678" s="345" t="s">
        <v>2610</v>
      </c>
      <c r="C678" s="29" t="s">
        <v>2849</v>
      </c>
      <c r="D678" s="19" t="s">
        <v>6214</v>
      </c>
      <c r="E678" s="19" t="s">
        <v>6215</v>
      </c>
      <c r="F678" s="19" t="s">
        <v>2976</v>
      </c>
      <c r="H678" s="19" t="s">
        <v>2976</v>
      </c>
      <c r="I678" s="94" t="s">
        <v>4083</v>
      </c>
      <c r="K678" s="95" t="s">
        <v>4083</v>
      </c>
    </row>
    <row r="679" spans="1:12">
      <c r="A679" s="61" t="s">
        <v>2814</v>
      </c>
      <c r="B679" s="29" t="s">
        <v>2881</v>
      </c>
      <c r="C679" s="29" t="s">
        <v>2882</v>
      </c>
      <c r="D679" s="19" t="s">
        <v>6216</v>
      </c>
      <c r="E679" s="19" t="s">
        <v>6217</v>
      </c>
      <c r="H679" s="19" t="s">
        <v>2976</v>
      </c>
      <c r="I679" s="94" t="s">
        <v>4083</v>
      </c>
      <c r="J679" s="94" t="s">
        <v>4083</v>
      </c>
      <c r="K679" s="95" t="s">
        <v>4083</v>
      </c>
      <c r="L679" s="19" t="s">
        <v>2976</v>
      </c>
    </row>
    <row r="680" spans="1:12">
      <c r="A680" s="61" t="s">
        <v>208</v>
      </c>
      <c r="B680" s="303" t="s">
        <v>717</v>
      </c>
      <c r="C680" s="303" t="s">
        <v>718</v>
      </c>
      <c r="D680" s="19" t="s">
        <v>6218</v>
      </c>
      <c r="E680" s="19" t="s">
        <v>6219</v>
      </c>
      <c r="F680" s="19" t="s">
        <v>2976</v>
      </c>
      <c r="G680" s="94" t="s">
        <v>4083</v>
      </c>
      <c r="H680" s="122" t="s">
        <v>4083</v>
      </c>
      <c r="I680" s="122" t="s">
        <v>4083</v>
      </c>
      <c r="J680" s="122" t="s">
        <v>4083</v>
      </c>
      <c r="K680" s="122" t="s">
        <v>4083</v>
      </c>
      <c r="L680" s="19" t="s">
        <v>2976</v>
      </c>
    </row>
    <row r="681" spans="1:12">
      <c r="A681" s="61" t="s">
        <v>1954</v>
      </c>
      <c r="B681" s="36" t="s">
        <v>2304</v>
      </c>
      <c r="C681" s="36" t="s">
        <v>2305</v>
      </c>
      <c r="D681" s="19" t="s">
        <v>6220</v>
      </c>
      <c r="E681" s="19" t="s">
        <v>6221</v>
      </c>
      <c r="G681" s="84" t="s">
        <v>4083</v>
      </c>
      <c r="H681" s="19" t="s">
        <v>2976</v>
      </c>
      <c r="I681" s="84" t="s">
        <v>4083</v>
      </c>
      <c r="J681" s="84" t="s">
        <v>4083</v>
      </c>
      <c r="K681" s="89" t="s">
        <v>4083</v>
      </c>
      <c r="L681" s="84" t="s">
        <v>4083</v>
      </c>
    </row>
    <row r="682" spans="1:12" ht="29.25">
      <c r="A682" s="164" t="s">
        <v>6222</v>
      </c>
      <c r="B682" s="12" t="s">
        <v>3061</v>
      </c>
      <c r="C682" s="12" t="s">
        <v>3081</v>
      </c>
      <c r="D682" s="12" t="s">
        <v>6223</v>
      </c>
      <c r="E682" s="12" t="s">
        <v>6224</v>
      </c>
      <c r="F682" s="19" t="s">
        <v>2976</v>
      </c>
      <c r="G682" s="19" t="s">
        <v>2976</v>
      </c>
      <c r="H682" s="372" t="s">
        <v>2976</v>
      </c>
      <c r="J682" s="84" t="s">
        <v>4083</v>
      </c>
      <c r="K682" s="89" t="s">
        <v>4083</v>
      </c>
      <c r="L682" s="84" t="s">
        <v>4083</v>
      </c>
    </row>
    <row r="683" spans="1:12">
      <c r="A683" s="289" t="s">
        <v>2215</v>
      </c>
      <c r="B683" s="36" t="s">
        <v>2310</v>
      </c>
      <c r="C683" s="36" t="s">
        <v>2311</v>
      </c>
      <c r="D683" s="19" t="s">
        <v>6225</v>
      </c>
      <c r="E683" s="19" t="s">
        <v>6226</v>
      </c>
      <c r="F683" s="19" t="s">
        <v>2976</v>
      </c>
      <c r="G683" s="94" t="s">
        <v>4083</v>
      </c>
      <c r="I683" s="94" t="s">
        <v>4083</v>
      </c>
      <c r="J683" s="19" t="s">
        <v>2976</v>
      </c>
      <c r="K683" s="95" t="s">
        <v>4083</v>
      </c>
      <c r="L683" s="19" t="s">
        <v>4083</v>
      </c>
    </row>
    <row r="684" spans="1:12" ht="29.25">
      <c r="A684" s="225" t="s">
        <v>6227</v>
      </c>
      <c r="B684" s="12" t="s">
        <v>2955</v>
      </c>
      <c r="C684" s="12" t="s">
        <v>3074</v>
      </c>
      <c r="D684" s="12" t="s">
        <v>6228</v>
      </c>
      <c r="E684" s="12" t="s">
        <v>6229</v>
      </c>
      <c r="G684" s="94" t="s">
        <v>4083</v>
      </c>
      <c r="I684" s="94" t="s">
        <v>4083</v>
      </c>
      <c r="J684" s="94" t="s">
        <v>4083</v>
      </c>
      <c r="K684" s="95" t="s">
        <v>4083</v>
      </c>
      <c r="L684" s="19" t="s">
        <v>2976</v>
      </c>
    </row>
    <row r="685" spans="1:12">
      <c r="A685" s="61" t="s">
        <v>2312</v>
      </c>
      <c r="B685" s="36" t="s">
        <v>2314</v>
      </c>
      <c r="C685" s="36" t="s">
        <v>2315</v>
      </c>
      <c r="D685" s="19" t="s">
        <v>6230</v>
      </c>
      <c r="E685" s="19" t="s">
        <v>6231</v>
      </c>
      <c r="F685" s="19" t="s">
        <v>2976</v>
      </c>
      <c r="G685" s="94" t="s">
        <v>4083</v>
      </c>
      <c r="J685" s="19" t="s">
        <v>2976</v>
      </c>
      <c r="K685" s="95" t="s">
        <v>4083</v>
      </c>
      <c r="L685" s="19" t="s">
        <v>2976</v>
      </c>
    </row>
    <row r="686" spans="1:12">
      <c r="A686" s="61" t="s">
        <v>1926</v>
      </c>
      <c r="B686" s="36" t="s">
        <v>2318</v>
      </c>
      <c r="C686" s="36" t="s">
        <v>2319</v>
      </c>
      <c r="D686" s="19" t="s">
        <v>6232</v>
      </c>
      <c r="E686" s="19" t="s">
        <v>6233</v>
      </c>
      <c r="F686" s="19" t="s">
        <v>2976</v>
      </c>
      <c r="G686" s="94" t="s">
        <v>4083</v>
      </c>
      <c r="H686" s="19" t="s">
        <v>2976</v>
      </c>
      <c r="I686" s="94" t="s">
        <v>4083</v>
      </c>
      <c r="J686" s="19" t="s">
        <v>2976</v>
      </c>
      <c r="K686" s="95" t="s">
        <v>4083</v>
      </c>
      <c r="L686" s="19" t="s">
        <v>2976</v>
      </c>
    </row>
    <row r="687" spans="1:12">
      <c r="A687" s="61" t="s">
        <v>6234</v>
      </c>
      <c r="B687" s="57" t="s">
        <v>959</v>
      </c>
      <c r="C687" s="57" t="s">
        <v>960</v>
      </c>
      <c r="D687" s="19" t="s">
        <v>5370</v>
      </c>
      <c r="E687" s="19" t="s">
        <v>6235</v>
      </c>
      <c r="G687" s="94" t="s">
        <v>4083</v>
      </c>
      <c r="H687" s="94" t="s">
        <v>4083</v>
      </c>
      <c r="I687" s="94" t="s">
        <v>4083</v>
      </c>
      <c r="J687" s="94" t="s">
        <v>4083</v>
      </c>
      <c r="K687" s="94" t="s">
        <v>4083</v>
      </c>
      <c r="L687" s="19" t="s">
        <v>2976</v>
      </c>
    </row>
    <row r="688" spans="1:12">
      <c r="A688" s="61" t="s">
        <v>1101</v>
      </c>
      <c r="B688" s="57" t="s">
        <v>1343</v>
      </c>
      <c r="C688" s="57" t="s">
        <v>1344</v>
      </c>
      <c r="D688" s="19" t="s">
        <v>6236</v>
      </c>
      <c r="E688" s="19" t="s">
        <v>6237</v>
      </c>
      <c r="F688" s="19" t="s">
        <v>2976</v>
      </c>
      <c r="G688" s="94" t="s">
        <v>4083</v>
      </c>
      <c r="H688" s="94" t="s">
        <v>4083</v>
      </c>
      <c r="I688" s="94" t="s">
        <v>4083</v>
      </c>
      <c r="K688" s="95" t="s">
        <v>4083</v>
      </c>
      <c r="L688" s="19" t="s">
        <v>4083</v>
      </c>
    </row>
    <row r="689" spans="1:12">
      <c r="A689" s="61" t="s">
        <v>2023</v>
      </c>
      <c r="B689" s="36" t="s">
        <v>2328</v>
      </c>
      <c r="C689" s="36" t="s">
        <v>2329</v>
      </c>
      <c r="D689" s="19" t="s">
        <v>6238</v>
      </c>
      <c r="E689" s="19" t="s">
        <v>6239</v>
      </c>
      <c r="G689" s="94" t="s">
        <v>4083</v>
      </c>
      <c r="I689" s="94" t="s">
        <v>4083</v>
      </c>
      <c r="J689" s="94" t="s">
        <v>4083</v>
      </c>
      <c r="K689" s="95" t="s">
        <v>4083</v>
      </c>
      <c r="L689" s="94" t="s">
        <v>4083</v>
      </c>
    </row>
    <row r="690" spans="1:12">
      <c r="A690" s="61" t="s">
        <v>6240</v>
      </c>
      <c r="B690" s="36" t="s">
        <v>299</v>
      </c>
      <c r="C690" s="36" t="s">
        <v>980</v>
      </c>
      <c r="D690" s="19" t="s">
        <v>6241</v>
      </c>
      <c r="E690" s="19" t="s">
        <v>6242</v>
      </c>
      <c r="G690" s="94" t="s">
        <v>4083</v>
      </c>
      <c r="H690" s="94" t="s">
        <v>4083</v>
      </c>
      <c r="I690" s="94" t="s">
        <v>4083</v>
      </c>
      <c r="J690" s="94" t="s">
        <v>4083</v>
      </c>
      <c r="K690" s="95" t="s">
        <v>4083</v>
      </c>
      <c r="L690" s="94" t="s">
        <v>4083</v>
      </c>
    </row>
    <row r="691" spans="1:12">
      <c r="A691" s="61" t="s">
        <v>1891</v>
      </c>
      <c r="B691" s="36" t="s">
        <v>2373</v>
      </c>
      <c r="C691" s="36" t="s">
        <v>2374</v>
      </c>
      <c r="D691" s="19" t="s">
        <v>6243</v>
      </c>
      <c r="E691" s="19" t="s">
        <v>6244</v>
      </c>
      <c r="F691" s="19" t="s">
        <v>2976</v>
      </c>
      <c r="H691" s="19" t="s">
        <v>2976</v>
      </c>
      <c r="K691" s="95" t="s">
        <v>4083</v>
      </c>
      <c r="L691" s="94" t="s">
        <v>4083</v>
      </c>
    </row>
    <row r="692" spans="1:12">
      <c r="A692" s="61" t="s">
        <v>2203</v>
      </c>
      <c r="B692" s="36" t="s">
        <v>2216</v>
      </c>
      <c r="C692" s="36" t="s">
        <v>2332</v>
      </c>
      <c r="D692" s="19" t="s">
        <v>6245</v>
      </c>
      <c r="E692" s="19" t="s">
        <v>6246</v>
      </c>
      <c r="F692" s="19" t="s">
        <v>2976</v>
      </c>
      <c r="G692" s="94" t="s">
        <v>4083</v>
      </c>
      <c r="H692" s="19" t="s">
        <v>2976</v>
      </c>
      <c r="I692" s="94" t="s">
        <v>4083</v>
      </c>
      <c r="J692" s="94" t="s">
        <v>4083</v>
      </c>
      <c r="K692" s="94" t="s">
        <v>4083</v>
      </c>
      <c r="L692" s="94" t="s">
        <v>4083</v>
      </c>
    </row>
    <row r="693" spans="1:12">
      <c r="A693" s="61" t="s">
        <v>1862</v>
      </c>
      <c r="B693" s="36" t="s">
        <v>2369</v>
      </c>
      <c r="C693" s="36" t="s">
        <v>2370</v>
      </c>
      <c r="D693" s="19" t="s">
        <v>6247</v>
      </c>
      <c r="E693" s="19" t="s">
        <v>6248</v>
      </c>
      <c r="F693" s="19" t="s">
        <v>2976</v>
      </c>
      <c r="G693" s="94" t="s">
        <v>4083</v>
      </c>
      <c r="H693" s="19" t="s">
        <v>2976</v>
      </c>
      <c r="K693" s="95" t="s">
        <v>4083</v>
      </c>
    </row>
    <row r="694" spans="1:12">
      <c r="A694" s="61" t="s">
        <v>1990</v>
      </c>
      <c r="B694" s="36" t="s">
        <v>1912</v>
      </c>
      <c r="C694" s="36" t="s">
        <v>2335</v>
      </c>
      <c r="D694" s="19" t="s">
        <v>6249</v>
      </c>
      <c r="E694" s="19" t="s">
        <v>6250</v>
      </c>
      <c r="F694" s="19" t="s">
        <v>2976</v>
      </c>
      <c r="G694" s="94" t="s">
        <v>4083</v>
      </c>
      <c r="H694" s="19" t="s">
        <v>2976</v>
      </c>
      <c r="I694" s="94" t="s">
        <v>4083</v>
      </c>
      <c r="J694" s="94" t="s">
        <v>4083</v>
      </c>
      <c r="K694" s="95" t="s">
        <v>4083</v>
      </c>
      <c r="L694" s="19" t="s">
        <v>2976</v>
      </c>
    </row>
    <row r="695" spans="1:12">
      <c r="A695" s="61" t="s">
        <v>1973</v>
      </c>
      <c r="B695" s="36" t="s">
        <v>2007</v>
      </c>
      <c r="C695" s="36" t="s">
        <v>2340</v>
      </c>
      <c r="D695" s="19" t="s">
        <v>6251</v>
      </c>
      <c r="E695" s="19" t="s">
        <v>6252</v>
      </c>
      <c r="F695" s="19" t="s">
        <v>2976</v>
      </c>
      <c r="H695" s="19" t="s">
        <v>2976</v>
      </c>
      <c r="J695" s="94" t="s">
        <v>4083</v>
      </c>
      <c r="K695" s="95" t="s">
        <v>4083</v>
      </c>
      <c r="L695" s="19" t="s">
        <v>2976</v>
      </c>
    </row>
    <row r="696" spans="1:12">
      <c r="A696" s="61" t="s">
        <v>1537</v>
      </c>
      <c r="B696" s="36" t="s">
        <v>2338</v>
      </c>
      <c r="C696" s="36" t="s">
        <v>2339</v>
      </c>
      <c r="D696" s="19" t="s">
        <v>6253</v>
      </c>
      <c r="E696" s="19" t="s">
        <v>6254</v>
      </c>
      <c r="F696" s="19" t="s">
        <v>2976</v>
      </c>
      <c r="G696" s="94" t="s">
        <v>4083</v>
      </c>
      <c r="H696" s="19" t="s">
        <v>2976</v>
      </c>
      <c r="J696" s="94" t="s">
        <v>4083</v>
      </c>
      <c r="K696" s="95" t="s">
        <v>4083</v>
      </c>
    </row>
    <row r="697" spans="1:12">
      <c r="A697" s="61" t="s">
        <v>394</v>
      </c>
      <c r="B697" s="36" t="s">
        <v>725</v>
      </c>
      <c r="C697" s="36" t="s">
        <v>726</v>
      </c>
      <c r="D697" s="19" t="s">
        <v>6255</v>
      </c>
      <c r="E697" s="19" t="s">
        <v>6256</v>
      </c>
      <c r="G697" s="94" t="s">
        <v>4083</v>
      </c>
      <c r="H697" s="19" t="s">
        <v>2976</v>
      </c>
      <c r="I697" s="94" t="s">
        <v>4083</v>
      </c>
      <c r="J697" s="94" t="s">
        <v>4083</v>
      </c>
      <c r="K697" s="95" t="s">
        <v>4083</v>
      </c>
      <c r="L697" s="94" t="s">
        <v>4083</v>
      </c>
    </row>
    <row r="698" spans="1:12">
      <c r="A698" s="61" t="s">
        <v>686</v>
      </c>
      <c r="B698" s="36" t="s">
        <v>861</v>
      </c>
      <c r="C698" s="36" t="s">
        <v>1373</v>
      </c>
      <c r="D698" s="99" t="s">
        <v>6257</v>
      </c>
      <c r="E698" s="19" t="s">
        <v>6258</v>
      </c>
      <c r="G698" s="94" t="s">
        <v>4083</v>
      </c>
      <c r="I698" s="94" t="s">
        <v>4083</v>
      </c>
      <c r="J698" s="122" t="s">
        <v>4083</v>
      </c>
      <c r="K698" s="122" t="s">
        <v>4083</v>
      </c>
    </row>
    <row r="699" spans="1:12">
      <c r="A699" s="61" t="s">
        <v>2206</v>
      </c>
      <c r="B699" s="36" t="s">
        <v>2208</v>
      </c>
      <c r="C699" s="36" t="s">
        <v>2209</v>
      </c>
      <c r="D699" s="19" t="s">
        <v>6259</v>
      </c>
      <c r="E699" s="19" t="s">
        <v>6260</v>
      </c>
      <c r="F699" s="19" t="s">
        <v>2976</v>
      </c>
      <c r="G699" s="94" t="s">
        <v>4083</v>
      </c>
      <c r="H699" s="19" t="s">
        <v>2976</v>
      </c>
      <c r="J699" s="122" t="s">
        <v>4083</v>
      </c>
      <c r="K699" s="122" t="s">
        <v>4083</v>
      </c>
    </row>
    <row r="700" spans="1:12">
      <c r="A700" s="61" t="s">
        <v>569</v>
      </c>
      <c r="B700" s="36" t="s">
        <v>721</v>
      </c>
      <c r="C700" s="36" t="s">
        <v>722</v>
      </c>
      <c r="D700" s="19" t="s">
        <v>6261</v>
      </c>
      <c r="E700" s="19" t="s">
        <v>6262</v>
      </c>
      <c r="G700" s="94" t="s">
        <v>4083</v>
      </c>
      <c r="H700" s="94" t="s">
        <v>4083</v>
      </c>
      <c r="I700" s="94" t="s">
        <v>4083</v>
      </c>
      <c r="J700" s="94" t="s">
        <v>4083</v>
      </c>
      <c r="K700" s="94" t="s">
        <v>4083</v>
      </c>
      <c r="L700" s="19" t="s">
        <v>2976</v>
      </c>
    </row>
    <row r="701" spans="1:12">
      <c r="A701" s="61" t="s">
        <v>728</v>
      </c>
      <c r="B701" s="36" t="s">
        <v>1320</v>
      </c>
      <c r="C701" s="36" t="s">
        <v>1321</v>
      </c>
      <c r="D701" s="19" t="s">
        <v>6263</v>
      </c>
      <c r="E701" s="19" t="s">
        <v>6264</v>
      </c>
      <c r="F701" s="94" t="s">
        <v>4083</v>
      </c>
      <c r="G701" s="264" t="s">
        <v>4083</v>
      </c>
      <c r="I701" s="264" t="s">
        <v>4083</v>
      </c>
      <c r="J701" s="264" t="s">
        <v>4083</v>
      </c>
      <c r="K701" s="264" t="s">
        <v>4083</v>
      </c>
      <c r="L701" s="264" t="s">
        <v>4083</v>
      </c>
    </row>
    <row r="702" spans="1:12">
      <c r="A702" s="61" t="s">
        <v>735</v>
      </c>
      <c r="B702" s="36" t="s">
        <v>192</v>
      </c>
      <c r="C702" s="36" t="s">
        <v>1318</v>
      </c>
      <c r="D702" s="19" t="s">
        <v>6265</v>
      </c>
      <c r="E702" s="19" t="s">
        <v>6266</v>
      </c>
      <c r="G702" s="264" t="s">
        <v>4083</v>
      </c>
      <c r="I702" s="264" t="s">
        <v>4083</v>
      </c>
      <c r="J702" s="264" t="s">
        <v>4083</v>
      </c>
      <c r="K702" s="264" t="s">
        <v>4083</v>
      </c>
      <c r="L702" s="264" t="s">
        <v>4083</v>
      </c>
    </row>
    <row r="703" spans="1:12">
      <c r="A703" s="61" t="s">
        <v>1969</v>
      </c>
      <c r="B703" s="36" t="s">
        <v>2330</v>
      </c>
      <c r="C703" s="36" t="s">
        <v>2331</v>
      </c>
      <c r="D703" s="99" t="s">
        <v>6267</v>
      </c>
      <c r="E703" s="19" t="s">
        <v>6268</v>
      </c>
    </row>
    <row r="704" spans="1:12">
      <c r="A704" s="61" t="s">
        <v>1947</v>
      </c>
      <c r="B704" s="36" t="s">
        <v>2325</v>
      </c>
      <c r="C704" s="36" t="s">
        <v>2311</v>
      </c>
      <c r="D704" s="19" t="s">
        <v>6269</v>
      </c>
      <c r="E704" s="19" t="s">
        <v>6270</v>
      </c>
      <c r="F704" s="19" t="s">
        <v>2976</v>
      </c>
      <c r="G704" s="94" t="s">
        <v>4083</v>
      </c>
      <c r="I704" s="94" t="s">
        <v>4083</v>
      </c>
      <c r="K704" s="94" t="s">
        <v>4083</v>
      </c>
      <c r="L704" s="94" t="s">
        <v>4083</v>
      </c>
    </row>
    <row r="705" spans="1:12">
      <c r="A705" s="61" t="s">
        <v>1041</v>
      </c>
      <c r="B705" s="57" t="s">
        <v>564</v>
      </c>
      <c r="C705" s="57" t="s">
        <v>1274</v>
      </c>
      <c r="D705" s="99" t="s">
        <v>6271</v>
      </c>
      <c r="E705" s="19" t="s">
        <v>6272</v>
      </c>
      <c r="G705" s="94" t="s">
        <v>4083</v>
      </c>
      <c r="H705" s="94" t="s">
        <v>4083</v>
      </c>
      <c r="I705" s="94" t="s">
        <v>4083</v>
      </c>
      <c r="J705" s="94" t="s">
        <v>4083</v>
      </c>
      <c r="K705" s="94" t="s">
        <v>4083</v>
      </c>
      <c r="L705" s="94" t="s">
        <v>4083</v>
      </c>
    </row>
    <row r="706" spans="1:12">
      <c r="A706" s="250" t="s">
        <v>1106</v>
      </c>
      <c r="B706" s="57" t="s">
        <v>916</v>
      </c>
      <c r="C706" s="57" t="s">
        <v>917</v>
      </c>
      <c r="D706" s="99" t="s">
        <v>6273</v>
      </c>
      <c r="E706" s="19" t="s">
        <v>6274</v>
      </c>
      <c r="G706" s="94" t="s">
        <v>4083</v>
      </c>
      <c r="H706" s="94" t="s">
        <v>4083</v>
      </c>
      <c r="I706" s="94" t="s">
        <v>4083</v>
      </c>
      <c r="J706" s="94" t="s">
        <v>4083</v>
      </c>
      <c r="K706" s="94" t="s">
        <v>4083</v>
      </c>
      <c r="L706" s="94" t="s">
        <v>4083</v>
      </c>
    </row>
    <row r="707" spans="1:12">
      <c r="A707" s="61" t="s">
        <v>1005</v>
      </c>
      <c r="B707" s="57" t="s">
        <v>1361</v>
      </c>
      <c r="C707" s="57" t="s">
        <v>1362</v>
      </c>
      <c r="D707" s="99" t="s">
        <v>6275</v>
      </c>
      <c r="E707" s="19" t="s">
        <v>6276</v>
      </c>
    </row>
    <row r="708" spans="1:12">
      <c r="A708" s="19" t="s">
        <v>6277</v>
      </c>
    </row>
  </sheetData>
  <autoFilter ref="A1:L364" xr:uid="{2128E037-4276-4F8F-B548-037F6376A969}">
    <filterColumn colId="0" showButton="0"/>
    <filterColumn colId="1" showButton="0"/>
    <filterColumn colId="2" showButton="0"/>
    <filterColumn colId="3" showButton="0"/>
    <filterColumn colId="5" showButton="0"/>
    <filterColumn colId="6" showButton="0"/>
    <filterColumn colId="7" showButton="0"/>
    <filterColumn colId="8" showButton="0"/>
    <filterColumn colId="9" showButton="0"/>
    <filterColumn colId="10" showButton="0"/>
  </autoFilter>
  <mergeCells count="2">
    <mergeCell ref="A1:E1"/>
    <mergeCell ref="F1:L1"/>
  </mergeCells>
  <conditionalFormatting sqref="C140">
    <cfRule type="expression" dxfId="1465" priority="1542">
      <formula>$E140="VT A FAIRE"</formula>
    </cfRule>
  </conditionalFormatting>
  <conditionalFormatting sqref="C140">
    <cfRule type="expression" dxfId="1464" priority="1529">
      <formula>$E140="ATT COMAC/CAPFT"</formula>
    </cfRule>
    <cfRule type="expression" dxfId="1463" priority="1530">
      <formula>$E140="ATT DTA"</formula>
    </cfRule>
    <cfRule type="expression" dxfId="1462" priority="1531">
      <formula>$E140="ATT TRVX CLIENT"</formula>
    </cfRule>
    <cfRule type="expression" dxfId="1461" priority="1532">
      <formula>$E140="POI EN FACTU"</formula>
    </cfRule>
    <cfRule type="expression" dxfId="1460" priority="1533">
      <formula>$E140="POI EN TRAVAUX"</formula>
    </cfRule>
    <cfRule type="expression" dxfId="1459" priority="1534">
      <formula>$E140="ATT MAJ SI"</formula>
    </cfRule>
    <cfRule type="expression" dxfId="1458" priority="1535">
      <formula>$E140="ATT DEVIS CLIENT"</formula>
    </cfRule>
    <cfRule type="expression" dxfId="1457" priority="1536">
      <formula>$E140="ATT PV"</formula>
    </cfRule>
    <cfRule type="expression" dxfId="1456" priority="1537">
      <formula>$E140="DOSSIER A MONTER"</formula>
    </cfRule>
    <cfRule type="expression" dxfId="1455" priority="1538">
      <formula>$E140="DOSSIER A REPRENDRE"</formula>
    </cfRule>
    <cfRule type="expression" dxfId="1454" priority="1539">
      <formula>$E140="ATT DEVIS ORANGE/RIP"</formula>
    </cfRule>
  </conditionalFormatting>
  <conditionalFormatting sqref="C140">
    <cfRule type="expression" dxfId="1453" priority="1540">
      <formula>$E140="ATT INFOS CAF REF"</formula>
    </cfRule>
  </conditionalFormatting>
  <conditionalFormatting sqref="C140">
    <cfRule type="expression" dxfId="1452" priority="1541">
      <formula>$E140="RETOUR VT"</formula>
    </cfRule>
  </conditionalFormatting>
  <conditionalFormatting sqref="B144">
    <cfRule type="expression" dxfId="1451" priority="1528">
      <formula>$E144="ATT DEVIS CLIENT"</formula>
    </cfRule>
  </conditionalFormatting>
  <conditionalFormatting sqref="B144">
    <cfRule type="expression" dxfId="1450" priority="1523">
      <formula>$E144="ATT INFOS CAF REF"</formula>
    </cfRule>
  </conditionalFormatting>
  <conditionalFormatting sqref="B144">
    <cfRule type="expression" dxfId="1449" priority="1524">
      <formula>$E144="RETOUR VT"</formula>
    </cfRule>
  </conditionalFormatting>
  <conditionalFormatting sqref="B144">
    <cfRule type="expression" dxfId="1448" priority="1525">
      <formula>$E144="VT A FAIRE"</formula>
    </cfRule>
  </conditionalFormatting>
  <conditionalFormatting sqref="B144">
    <cfRule type="expression" dxfId="1447" priority="1526">
      <formula>$E144="ATT DEVIS ORANGE/RIP"</formula>
    </cfRule>
  </conditionalFormatting>
  <conditionalFormatting sqref="B144">
    <cfRule type="expression" dxfId="1446" priority="1527">
      <formula>$E144="POI EN TRAVAUX"</formula>
    </cfRule>
  </conditionalFormatting>
  <conditionalFormatting sqref="B144">
    <cfRule type="expression" dxfId="1445" priority="1515">
      <formula>$E144="ATT COMAC/CAPFT"</formula>
    </cfRule>
    <cfRule type="expression" dxfId="1444" priority="1516">
      <formula>$E144="ATT DTA"</formula>
    </cfRule>
    <cfRule type="expression" dxfId="1443" priority="1517">
      <formula>$E144="ATT TRVX CLIENT"</formula>
    </cfRule>
    <cfRule type="expression" dxfId="1442" priority="1518">
      <formula>$E144="ATT MAJ SI"</formula>
    </cfRule>
    <cfRule type="expression" dxfId="1441" priority="1519">
      <formula>$E144="DOSSIER A REPRENDRE"</formula>
    </cfRule>
    <cfRule type="expression" dxfId="1440" priority="1520">
      <formula>$E144="ATT PV"</formula>
    </cfRule>
    <cfRule type="expression" dxfId="1439" priority="1521">
      <formula>$E144="DOSSIER A MONTER"</formula>
    </cfRule>
    <cfRule type="expression" dxfId="1438" priority="1522">
      <formula>$E144="POI EN FACTU"</formula>
    </cfRule>
  </conditionalFormatting>
  <conditionalFormatting sqref="B146">
    <cfRule type="expression" dxfId="1437" priority="1514">
      <formula>$E146="ATT DEVIS CLIENT"</formula>
    </cfRule>
  </conditionalFormatting>
  <conditionalFormatting sqref="B146">
    <cfRule type="expression" dxfId="1436" priority="1509">
      <formula>$E146="ATT INFOS CAF REF"</formula>
    </cfRule>
  </conditionalFormatting>
  <conditionalFormatting sqref="B146">
    <cfRule type="expression" dxfId="1435" priority="1510">
      <formula>$E146="RETOUR VT"</formula>
    </cfRule>
  </conditionalFormatting>
  <conditionalFormatting sqref="B146">
    <cfRule type="expression" dxfId="1434" priority="1511">
      <formula>$E146="VT A FAIRE"</formula>
    </cfRule>
  </conditionalFormatting>
  <conditionalFormatting sqref="B146">
    <cfRule type="expression" dxfId="1433" priority="1512">
      <formula>$E146="ATT DEVIS ORANGE/RIP"</formula>
    </cfRule>
  </conditionalFormatting>
  <conditionalFormatting sqref="B146">
    <cfRule type="expression" dxfId="1432" priority="1513">
      <formula>$E146="POI EN TRAVAUX"</formula>
    </cfRule>
  </conditionalFormatting>
  <conditionalFormatting sqref="B146">
    <cfRule type="expression" dxfId="1431" priority="1501">
      <formula>$E146="ATT COMAC/CAPFT"</formula>
    </cfRule>
    <cfRule type="expression" dxfId="1430" priority="1502">
      <formula>$E146="ATT DTA"</formula>
    </cfRule>
    <cfRule type="expression" dxfId="1429" priority="1503">
      <formula>$E146="ATT TRVX CLIENT"</formula>
    </cfRule>
    <cfRule type="expression" dxfId="1428" priority="1504">
      <formula>$E146="ATT MAJ SI"</formula>
    </cfRule>
    <cfRule type="expression" dxfId="1427" priority="1505">
      <formula>$E146="DOSSIER A REPRENDRE"</formula>
    </cfRule>
    <cfRule type="expression" dxfId="1426" priority="1506">
      <formula>$E146="ATT PV"</formula>
    </cfRule>
    <cfRule type="expression" dxfId="1425" priority="1507">
      <formula>$E146="DOSSIER A MONTER"</formula>
    </cfRule>
    <cfRule type="expression" dxfId="1424" priority="1508">
      <formula>$E146="POI EN FACTU"</formula>
    </cfRule>
  </conditionalFormatting>
  <conditionalFormatting sqref="B148">
    <cfRule type="expression" dxfId="1423" priority="1500">
      <formula>$E148="VT A FAIRE"</formula>
    </cfRule>
  </conditionalFormatting>
  <conditionalFormatting sqref="B148">
    <cfRule type="expression" dxfId="1422" priority="1487">
      <formula>$E148="ATT COMAC/CAPFT"</formula>
    </cfRule>
    <cfRule type="expression" dxfId="1421" priority="1488">
      <formula>$E148="ATT DTA"</formula>
    </cfRule>
    <cfRule type="expression" dxfId="1420" priority="1489">
      <formula>$E148="ATT TRVX CLIENT"</formula>
    </cfRule>
    <cfRule type="expression" dxfId="1419" priority="1490">
      <formula>$E148="POI EN FACTU"</formula>
    </cfRule>
    <cfRule type="expression" dxfId="1418" priority="1491">
      <formula>$E148="POI EN TRAVAUX"</formula>
    </cfRule>
    <cfRule type="expression" dxfId="1417" priority="1492">
      <formula>$E148="ATT MAJ SI"</formula>
    </cfRule>
    <cfRule type="expression" dxfId="1416" priority="1493">
      <formula>$E148="ATT DEVIS CLIENT"</formula>
    </cfRule>
    <cfRule type="expression" dxfId="1415" priority="1494">
      <formula>$E148="ATT PV"</formula>
    </cfRule>
    <cfRule type="expression" dxfId="1414" priority="1495">
      <formula>$E148="DOSSIER A MONTER"</formula>
    </cfRule>
    <cfRule type="expression" dxfId="1413" priority="1496">
      <formula>$E148="DOSSIER A REPRENDRE"</formula>
    </cfRule>
    <cfRule type="expression" dxfId="1412" priority="1497">
      <formula>$E148="ATT DEVIS ORANGE/RIP"</formula>
    </cfRule>
  </conditionalFormatting>
  <conditionalFormatting sqref="B148">
    <cfRule type="expression" dxfId="1411" priority="1498">
      <formula>$E148="ATT INFOS CAF REF"</formula>
    </cfRule>
  </conditionalFormatting>
  <conditionalFormatting sqref="B148">
    <cfRule type="expression" dxfId="1410" priority="1499">
      <formula>$E148="RETOUR VT"</formula>
    </cfRule>
  </conditionalFormatting>
  <conditionalFormatting sqref="B232">
    <cfRule type="expression" dxfId="1409" priority="1472">
      <formula>$E232="ETAT 5"</formula>
    </cfRule>
    <cfRule type="expression" dxfId="1408" priority="1473">
      <formula>$E232="ATT DEVIS ORANGE/RIP"</formula>
    </cfRule>
    <cfRule type="expression" dxfId="1407" priority="1474">
      <formula>$E232="POI EN TRAVAUX"</formula>
    </cfRule>
    <cfRule type="expression" dxfId="1406" priority="1475">
      <formula>$E232="POI EN FACTU"</formula>
    </cfRule>
    <cfRule type="expression" dxfId="1405" priority="1476">
      <formula>$E232="ATT COMAC/CAPFT"</formula>
    </cfRule>
    <cfRule type="expression" dxfId="1404" priority="1477">
      <formula>$E232="ATT DEVIS CLIENT"</formula>
    </cfRule>
    <cfRule type="expression" dxfId="1403" priority="1478">
      <formula>$E232="VT A FAIRE"</formula>
    </cfRule>
    <cfRule type="expression" dxfId="1402" priority="1479">
      <formula>$E232="ATT INFOS CAF REF"</formula>
    </cfRule>
    <cfRule type="expression" dxfId="1401" priority="1480">
      <formula>$E232="ATT DTA"</formula>
    </cfRule>
    <cfRule type="expression" dxfId="1400" priority="1481">
      <formula>$E232="ATT TRVX CLIENT"</formula>
    </cfRule>
    <cfRule type="expression" dxfId="1399" priority="1482">
      <formula>$E232="ATT PV"</formula>
    </cfRule>
    <cfRule type="expression" dxfId="1398" priority="1483">
      <formula>$E232="DOSSIER A MONTER"</formula>
    </cfRule>
    <cfRule type="expression" dxfId="1397" priority="1484">
      <formula>$E232="DOSSIER A REPRENDRE"</formula>
    </cfRule>
    <cfRule type="expression" dxfId="1396" priority="1485">
      <formula>$E232="RETOUR VT"</formula>
    </cfRule>
    <cfRule type="expression" dxfId="1395" priority="1486">
      <formula>$E232="ATT MAJ SI"</formula>
    </cfRule>
  </conditionalFormatting>
  <conditionalFormatting sqref="B239:C239">
    <cfRule type="expression" dxfId="1394" priority="1457">
      <formula>$E239="ETAT 5"</formula>
    </cfRule>
    <cfRule type="expression" dxfId="1393" priority="1458">
      <formula>$E239="ATT COMAC/CAPFT"</formula>
    </cfRule>
    <cfRule type="expression" dxfId="1392" priority="1459">
      <formula>$E239="ATT DTA"</formula>
    </cfRule>
    <cfRule type="expression" dxfId="1391" priority="1460">
      <formula>$E239="ATT TRVX CLIENT"</formula>
    </cfRule>
    <cfRule type="expression" dxfId="1390" priority="1461">
      <formula>$E239="POI EN FACTU"</formula>
    </cfRule>
    <cfRule type="expression" dxfId="1389" priority="1462">
      <formula>$E239="POI EN TRAVAUX"</formula>
    </cfRule>
    <cfRule type="expression" dxfId="1388" priority="1463">
      <formula>$E239="ATT MAJ SI"</formula>
    </cfRule>
    <cfRule type="expression" dxfId="1387" priority="1464">
      <formula>$E239="ATT DEVIS CLIENT"</formula>
    </cfRule>
    <cfRule type="expression" dxfId="1386" priority="1465">
      <formula>$E239="ATT PV"</formula>
    </cfRule>
    <cfRule type="expression" dxfId="1385" priority="1466">
      <formula>$E239="DOSSIER A MONTER"</formula>
    </cfRule>
    <cfRule type="expression" dxfId="1384" priority="1467">
      <formula>$E239="DOSSIER A REPRENDRE"</formula>
    </cfRule>
    <cfRule type="expression" dxfId="1383" priority="1468">
      <formula>$E239="ATT DEVIS ORANGE/RIP"</formula>
    </cfRule>
    <cfRule type="expression" dxfId="1382" priority="1469">
      <formula>$E239="ATT INFOS CAF REF"</formula>
    </cfRule>
    <cfRule type="expression" dxfId="1381" priority="1470">
      <formula>$E239="RETOUR VT"</formula>
    </cfRule>
    <cfRule type="expression" dxfId="1380" priority="1471">
      <formula>$E239="VT A FAIRE"</formula>
    </cfRule>
  </conditionalFormatting>
  <conditionalFormatting sqref="B240:C240">
    <cfRule type="expression" dxfId="1379" priority="1451">
      <formula>$E240="VT A FAIRE"</formula>
    </cfRule>
    <cfRule type="expression" dxfId="1378" priority="1452">
      <formula>$E240="ATT INFOS CAF REF"</formula>
    </cfRule>
  </conditionalFormatting>
  <conditionalFormatting sqref="B240:C240">
    <cfRule type="expression" dxfId="1377" priority="1444">
      <formula>$E240="ATT DTA"</formula>
    </cfRule>
    <cfRule type="expression" dxfId="1376" priority="1445">
      <formula>$E240="ATT TRVX CLIENT"</formula>
    </cfRule>
    <cfRule type="expression" dxfId="1375" priority="1446">
      <formula>$E240="ATT MAJ SI"</formula>
    </cfRule>
    <cfRule type="expression" dxfId="1374" priority="1447">
      <formula>$E240="DOSSIER A REPRENDRE"</formula>
    </cfRule>
    <cfRule type="expression" dxfId="1373" priority="1448">
      <formula>$E240="ATT PV"</formula>
    </cfRule>
    <cfRule type="expression" dxfId="1372" priority="1449">
      <formula>$E240="DOSSIER A MONTER"</formula>
    </cfRule>
    <cfRule type="expression" dxfId="1371" priority="1450">
      <formula>$E240="POI EN FACTU"</formula>
    </cfRule>
    <cfRule type="expression" dxfId="1370" priority="1453">
      <formula>$E240="RETOUR VT"</formula>
    </cfRule>
    <cfRule type="expression" dxfId="1369" priority="1454">
      <formula>$E240="ATT DEVIS ORANGE/RIP"</formula>
    </cfRule>
    <cfRule type="expression" dxfId="1368" priority="1455">
      <formula>$E240="POI EN TRAVAUX"</formula>
    </cfRule>
    <cfRule type="expression" dxfId="1367" priority="1456">
      <formula>$E240="ATT DEVIS CLIENT"</formula>
    </cfRule>
  </conditionalFormatting>
  <conditionalFormatting sqref="B240:C240">
    <cfRule type="expression" dxfId="1366" priority="1442">
      <formula>$E240="ETAT 5"</formula>
    </cfRule>
    <cfRule type="expression" dxfId="1365" priority="1443">
      <formula>$E240="ATT COMAC/CAPFT"</formula>
    </cfRule>
  </conditionalFormatting>
  <conditionalFormatting sqref="B246:C246">
    <cfRule type="expression" dxfId="1364" priority="1434">
      <formula>$E246="DOSSIER A REPRENDRE"</formula>
    </cfRule>
    <cfRule type="expression" dxfId="1363" priority="1435">
      <formula>$E246="ATT PV"</formula>
    </cfRule>
    <cfRule type="expression" dxfId="1362" priority="1436">
      <formula>$E246="DOSSIER A MONTER"</formula>
    </cfRule>
    <cfRule type="expression" dxfId="1361" priority="1437">
      <formula>$E246="POI EN FACTU"</formula>
    </cfRule>
  </conditionalFormatting>
  <conditionalFormatting sqref="B246:C246">
    <cfRule type="expression" dxfId="1360" priority="1423">
      <formula>$E246="ETAT 5"</formula>
    </cfRule>
    <cfRule type="expression" dxfId="1359" priority="1424">
      <formula>$E246="ATT COMAC/CAPFT"</formula>
    </cfRule>
    <cfRule type="expression" dxfId="1358" priority="1425">
      <formula>$E246="ATT DTA"</formula>
    </cfRule>
    <cfRule type="expression" dxfId="1357" priority="1426">
      <formula>$E246="ATT TRVX CLIENT"</formula>
    </cfRule>
    <cfRule type="expression" dxfId="1356" priority="1427">
      <formula>$E246="ATT MAJ SI"</formula>
    </cfRule>
    <cfRule type="expression" dxfId="1355" priority="1428">
      <formula>$E246="DOSSIER A REPRENDRE"</formula>
    </cfRule>
    <cfRule type="expression" dxfId="1354" priority="1429">
      <formula>$E246="ATT PV"</formula>
    </cfRule>
    <cfRule type="expression" dxfId="1353" priority="1430">
      <formula>$E246="DOSSIER A MONTER"</formula>
    </cfRule>
    <cfRule type="expression" dxfId="1352" priority="1431">
      <formula>$E246="POI EN FACTU"</formula>
    </cfRule>
    <cfRule type="expression" dxfId="1351" priority="1432">
      <formula>$E246="RETOUR VT"</formula>
    </cfRule>
    <cfRule type="expression" dxfId="1350" priority="1433">
      <formula>$E246="VT A FAIRE"</formula>
    </cfRule>
    <cfRule type="expression" dxfId="1349" priority="1438">
      <formula>$E246="ATT INFOS CAF REF"</formula>
    </cfRule>
    <cfRule type="expression" dxfId="1348" priority="1439">
      <formula>$E246="ATT DEVIS ORANGE/RIP"</formula>
    </cfRule>
    <cfRule type="expression" dxfId="1347" priority="1440">
      <formula>$E246="POI EN TRAVAUX"</formula>
    </cfRule>
    <cfRule type="expression" dxfId="1346" priority="1441">
      <formula>$E246="ATT DEVIS CLIENT"</formula>
    </cfRule>
  </conditionalFormatting>
  <conditionalFormatting sqref="B247:C247">
    <cfRule type="expression" dxfId="1345" priority="1422">
      <formula>$E247="ATT DEVIS CLIENT"</formula>
    </cfRule>
  </conditionalFormatting>
  <conditionalFormatting sqref="B247:C247">
    <cfRule type="expression" dxfId="1344" priority="1408">
      <formula>$E247="ETAT 5"</formula>
    </cfRule>
  </conditionalFormatting>
  <conditionalFormatting sqref="B247:C247">
    <cfRule type="expression" dxfId="1343" priority="1409">
      <formula>$E247="ATT COMAC/CAPFT"</formula>
    </cfRule>
  </conditionalFormatting>
  <conditionalFormatting sqref="B247:C247">
    <cfRule type="expression" dxfId="1342" priority="1410">
      <formula>$E247="ATT DTA"</formula>
    </cfRule>
  </conditionalFormatting>
  <conditionalFormatting sqref="B247:C247">
    <cfRule type="expression" dxfId="1341" priority="1411">
      <formula>$E247="ATT TRVX CLIENT"</formula>
    </cfRule>
  </conditionalFormatting>
  <conditionalFormatting sqref="B247:C247">
    <cfRule type="expression" dxfId="1340" priority="1412">
      <formula>$E247="ATT MAJ SI"</formula>
    </cfRule>
  </conditionalFormatting>
  <conditionalFormatting sqref="B247:C247">
    <cfRule type="expression" dxfId="1339" priority="1413">
      <formula>$E247="DOSSIER A REPRENDRE"</formula>
    </cfRule>
  </conditionalFormatting>
  <conditionalFormatting sqref="B247:C247">
    <cfRule type="expression" dxfId="1338" priority="1414">
      <formula>$E247="ATT PV"</formula>
    </cfRule>
  </conditionalFormatting>
  <conditionalFormatting sqref="B247:C247">
    <cfRule type="expression" dxfId="1337" priority="1415">
      <formula>$E247="DOSSIER A MONTER"</formula>
    </cfRule>
  </conditionalFormatting>
  <conditionalFormatting sqref="B247:C247">
    <cfRule type="expression" dxfId="1336" priority="1416">
      <formula>$E247="POI EN FACTU"</formula>
    </cfRule>
  </conditionalFormatting>
  <conditionalFormatting sqref="B247:C247">
    <cfRule type="expression" dxfId="1335" priority="1417">
      <formula>$E247="RETOUR VT"</formula>
    </cfRule>
  </conditionalFormatting>
  <conditionalFormatting sqref="B247:C247">
    <cfRule type="expression" dxfId="1334" priority="1418">
      <formula>$E247="VT A FAIRE"</formula>
    </cfRule>
  </conditionalFormatting>
  <conditionalFormatting sqref="B247:C247">
    <cfRule type="expression" dxfId="1333" priority="1419">
      <formula>$E247="ATT INFOS CAF REF"</formula>
    </cfRule>
  </conditionalFormatting>
  <conditionalFormatting sqref="B247:C247">
    <cfRule type="expression" dxfId="1332" priority="1420">
      <formula>$E247="ATT DEVIS ORANGE/RIP"</formula>
    </cfRule>
  </conditionalFormatting>
  <conditionalFormatting sqref="B247:C247">
    <cfRule type="expression" dxfId="1331" priority="1421">
      <formula>$E247="POI EN TRAVAUX"</formula>
    </cfRule>
  </conditionalFormatting>
  <conditionalFormatting sqref="B249:C249">
    <cfRule type="expression" dxfId="1330" priority="1407">
      <formula>$E249="ATT DEVIS CLIENT"</formula>
    </cfRule>
  </conditionalFormatting>
  <conditionalFormatting sqref="B249:C249">
    <cfRule type="expression" dxfId="1329" priority="1393">
      <formula>$E249="ETAT 5"</formula>
    </cfRule>
  </conditionalFormatting>
  <conditionalFormatting sqref="B249:C249">
    <cfRule type="expression" dxfId="1328" priority="1394">
      <formula>$E249="ATT COMAC/CAPFT"</formula>
    </cfRule>
  </conditionalFormatting>
  <conditionalFormatting sqref="B249:C249">
    <cfRule type="expression" dxfId="1327" priority="1395">
      <formula>$E249="ATT DTA"</formula>
    </cfRule>
  </conditionalFormatting>
  <conditionalFormatting sqref="B249:C249">
    <cfRule type="expression" dxfId="1326" priority="1396">
      <formula>$E249="ATT TRVX CLIENT"</formula>
    </cfRule>
  </conditionalFormatting>
  <conditionalFormatting sqref="B249:C249">
    <cfRule type="expression" dxfId="1325" priority="1397">
      <formula>$E249="ATT MAJ SI"</formula>
    </cfRule>
  </conditionalFormatting>
  <conditionalFormatting sqref="B249:C249">
    <cfRule type="expression" dxfId="1324" priority="1398">
      <formula>$E249="DOSSIER A REPRENDRE"</formula>
    </cfRule>
  </conditionalFormatting>
  <conditionalFormatting sqref="B249:C249">
    <cfRule type="expression" dxfId="1323" priority="1399">
      <formula>$E249="ATT PV"</formula>
    </cfRule>
  </conditionalFormatting>
  <conditionalFormatting sqref="B249:C249">
    <cfRule type="expression" dxfId="1322" priority="1400">
      <formula>$E249="DOSSIER A MONTER"</formula>
    </cfRule>
  </conditionalFormatting>
  <conditionalFormatting sqref="B249:C249">
    <cfRule type="expression" dxfId="1321" priority="1401">
      <formula>$E249="POI EN FACTU"</formula>
    </cfRule>
  </conditionalFormatting>
  <conditionalFormatting sqref="B249:C249">
    <cfRule type="expression" dxfId="1320" priority="1402">
      <formula>$E249="RETOUR VT"</formula>
    </cfRule>
  </conditionalFormatting>
  <conditionalFormatting sqref="B249:C249">
    <cfRule type="expression" dxfId="1319" priority="1403">
      <formula>$E249="VT A FAIRE"</formula>
    </cfRule>
  </conditionalFormatting>
  <conditionalFormatting sqref="B249:C249">
    <cfRule type="expression" dxfId="1318" priority="1404">
      <formula>$E249="ATT INFOS CAF REF"</formula>
    </cfRule>
  </conditionalFormatting>
  <conditionalFormatting sqref="B249:C249">
    <cfRule type="expression" dxfId="1317" priority="1405">
      <formula>$E249="ATT DEVIS ORANGE/RIP"</formula>
    </cfRule>
  </conditionalFormatting>
  <conditionalFormatting sqref="B249:C249">
    <cfRule type="expression" dxfId="1316" priority="1406">
      <formula>$E249="POI EN TRAVAUX"</formula>
    </cfRule>
  </conditionalFormatting>
  <conditionalFormatting sqref="B251:C251">
    <cfRule type="expression" dxfId="1315" priority="1392">
      <formula>$E251="ATT DEVIS CLIENT"</formula>
    </cfRule>
  </conditionalFormatting>
  <conditionalFormatting sqref="B251:C251">
    <cfRule type="expression" dxfId="1314" priority="1380">
      <formula>$E251="ETAT 5"</formula>
    </cfRule>
  </conditionalFormatting>
  <conditionalFormatting sqref="B251:C251">
    <cfRule type="expression" dxfId="1313" priority="1381">
      <formula>$E251="ATT COMAC/CAPFT"</formula>
    </cfRule>
  </conditionalFormatting>
  <conditionalFormatting sqref="B251:C251">
    <cfRule type="expression" dxfId="1312" priority="1382">
      <formula>$E251="ATT DTA"</formula>
    </cfRule>
  </conditionalFormatting>
  <conditionalFormatting sqref="B251:C251">
    <cfRule type="expression" dxfId="1311" priority="1383">
      <formula>$E251="ATT TRVX CLIENT"</formula>
    </cfRule>
  </conditionalFormatting>
  <conditionalFormatting sqref="B251:C251">
    <cfRule type="expression" dxfId="1310" priority="1384">
      <formula>$E251="ATT MAJ SI"</formula>
    </cfRule>
  </conditionalFormatting>
  <conditionalFormatting sqref="B251:C251">
    <cfRule type="expression" dxfId="1309" priority="1385">
      <formula>$E251="DOSSIER A REPRENDRE"</formula>
    </cfRule>
  </conditionalFormatting>
  <conditionalFormatting sqref="B251:C251">
    <cfRule type="expression" dxfId="1308" priority="1386">
      <formula>$E251="ATT PV"</formula>
    </cfRule>
  </conditionalFormatting>
  <conditionalFormatting sqref="B251:C251">
    <cfRule type="expression" dxfId="1307" priority="1387">
      <formula>$E251="DOSSIER A MONTER"</formula>
    </cfRule>
  </conditionalFormatting>
  <conditionalFormatting sqref="B251:C251">
    <cfRule type="expression" dxfId="1306" priority="1388">
      <formula>$E251="RETOUR VT"</formula>
    </cfRule>
  </conditionalFormatting>
  <conditionalFormatting sqref="B251:C251">
    <cfRule type="expression" dxfId="1305" priority="1389">
      <formula>$E251="ATT INFOS CAF REF"</formula>
    </cfRule>
  </conditionalFormatting>
  <conditionalFormatting sqref="B251:C251">
    <cfRule type="expression" dxfId="1304" priority="1390">
      <formula>$E251="ATT DEVIS ORANGE/RIP"</formula>
    </cfRule>
  </conditionalFormatting>
  <conditionalFormatting sqref="B251:C251">
    <cfRule type="expression" dxfId="1303" priority="1391">
      <formula>$E251="POI EN TRAVAUX"</formula>
    </cfRule>
  </conditionalFormatting>
  <conditionalFormatting sqref="B254:C254">
    <cfRule type="expression" dxfId="1302" priority="1379">
      <formula>$E254="ATT DEVIS CLIENT"</formula>
    </cfRule>
  </conditionalFormatting>
  <conditionalFormatting sqref="B254:C254">
    <cfRule type="expression" dxfId="1301" priority="1367">
      <formula>$E254="ETAT 5"</formula>
    </cfRule>
  </conditionalFormatting>
  <conditionalFormatting sqref="B254:C254">
    <cfRule type="expression" dxfId="1300" priority="1368">
      <formula>$E254="ATT COMAC/CAPFT"</formula>
    </cfRule>
  </conditionalFormatting>
  <conditionalFormatting sqref="B254:C254">
    <cfRule type="expression" dxfId="1299" priority="1369">
      <formula>$E254="ATT DTA"</formula>
    </cfRule>
  </conditionalFormatting>
  <conditionalFormatting sqref="B254:C254">
    <cfRule type="expression" dxfId="1298" priority="1370">
      <formula>$E254="ATT TRVX CLIENT"</formula>
    </cfRule>
  </conditionalFormatting>
  <conditionalFormatting sqref="B254:C254">
    <cfRule type="expression" dxfId="1297" priority="1371">
      <formula>$E254="ATT MAJ SI"</formula>
    </cfRule>
  </conditionalFormatting>
  <conditionalFormatting sqref="B254:C254">
    <cfRule type="expression" dxfId="1296" priority="1372">
      <formula>$E254="DOSSIER A REPRENDRE"</formula>
    </cfRule>
  </conditionalFormatting>
  <conditionalFormatting sqref="B254:C254">
    <cfRule type="expression" dxfId="1295" priority="1373">
      <formula>$E254="ATT PV"</formula>
    </cfRule>
  </conditionalFormatting>
  <conditionalFormatting sqref="B254:C254">
    <cfRule type="expression" dxfId="1294" priority="1374">
      <formula>$E254="DOSSIER A MONTER"</formula>
    </cfRule>
  </conditionalFormatting>
  <conditionalFormatting sqref="B254:C254">
    <cfRule type="expression" dxfId="1293" priority="1375">
      <formula>$E254="RETOUR VT"</formula>
    </cfRule>
  </conditionalFormatting>
  <conditionalFormatting sqref="B254:C254">
    <cfRule type="expression" dxfId="1292" priority="1376">
      <formula>$E254="ATT INFOS CAF REF"</formula>
    </cfRule>
  </conditionalFormatting>
  <conditionalFormatting sqref="B254:C254">
    <cfRule type="expression" dxfId="1291" priority="1377">
      <formula>$E254="ATT DEVIS ORANGE/RIP"</formula>
    </cfRule>
  </conditionalFormatting>
  <conditionalFormatting sqref="B254:C254">
    <cfRule type="expression" dxfId="1290" priority="1378">
      <formula>$E254="POI EN TRAVAUX"</formula>
    </cfRule>
  </conditionalFormatting>
  <conditionalFormatting sqref="B254:C254">
    <cfRule type="expression" dxfId="1289" priority="1365">
      <formula>$E254="POI EN FACTU"</formula>
    </cfRule>
  </conditionalFormatting>
  <conditionalFormatting sqref="B254:C254">
    <cfRule type="expression" dxfId="1288" priority="1366">
      <formula>$E254="VT A FAIRE"</formula>
    </cfRule>
  </conditionalFormatting>
  <conditionalFormatting sqref="B255:C255">
    <cfRule type="expression" dxfId="1287" priority="1364">
      <formula>$E255="VT A FAIRE"</formula>
    </cfRule>
  </conditionalFormatting>
  <conditionalFormatting sqref="B255:C255">
    <cfRule type="expression" dxfId="1286" priority="1349">
      <formula>$E255="RECOL A FAIRE"</formula>
    </cfRule>
  </conditionalFormatting>
  <conditionalFormatting sqref="B255:C255">
    <cfRule type="expression" dxfId="1285" priority="1350">
      <formula>$E255="ETAT 5"</formula>
    </cfRule>
  </conditionalFormatting>
  <conditionalFormatting sqref="B255:C255">
    <cfRule type="expression" dxfId="1284" priority="1351">
      <formula>$E255="ATT COMAC/CAPFT"</formula>
    </cfRule>
  </conditionalFormatting>
  <conditionalFormatting sqref="B255:C255">
    <cfRule type="expression" dxfId="1283" priority="1352">
      <formula>$E255="ATT DTA"</formula>
    </cfRule>
  </conditionalFormatting>
  <conditionalFormatting sqref="B255:C255">
    <cfRule type="expression" dxfId="1282" priority="1353">
      <formula>$E255="ATT TRVX CLIENT"</formula>
    </cfRule>
  </conditionalFormatting>
  <conditionalFormatting sqref="B255:C255">
    <cfRule type="expression" dxfId="1281" priority="1354">
      <formula>$E255="POI EN FACTU"</formula>
    </cfRule>
  </conditionalFormatting>
  <conditionalFormatting sqref="B255:C255">
    <cfRule type="expression" dxfId="1280" priority="1355">
      <formula>$E255="POI EN TRAVAUX"</formula>
    </cfRule>
  </conditionalFormatting>
  <conditionalFormatting sqref="B255:C255">
    <cfRule type="expression" dxfId="1279" priority="1356">
      <formula>$E255="ATT MAJ SI"</formula>
    </cfRule>
  </conditionalFormatting>
  <conditionalFormatting sqref="B255:C255">
    <cfRule type="expression" dxfId="1278" priority="1357">
      <formula>$E255="ATT DEVIS CLIENT"</formula>
    </cfRule>
  </conditionalFormatting>
  <conditionalFormatting sqref="B255:C255">
    <cfRule type="expression" dxfId="1277" priority="1358">
      <formula>$E255="ATT PV"</formula>
    </cfRule>
  </conditionalFormatting>
  <conditionalFormatting sqref="B255:C255">
    <cfRule type="expression" dxfId="1276" priority="1359">
      <formula>$E255="DOSSIER A MONTER"</formula>
    </cfRule>
  </conditionalFormatting>
  <conditionalFormatting sqref="B255:C255">
    <cfRule type="expression" dxfId="1275" priority="1360">
      <formula>$E255="DOSSIER A REPRENDRE"</formula>
    </cfRule>
  </conditionalFormatting>
  <conditionalFormatting sqref="B255:C255">
    <cfRule type="expression" dxfId="1274" priority="1361">
      <formula>$E255="ATT DEVIS ORANGE/RIP"</formula>
    </cfRule>
  </conditionalFormatting>
  <conditionalFormatting sqref="B255:C255">
    <cfRule type="expression" dxfId="1273" priority="1362">
      <formula>$E255="ATT INFOS CAF REF"</formula>
    </cfRule>
  </conditionalFormatting>
  <conditionalFormatting sqref="B255:C255">
    <cfRule type="expression" dxfId="1272" priority="1363">
      <formula>$E255="RETOUR VT"</formula>
    </cfRule>
  </conditionalFormatting>
  <conditionalFormatting sqref="B257:C257">
    <cfRule type="expression" dxfId="1271" priority="1348">
      <formula>$E257="VT A FAIRE"</formula>
    </cfRule>
  </conditionalFormatting>
  <conditionalFormatting sqref="B257:C257">
    <cfRule type="expression" dxfId="1270" priority="1333">
      <formula>$E257="RECOL A FAIRE"</formula>
    </cfRule>
  </conditionalFormatting>
  <conditionalFormatting sqref="B257:C257">
    <cfRule type="expression" dxfId="1269" priority="1334">
      <formula>$E257="ETAT 5"</formula>
    </cfRule>
  </conditionalFormatting>
  <conditionalFormatting sqref="B257:C257">
    <cfRule type="expression" dxfId="1268" priority="1335">
      <formula>$E257="ATT COMAC/CAPFT"</formula>
    </cfRule>
  </conditionalFormatting>
  <conditionalFormatting sqref="B257:C257">
    <cfRule type="expression" dxfId="1267" priority="1336">
      <formula>$E257="ATT DTA"</formula>
    </cfRule>
  </conditionalFormatting>
  <conditionalFormatting sqref="B257:C257">
    <cfRule type="expression" dxfId="1266" priority="1337">
      <formula>$E257="ATT TRVX CLIENT"</formula>
    </cfRule>
  </conditionalFormatting>
  <conditionalFormatting sqref="B257:C257">
    <cfRule type="expression" dxfId="1265" priority="1338">
      <formula>$E257="POI EN FACTU"</formula>
    </cfRule>
  </conditionalFormatting>
  <conditionalFormatting sqref="B257:C257">
    <cfRule type="expression" dxfId="1264" priority="1339">
      <formula>$E257="POI EN TRAVAUX"</formula>
    </cfRule>
  </conditionalFormatting>
  <conditionalFormatting sqref="B257:C257">
    <cfRule type="expression" dxfId="1263" priority="1340">
      <formula>$E257="ATT MAJ SI"</formula>
    </cfRule>
  </conditionalFormatting>
  <conditionalFormatting sqref="B257:C257">
    <cfRule type="expression" dxfId="1262" priority="1341">
      <formula>$E257="ATT DEVIS CLIENT"</formula>
    </cfRule>
  </conditionalFormatting>
  <conditionalFormatting sqref="B257:C257">
    <cfRule type="expression" dxfId="1261" priority="1342">
      <formula>$E257="ATT PV"</formula>
    </cfRule>
  </conditionalFormatting>
  <conditionalFormatting sqref="B257:C257">
    <cfRule type="expression" dxfId="1260" priority="1343">
      <formula>$E257="DOSSIER A MONTER"</formula>
    </cfRule>
  </conditionalFormatting>
  <conditionalFormatting sqref="B257:C257">
    <cfRule type="expression" dxfId="1259" priority="1344">
      <formula>$E257="DOSSIER A REPRENDRE"</formula>
    </cfRule>
  </conditionalFormatting>
  <conditionalFormatting sqref="B257:C257">
    <cfRule type="expression" dxfId="1258" priority="1345">
      <formula>$E257="ATT DEVIS ORANGE/RIP"</formula>
    </cfRule>
  </conditionalFormatting>
  <conditionalFormatting sqref="B257:C257">
    <cfRule type="expression" dxfId="1257" priority="1346">
      <formula>$E257="ATT INFOS CAF REF"</formula>
    </cfRule>
  </conditionalFormatting>
  <conditionalFormatting sqref="B257:C257">
    <cfRule type="expression" dxfId="1256" priority="1347">
      <formula>$E257="RETOUR VT"</formula>
    </cfRule>
  </conditionalFormatting>
  <conditionalFormatting sqref="B259:C259">
    <cfRule type="expression" dxfId="1255" priority="1328">
      <formula>$E259="ATT MAJ SI"</formula>
    </cfRule>
  </conditionalFormatting>
  <conditionalFormatting sqref="B259:C259">
    <cfRule type="expression" dxfId="1254" priority="1318">
      <formula>$E259="ATT COMAC/CAPFT"</formula>
    </cfRule>
  </conditionalFormatting>
  <conditionalFormatting sqref="B259:C259">
    <cfRule type="expression" dxfId="1253" priority="1319">
      <formula>$E259="ATT DEVIS CLIENT"</formula>
    </cfRule>
  </conditionalFormatting>
  <conditionalFormatting sqref="B259:C259">
    <cfRule type="expression" dxfId="1252" priority="1320">
      <formula>$E259="VT A FAIRE"</formula>
    </cfRule>
  </conditionalFormatting>
  <conditionalFormatting sqref="B259:C259">
    <cfRule type="expression" dxfId="1251" priority="1321">
      <formula>$E259="ATT INFOS CAF REF"</formula>
    </cfRule>
  </conditionalFormatting>
  <conditionalFormatting sqref="B259:C259">
    <cfRule type="expression" dxfId="1250" priority="1322">
      <formula>$E259="ATT DTA"</formula>
    </cfRule>
  </conditionalFormatting>
  <conditionalFormatting sqref="B259:C259">
    <cfRule type="expression" dxfId="1249" priority="1323">
      <formula>$E259="ATT TRVX CLIENT"</formula>
    </cfRule>
  </conditionalFormatting>
  <conditionalFormatting sqref="B259:C259">
    <cfRule type="expression" dxfId="1248" priority="1324">
      <formula>$E259="ATT PV"</formula>
    </cfRule>
  </conditionalFormatting>
  <conditionalFormatting sqref="B259:C259">
    <cfRule type="expression" dxfId="1247" priority="1325">
      <formula>$E259="DOSSIER A MONTER"</formula>
    </cfRule>
  </conditionalFormatting>
  <conditionalFormatting sqref="B259:C259">
    <cfRule type="expression" dxfId="1246" priority="1326">
      <formula>$E259="DOSSIER A REPRENDRE"</formula>
    </cfRule>
  </conditionalFormatting>
  <conditionalFormatting sqref="B259:C259">
    <cfRule type="expression" dxfId="1245" priority="1327">
      <formula>$E259="RETOUR VT"</formula>
    </cfRule>
  </conditionalFormatting>
  <conditionalFormatting sqref="B259:C259">
    <cfRule type="expression" dxfId="1244" priority="1329">
      <formula>$E259="ETAT 5"</formula>
    </cfRule>
  </conditionalFormatting>
  <conditionalFormatting sqref="B259:C259">
    <cfRule type="expression" dxfId="1243" priority="1330">
      <formula>$E259="ATT DEVIS ORANGE/RIP"</formula>
    </cfRule>
  </conditionalFormatting>
  <conditionalFormatting sqref="B259:C259">
    <cfRule type="expression" dxfId="1242" priority="1331">
      <formula>$E259="POI EN FACTU"</formula>
    </cfRule>
  </conditionalFormatting>
  <conditionalFormatting sqref="B259:C259">
    <cfRule type="expression" dxfId="1241" priority="1332">
      <formula>$E259="ATT COMAC/CAPFT"</formula>
    </cfRule>
  </conditionalFormatting>
  <conditionalFormatting sqref="B259:C259">
    <cfRule type="expression" dxfId="1240" priority="1317">
      <formula>$E259="POI EN TRAVAUX"</formula>
    </cfRule>
  </conditionalFormatting>
  <conditionalFormatting sqref="B260:C260">
    <cfRule type="expression" dxfId="1239" priority="1316">
      <formula>$E260="ATT DEVIS CLIENT"</formula>
    </cfRule>
  </conditionalFormatting>
  <conditionalFormatting sqref="B260:C260">
    <cfRule type="expression" dxfId="1238" priority="1304">
      <formula>$E260="ETAT 5"</formula>
    </cfRule>
  </conditionalFormatting>
  <conditionalFormatting sqref="B260:C260">
    <cfRule type="expression" dxfId="1237" priority="1305">
      <formula>$E260="ATT COMAC/CAPFT"</formula>
    </cfRule>
  </conditionalFormatting>
  <conditionalFormatting sqref="B260:C260">
    <cfRule type="expression" dxfId="1236" priority="1306">
      <formula>$E260="ATT DTA"</formula>
    </cfRule>
  </conditionalFormatting>
  <conditionalFormatting sqref="B260:C260">
    <cfRule type="expression" dxfId="1235" priority="1307">
      <formula>$E260="ATT TRVX CLIENT"</formula>
    </cfRule>
  </conditionalFormatting>
  <conditionalFormatting sqref="B260:C260">
    <cfRule type="expression" dxfId="1234" priority="1308">
      <formula>$E260="ATT MAJ SI"</formula>
    </cfRule>
  </conditionalFormatting>
  <conditionalFormatting sqref="B260:C260">
    <cfRule type="expression" dxfId="1233" priority="1309">
      <formula>$E260="DOSSIER A REPRENDRE"</formula>
    </cfRule>
  </conditionalFormatting>
  <conditionalFormatting sqref="B260:C260">
    <cfRule type="expression" dxfId="1232" priority="1310">
      <formula>$E260="ATT PV"</formula>
    </cfRule>
  </conditionalFormatting>
  <conditionalFormatting sqref="B260:C260">
    <cfRule type="expression" dxfId="1231" priority="1311">
      <formula>$E260="DOSSIER A MONTER"</formula>
    </cfRule>
  </conditionalFormatting>
  <conditionalFormatting sqref="B260:C260">
    <cfRule type="expression" dxfId="1230" priority="1312">
      <formula>$E260="RETOUR VT"</formula>
    </cfRule>
  </conditionalFormatting>
  <conditionalFormatting sqref="B260:C260">
    <cfRule type="expression" dxfId="1229" priority="1313">
      <formula>$E260="ATT INFOS CAF REF"</formula>
    </cfRule>
  </conditionalFormatting>
  <conditionalFormatting sqref="B260:C260">
    <cfRule type="expression" dxfId="1228" priority="1314">
      <formula>$E260="ATT DEVIS ORANGE/RIP"</formula>
    </cfRule>
  </conditionalFormatting>
  <conditionalFormatting sqref="B260:C260">
    <cfRule type="expression" dxfId="1227" priority="1315">
      <formula>$E260="POI EN TRAVAUX"</formula>
    </cfRule>
  </conditionalFormatting>
  <conditionalFormatting sqref="B260:C260">
    <cfRule type="expression" dxfId="1226" priority="1302">
      <formula>$E260="POI EN FACTU"</formula>
    </cfRule>
  </conditionalFormatting>
  <conditionalFormatting sqref="B260:C260">
    <cfRule type="expression" dxfId="1225" priority="1303">
      <formula>$E260="VT A FAIRE"</formula>
    </cfRule>
  </conditionalFormatting>
  <conditionalFormatting sqref="B261:C261">
    <cfRule type="expression" dxfId="1224" priority="1285">
      <formula>$E261="VT A FAIRE"</formula>
    </cfRule>
  </conditionalFormatting>
  <conditionalFormatting sqref="B261:C261">
    <cfRule type="expression" dxfId="1223" priority="1270">
      <formula>$E261="RECOL A FAIRE"</formula>
    </cfRule>
  </conditionalFormatting>
  <conditionalFormatting sqref="B261:C261">
    <cfRule type="expression" dxfId="1222" priority="1271">
      <formula>$E261="ETAT 5"</formula>
    </cfRule>
  </conditionalFormatting>
  <conditionalFormatting sqref="B261:C261">
    <cfRule type="expression" dxfId="1221" priority="1272">
      <formula>$E261="ATT COMAC/CAPFT"</formula>
    </cfRule>
  </conditionalFormatting>
  <conditionalFormatting sqref="B261:C261">
    <cfRule type="expression" dxfId="1220" priority="1273">
      <formula>$E261="ATT DTA"</formula>
    </cfRule>
  </conditionalFormatting>
  <conditionalFormatting sqref="B261:C261">
    <cfRule type="expression" dxfId="1219" priority="1274">
      <formula>$E261="ATT TRVX CLIENT"</formula>
    </cfRule>
  </conditionalFormatting>
  <conditionalFormatting sqref="B261:C261">
    <cfRule type="expression" dxfId="1218" priority="1275">
      <formula>$E261="POI EN FACTU"</formula>
    </cfRule>
  </conditionalFormatting>
  <conditionalFormatting sqref="B261:C261">
    <cfRule type="expression" dxfId="1217" priority="1276">
      <formula>$E261="POI EN TRAVAUX"</formula>
    </cfRule>
  </conditionalFormatting>
  <conditionalFormatting sqref="B261:C261">
    <cfRule type="expression" dxfId="1216" priority="1277">
      <formula>$E261="ATT MAJ SI"</formula>
    </cfRule>
  </conditionalFormatting>
  <conditionalFormatting sqref="B261:C261">
    <cfRule type="expression" dxfId="1215" priority="1278">
      <formula>$E261="ATT DEVIS CLIENT"</formula>
    </cfRule>
  </conditionalFormatting>
  <conditionalFormatting sqref="B261:C261">
    <cfRule type="expression" dxfId="1214" priority="1279">
      <formula>$E261="ATT PV"</formula>
    </cfRule>
  </conditionalFormatting>
  <conditionalFormatting sqref="B261:C261">
    <cfRule type="expression" dxfId="1213" priority="1280">
      <formula>$E261="DOSSIER A MONTER"</formula>
    </cfRule>
  </conditionalFormatting>
  <conditionalFormatting sqref="B261:C261">
    <cfRule type="expression" dxfId="1212" priority="1281">
      <formula>$E261="DOSSIER A REPRENDRE"</formula>
    </cfRule>
  </conditionalFormatting>
  <conditionalFormatting sqref="B261:C261">
    <cfRule type="expression" dxfId="1211" priority="1282">
      <formula>$E261="ATT DEVIS ORANGE/RIP"</formula>
    </cfRule>
  </conditionalFormatting>
  <conditionalFormatting sqref="B261:C261">
    <cfRule type="expression" dxfId="1210" priority="1283">
      <formula>$E261="ATT INFOS CAF REF"</formula>
    </cfRule>
  </conditionalFormatting>
  <conditionalFormatting sqref="B261:C261">
    <cfRule type="expression" dxfId="1209" priority="1284">
      <formula>$E261="RETOUR VT"</formula>
    </cfRule>
  </conditionalFormatting>
  <conditionalFormatting sqref="B262:C262">
    <cfRule type="expression" dxfId="1208" priority="1262">
      <formula>$E262="DOSSIER A REPRENDRE"</formula>
    </cfRule>
    <cfRule type="expression" dxfId="1207" priority="1263">
      <formula>$E262="ATT PV"</formula>
    </cfRule>
    <cfRule type="expression" dxfId="1206" priority="1264">
      <formula>$E262="DOSSIER A MONTER"</formula>
    </cfRule>
    <cfRule type="expression" dxfId="1205" priority="1265">
      <formula>$E262="POI EN FACTU"</formula>
    </cfRule>
  </conditionalFormatting>
  <conditionalFormatting sqref="B262:C262">
    <cfRule type="expression" dxfId="1204" priority="1251">
      <formula>$E262="ETAT 5"</formula>
    </cfRule>
    <cfRule type="expression" dxfId="1203" priority="1252">
      <formula>$E262="ATT COMAC/CAPFT"</formula>
    </cfRule>
    <cfRule type="expression" dxfId="1202" priority="1253">
      <formula>$E262="ATT DTA"</formula>
    </cfRule>
    <cfRule type="expression" dxfId="1201" priority="1254">
      <formula>$E262="ATT TRVX CLIENT"</formula>
    </cfRule>
    <cfRule type="expression" dxfId="1200" priority="1255">
      <formula>$E262="ATT MAJ SI"</formula>
    </cfRule>
    <cfRule type="expression" dxfId="1199" priority="1256">
      <formula>$E262="DOSSIER A REPRENDRE"</formula>
    </cfRule>
    <cfRule type="expression" dxfId="1198" priority="1257">
      <formula>$E262="ATT PV"</formula>
    </cfRule>
    <cfRule type="expression" dxfId="1197" priority="1258">
      <formula>$E262="DOSSIER A MONTER"</formula>
    </cfRule>
    <cfRule type="expression" dxfId="1196" priority="1259">
      <formula>$E262="POI EN FACTU"</formula>
    </cfRule>
    <cfRule type="expression" dxfId="1195" priority="1260">
      <formula>$E262="RETOUR VT"</formula>
    </cfRule>
    <cfRule type="expression" dxfId="1194" priority="1261">
      <formula>$E262="VT A FAIRE"</formula>
    </cfRule>
    <cfRule type="expression" dxfId="1193" priority="1266">
      <formula>$E262="ATT INFOS CAF REF"</formula>
    </cfRule>
    <cfRule type="expression" dxfId="1192" priority="1267">
      <formula>$E262="ATT DEVIS ORANGE/RIP"</formula>
    </cfRule>
    <cfRule type="expression" dxfId="1191" priority="1268">
      <formula>$E262="POI EN TRAVAUX"</formula>
    </cfRule>
    <cfRule type="expression" dxfId="1190" priority="1269">
      <formula>$E262="ATT DEVIS CLIENT"</formula>
    </cfRule>
  </conditionalFormatting>
  <conditionalFormatting sqref="B266:C266">
    <cfRule type="expression" dxfId="1189" priority="1250">
      <formula>$E266="ATT DEVIS CLIENT"</formula>
    </cfRule>
  </conditionalFormatting>
  <conditionalFormatting sqref="B266:C266">
    <cfRule type="expression" dxfId="1188" priority="1238">
      <formula>$E266="ETAT 5"</formula>
    </cfRule>
  </conditionalFormatting>
  <conditionalFormatting sqref="B266:C266">
    <cfRule type="expression" dxfId="1187" priority="1239">
      <formula>$E266="ATT COMAC/CAPFT"</formula>
    </cfRule>
  </conditionalFormatting>
  <conditionalFormatting sqref="B266:C266">
    <cfRule type="expression" dxfId="1186" priority="1240">
      <formula>$E266="ATT DTA"</formula>
    </cfRule>
  </conditionalFormatting>
  <conditionalFormatting sqref="B266:C266">
    <cfRule type="expression" dxfId="1185" priority="1241">
      <formula>$E266="ATT TRVX CLIENT"</formula>
    </cfRule>
  </conditionalFormatting>
  <conditionalFormatting sqref="B266:C266">
    <cfRule type="expression" dxfId="1184" priority="1242">
      <formula>$E266="ATT MAJ SI"</formula>
    </cfRule>
  </conditionalFormatting>
  <conditionalFormatting sqref="B266:C266">
    <cfRule type="expression" dxfId="1183" priority="1243">
      <formula>$E266="DOSSIER A REPRENDRE"</formula>
    </cfRule>
  </conditionalFormatting>
  <conditionalFormatting sqref="B266:C266">
    <cfRule type="expression" dxfId="1182" priority="1244">
      <formula>$E266="ATT PV"</formula>
    </cfRule>
  </conditionalFormatting>
  <conditionalFormatting sqref="B266:C266">
    <cfRule type="expression" dxfId="1181" priority="1245">
      <formula>$E266="DOSSIER A MONTER"</formula>
    </cfRule>
  </conditionalFormatting>
  <conditionalFormatting sqref="B266:C266">
    <cfRule type="expression" dxfId="1180" priority="1246">
      <formula>$E266="RETOUR VT"</formula>
    </cfRule>
  </conditionalFormatting>
  <conditionalFormatting sqref="B266:C266">
    <cfRule type="expression" dxfId="1179" priority="1247">
      <formula>$E266="ATT INFOS CAF REF"</formula>
    </cfRule>
  </conditionalFormatting>
  <conditionalFormatting sqref="B266:C266">
    <cfRule type="expression" dxfId="1178" priority="1248">
      <formula>$E266="ATT DEVIS ORANGE/RIP"</formula>
    </cfRule>
  </conditionalFormatting>
  <conditionalFormatting sqref="B266:C266">
    <cfRule type="expression" dxfId="1177" priority="1249">
      <formula>$E266="POI EN TRAVAUX"</formula>
    </cfRule>
  </conditionalFormatting>
  <conditionalFormatting sqref="B266:C266">
    <cfRule type="expression" dxfId="1176" priority="1236">
      <formula>$E266="POI EN FACTU"</formula>
    </cfRule>
  </conditionalFormatting>
  <conditionalFormatting sqref="B266:C266">
    <cfRule type="expression" dxfId="1175" priority="1237">
      <formula>$E266="VT A FAIRE"</formula>
    </cfRule>
  </conditionalFormatting>
  <conditionalFormatting sqref="B267:C267">
    <cfRule type="expression" dxfId="1174" priority="1235">
      <formula>$E267="VT A FAIRE"</formula>
    </cfRule>
  </conditionalFormatting>
  <conditionalFormatting sqref="B267:C267">
    <cfRule type="expression" dxfId="1173" priority="1220">
      <formula>$E267="RECOL A FAIRE"</formula>
    </cfRule>
  </conditionalFormatting>
  <conditionalFormatting sqref="B267:C267">
    <cfRule type="expression" dxfId="1172" priority="1221">
      <formula>$E267="ETAT 5"</formula>
    </cfRule>
  </conditionalFormatting>
  <conditionalFormatting sqref="B267:C267">
    <cfRule type="expression" dxfId="1171" priority="1222">
      <formula>$E267="ATT COMAC/CAPFT"</formula>
    </cfRule>
  </conditionalFormatting>
  <conditionalFormatting sqref="B267:C267">
    <cfRule type="expression" dxfId="1170" priority="1223">
      <formula>$E267="ATT DTA"</formula>
    </cfRule>
  </conditionalFormatting>
  <conditionalFormatting sqref="B267:C267">
    <cfRule type="expression" dxfId="1169" priority="1224">
      <formula>$E267="ATT TRVX CLIENT"</formula>
    </cfRule>
  </conditionalFormatting>
  <conditionalFormatting sqref="B267:C267">
    <cfRule type="expression" dxfId="1168" priority="1225">
      <formula>$E267="POI EN FACTU"</formula>
    </cfRule>
  </conditionalFormatting>
  <conditionalFormatting sqref="B267:C267">
    <cfRule type="expression" dxfId="1167" priority="1226">
      <formula>$E267="POI EN TRAVAUX"</formula>
    </cfRule>
  </conditionalFormatting>
  <conditionalFormatting sqref="B267:C267">
    <cfRule type="expression" dxfId="1166" priority="1227">
      <formula>$E267="ATT MAJ SI"</formula>
    </cfRule>
  </conditionalFormatting>
  <conditionalFormatting sqref="B267:C267">
    <cfRule type="expression" dxfId="1165" priority="1228">
      <formula>$E267="ATT DEVIS CLIENT"</formula>
    </cfRule>
  </conditionalFormatting>
  <conditionalFormatting sqref="B267:C267">
    <cfRule type="expression" dxfId="1164" priority="1229">
      <formula>$E267="ATT PV"</formula>
    </cfRule>
  </conditionalFormatting>
  <conditionalFormatting sqref="B267:C267">
    <cfRule type="expression" dxfId="1163" priority="1230">
      <formula>$E267="DOSSIER A MONTER"</formula>
    </cfRule>
  </conditionalFormatting>
  <conditionalFormatting sqref="B267:C267">
    <cfRule type="expression" dxfId="1162" priority="1231">
      <formula>$E267="DOSSIER A REPRENDRE"</formula>
    </cfRule>
  </conditionalFormatting>
  <conditionalFormatting sqref="B267:C267">
    <cfRule type="expression" dxfId="1161" priority="1232">
      <formula>$E267="ATT DEVIS ORANGE/RIP"</formula>
    </cfRule>
  </conditionalFormatting>
  <conditionalFormatting sqref="B267:C267">
    <cfRule type="expression" dxfId="1160" priority="1233">
      <formula>$E267="ATT INFOS CAF REF"</formula>
    </cfRule>
  </conditionalFormatting>
  <conditionalFormatting sqref="B267:C267">
    <cfRule type="expression" dxfId="1159" priority="1234">
      <formula>$E267="RETOUR VT"</formula>
    </cfRule>
  </conditionalFormatting>
  <conditionalFormatting sqref="B270:C270">
    <cfRule type="expression" dxfId="1158" priority="1212">
      <formula>$E270="DOSSIER A REPRENDRE"</formula>
    </cfRule>
    <cfRule type="expression" dxfId="1157" priority="1213">
      <formula>$E270="ATT PV"</formula>
    </cfRule>
    <cfRule type="expression" dxfId="1156" priority="1214">
      <formula>$E270="DOSSIER A MONTER"</formula>
    </cfRule>
    <cfRule type="expression" dxfId="1155" priority="1215">
      <formula>$E270="POI EN FACTU"</formula>
    </cfRule>
  </conditionalFormatting>
  <conditionalFormatting sqref="B270:C270">
    <cfRule type="expression" dxfId="1154" priority="1201">
      <formula>$E270="ETAT 5"</formula>
    </cfRule>
    <cfRule type="expression" dxfId="1153" priority="1202">
      <formula>$E270="ATT COMAC/CAPFT"</formula>
    </cfRule>
    <cfRule type="expression" dxfId="1152" priority="1203">
      <formula>$E270="ATT DTA"</formula>
    </cfRule>
    <cfRule type="expression" dxfId="1151" priority="1204">
      <formula>$E270="ATT TRVX CLIENT"</formula>
    </cfRule>
    <cfRule type="expression" dxfId="1150" priority="1205">
      <formula>$E270="ATT MAJ SI"</formula>
    </cfRule>
    <cfRule type="expression" dxfId="1149" priority="1206">
      <formula>$E270="DOSSIER A REPRENDRE"</formula>
    </cfRule>
    <cfRule type="expression" dxfId="1148" priority="1207">
      <formula>$E270="ATT PV"</formula>
    </cfRule>
    <cfRule type="expression" dxfId="1147" priority="1208">
      <formula>$E270="DOSSIER A MONTER"</formula>
    </cfRule>
    <cfRule type="expression" dxfId="1146" priority="1209">
      <formula>$E270="POI EN FACTU"</formula>
    </cfRule>
    <cfRule type="expression" dxfId="1145" priority="1210">
      <formula>$E270="RETOUR VT"</formula>
    </cfRule>
    <cfRule type="expression" dxfId="1144" priority="1211">
      <formula>$E270="VT A FAIRE"</formula>
    </cfRule>
    <cfRule type="expression" dxfId="1143" priority="1216">
      <formula>$E270="ATT INFOS CAF REF"</formula>
    </cfRule>
    <cfRule type="expression" dxfId="1142" priority="1217">
      <formula>$E270="ATT DEVIS ORANGE/RIP"</formula>
    </cfRule>
    <cfRule type="expression" dxfId="1141" priority="1218">
      <formula>$E270="POI EN TRAVAUX"</formula>
    </cfRule>
    <cfRule type="expression" dxfId="1140" priority="1219">
      <formula>$E270="ATT DEVIS CLIENT"</formula>
    </cfRule>
  </conditionalFormatting>
  <conditionalFormatting sqref="B271:C271">
    <cfRule type="expression" dxfId="1139" priority="1193">
      <formula>$E271="DOSSIER A REPRENDRE"</formula>
    </cfRule>
    <cfRule type="expression" dxfId="1138" priority="1194">
      <formula>$E271="ATT PV"</formula>
    </cfRule>
    <cfRule type="expression" dxfId="1137" priority="1195">
      <formula>$E271="DOSSIER A MONTER"</formula>
    </cfRule>
    <cfRule type="expression" dxfId="1136" priority="1196">
      <formula>$E271="POI EN FACTU"</formula>
    </cfRule>
  </conditionalFormatting>
  <conditionalFormatting sqref="B271:C271">
    <cfRule type="expression" dxfId="1135" priority="1182">
      <formula>$E271="ETAT 5"</formula>
    </cfRule>
    <cfRule type="expression" dxfId="1134" priority="1183">
      <formula>$E271="ATT COMAC/CAPFT"</formula>
    </cfRule>
    <cfRule type="expression" dxfId="1133" priority="1184">
      <formula>$E271="ATT DTA"</formula>
    </cfRule>
    <cfRule type="expression" dxfId="1132" priority="1185">
      <formula>$E271="ATT TRVX CLIENT"</formula>
    </cfRule>
    <cfRule type="expression" dxfId="1131" priority="1186">
      <formula>$E271="ATT MAJ SI"</formula>
    </cfRule>
    <cfRule type="expression" dxfId="1130" priority="1187">
      <formula>$E271="DOSSIER A REPRENDRE"</formula>
    </cfRule>
    <cfRule type="expression" dxfId="1129" priority="1188">
      <formula>$E271="ATT PV"</formula>
    </cfRule>
    <cfRule type="expression" dxfId="1128" priority="1189">
      <formula>$E271="DOSSIER A MONTER"</formula>
    </cfRule>
    <cfRule type="expression" dxfId="1127" priority="1190">
      <formula>$E271="POI EN FACTU"</formula>
    </cfRule>
    <cfRule type="expression" dxfId="1126" priority="1191">
      <formula>$E271="RETOUR VT"</formula>
    </cfRule>
    <cfRule type="expression" dxfId="1125" priority="1192">
      <formula>$E271="VT A FAIRE"</formula>
    </cfRule>
    <cfRule type="expression" dxfId="1124" priority="1197">
      <formula>$E271="ATT INFOS CAF REF"</formula>
    </cfRule>
    <cfRule type="expression" dxfId="1123" priority="1198">
      <formula>$E271="ATT DEVIS ORANGE/RIP"</formula>
    </cfRule>
    <cfRule type="expression" dxfId="1122" priority="1199">
      <formula>$E271="POI EN TRAVAUX"</formula>
    </cfRule>
    <cfRule type="expression" dxfId="1121" priority="1200">
      <formula>$E271="ATT DEVIS CLIENT"</formula>
    </cfRule>
  </conditionalFormatting>
  <conditionalFormatting sqref="B272:C272">
    <cfRule type="expression" dxfId="1120" priority="1174">
      <formula>$E272="DOSSIER A REPRENDRE"</formula>
    </cfRule>
    <cfRule type="expression" dxfId="1119" priority="1175">
      <formula>$E272="ATT PV"</formula>
    </cfRule>
    <cfRule type="expression" dxfId="1118" priority="1176">
      <formula>$E272="DOSSIER A MONTER"</formula>
    </cfRule>
    <cfRule type="expression" dxfId="1117" priority="1177">
      <formula>$E272="POI EN FACTU"</formula>
    </cfRule>
  </conditionalFormatting>
  <conditionalFormatting sqref="B272:C272">
    <cfRule type="expression" dxfId="1116" priority="1163">
      <formula>$E272="ETAT 5"</formula>
    </cfRule>
    <cfRule type="expression" dxfId="1115" priority="1164">
      <formula>$E272="ATT COMAC/CAPFT"</formula>
    </cfRule>
    <cfRule type="expression" dxfId="1114" priority="1165">
      <formula>$E272="ATT DTA"</formula>
    </cfRule>
    <cfRule type="expression" dxfId="1113" priority="1166">
      <formula>$E272="ATT TRVX CLIENT"</formula>
    </cfRule>
    <cfRule type="expression" dxfId="1112" priority="1167">
      <formula>$E272="ATT MAJ SI"</formula>
    </cfRule>
    <cfRule type="expression" dxfId="1111" priority="1168">
      <formula>$E272="DOSSIER A REPRENDRE"</formula>
    </cfRule>
    <cfRule type="expression" dxfId="1110" priority="1169">
      <formula>$E272="ATT PV"</formula>
    </cfRule>
    <cfRule type="expression" dxfId="1109" priority="1170">
      <formula>$E272="DOSSIER A MONTER"</formula>
    </cfRule>
    <cfRule type="expression" dxfId="1108" priority="1171">
      <formula>$E272="POI EN FACTU"</formula>
    </cfRule>
    <cfRule type="expression" dxfId="1107" priority="1172">
      <formula>$E272="RETOUR VT"</formula>
    </cfRule>
    <cfRule type="expression" dxfId="1106" priority="1173">
      <formula>$E272="VT A FAIRE"</formula>
    </cfRule>
    <cfRule type="expression" dxfId="1105" priority="1178">
      <formula>$E272="ATT INFOS CAF REF"</formula>
    </cfRule>
    <cfRule type="expression" dxfId="1104" priority="1179">
      <formula>$E272="ATT DEVIS ORANGE/RIP"</formula>
    </cfRule>
    <cfRule type="expression" dxfId="1103" priority="1180">
      <formula>$E272="POI EN TRAVAUX"</formula>
    </cfRule>
    <cfRule type="expression" dxfId="1102" priority="1181">
      <formula>$E272="ATT DEVIS CLIENT"</formula>
    </cfRule>
  </conditionalFormatting>
  <conditionalFormatting sqref="B273:C273">
    <cfRule type="expression" dxfId="1101" priority="1162">
      <formula>$E273="06 AT DEVIS CLIENT"</formula>
    </cfRule>
  </conditionalFormatting>
  <conditionalFormatting sqref="B273:C273">
    <cfRule type="expression" dxfId="1100" priority="1150">
      <formula>$E273="13 ETAT 5"</formula>
    </cfRule>
  </conditionalFormatting>
  <conditionalFormatting sqref="B273:C273">
    <cfRule type="expression" dxfId="1099" priority="1151">
      <formula>$E273="08 AT COMAC/CAPFT"</formula>
    </cfRule>
  </conditionalFormatting>
  <conditionalFormatting sqref="B273:C273">
    <cfRule type="expression" dxfId="1098" priority="1152">
      <formula>$E273="11 AT DTA"</formula>
    </cfRule>
  </conditionalFormatting>
  <conditionalFormatting sqref="B273:C273">
    <cfRule type="expression" dxfId="1097" priority="1153">
      <formula>$E273="07 AT TRVX CLIENT"</formula>
    </cfRule>
  </conditionalFormatting>
  <conditionalFormatting sqref="B273:C273">
    <cfRule type="expression" dxfId="1096" priority="1154">
      <formula>$E273="12 AT MAJ SI"</formula>
    </cfRule>
  </conditionalFormatting>
  <conditionalFormatting sqref="B273:C273">
    <cfRule type="expression" dxfId="1095" priority="1155">
      <formula>$E273="03 DOSSIER A REPRENDRE"</formula>
    </cfRule>
  </conditionalFormatting>
  <conditionalFormatting sqref="B273:C273">
    <cfRule type="expression" dxfId="1094" priority="1156">
      <formula>$E273="010 AT PV"</formula>
    </cfRule>
  </conditionalFormatting>
  <conditionalFormatting sqref="B273:C273">
    <cfRule type="expression" dxfId="1093" priority="1157">
      <formula>$E273="04 DOSSIER A MONTER"</formula>
    </cfRule>
  </conditionalFormatting>
  <conditionalFormatting sqref="B273:C273">
    <cfRule type="expression" dxfId="1092" priority="1158">
      <formula>$E273="02 RETOUR VT"</formula>
    </cfRule>
  </conditionalFormatting>
  <conditionalFormatting sqref="B273:C273">
    <cfRule type="expression" dxfId="1091" priority="1159">
      <formula>$E273="05 AT INFO CAF REF"</formula>
    </cfRule>
  </conditionalFormatting>
  <conditionalFormatting sqref="B273:C273">
    <cfRule type="expression" dxfId="1090" priority="1160">
      <formula>$E273="09 AT DEVIS ORANGE/RIP"</formula>
    </cfRule>
  </conditionalFormatting>
  <conditionalFormatting sqref="B273:C273">
    <cfRule type="expression" dxfId="1089" priority="1161">
      <formula>$E273="14 POI EN TRAVAUX"</formula>
    </cfRule>
  </conditionalFormatting>
  <conditionalFormatting sqref="B273:C273">
    <cfRule type="expression" dxfId="1088" priority="1148">
      <formula>$E273="15 POI EN FACTU"</formula>
    </cfRule>
    <cfRule type="expression" dxfId="1087" priority="1149">
      <formula>$E273="01 VT A FAIRE"</formula>
    </cfRule>
  </conditionalFormatting>
  <conditionalFormatting sqref="B268:C268">
    <cfRule type="expression" dxfId="1086" priority="1147">
      <formula>$E268="06 AT DEVIS CLIENT"</formula>
    </cfRule>
  </conditionalFormatting>
  <conditionalFormatting sqref="B268:C268">
    <cfRule type="expression" dxfId="1085" priority="1135">
      <formula>$E268="13 ETAT 5"</formula>
    </cfRule>
  </conditionalFormatting>
  <conditionalFormatting sqref="B268:C268">
    <cfRule type="expression" dxfId="1084" priority="1136">
      <formula>$E268="08 AT COMAC/CAPFT"</formula>
    </cfRule>
  </conditionalFormatting>
  <conditionalFormatting sqref="B268:C268">
    <cfRule type="expression" dxfId="1083" priority="1137">
      <formula>$E268="11 AT DTA"</formula>
    </cfRule>
  </conditionalFormatting>
  <conditionalFormatting sqref="B268:C268">
    <cfRule type="expression" dxfId="1082" priority="1138">
      <formula>$E268="07 AT TRVX CLIENT"</formula>
    </cfRule>
  </conditionalFormatting>
  <conditionalFormatting sqref="B268:C268">
    <cfRule type="expression" dxfId="1081" priority="1139">
      <formula>$E268="12 AT MAJ SI"</formula>
    </cfRule>
  </conditionalFormatting>
  <conditionalFormatting sqref="B268:C268">
    <cfRule type="expression" dxfId="1080" priority="1140">
      <formula>$E268="03 DOSSIER A REPRENDRE"</formula>
    </cfRule>
  </conditionalFormatting>
  <conditionalFormatting sqref="B268:C268">
    <cfRule type="expression" dxfId="1079" priority="1141">
      <formula>$E268="10 AT PV"</formula>
    </cfRule>
  </conditionalFormatting>
  <conditionalFormatting sqref="B268:C268">
    <cfRule type="expression" dxfId="1078" priority="1142">
      <formula>$E268="04 DOSSIER A MONTER"</formula>
    </cfRule>
  </conditionalFormatting>
  <conditionalFormatting sqref="B268:C268">
    <cfRule type="expression" dxfId="1077" priority="1143">
      <formula>$E268="02 RETOUR VT"</formula>
    </cfRule>
  </conditionalFormatting>
  <conditionalFormatting sqref="B268:C268">
    <cfRule type="expression" dxfId="1076" priority="1144">
      <formula>$E268="05 AT INFO CAF REF"</formula>
    </cfRule>
  </conditionalFormatting>
  <conditionalFormatting sqref="B268:C268">
    <cfRule type="expression" dxfId="1075" priority="1145">
      <formula>$E268="09 AT DEVIS ORANGE/RIP"</formula>
    </cfRule>
  </conditionalFormatting>
  <conditionalFormatting sqref="B268:C268">
    <cfRule type="expression" dxfId="1074" priority="1146">
      <formula>$E268="14 POI EN TRAVAUX"</formula>
    </cfRule>
  </conditionalFormatting>
  <conditionalFormatting sqref="B268:C268">
    <cfRule type="expression" dxfId="1073" priority="1133">
      <formula>$E268="15 POI EN FACTU"</formula>
    </cfRule>
    <cfRule type="expression" dxfId="1072" priority="1134">
      <formula>$E268="01 VT A FAIRE"</formula>
    </cfRule>
  </conditionalFormatting>
  <conditionalFormatting sqref="B274:C274">
    <cfRule type="expression" dxfId="1071" priority="1118">
      <formula>$E274="13 ETAT 5"</formula>
    </cfRule>
    <cfRule type="expression" dxfId="1070" priority="1119">
      <formula>$E274="08 AT COMAC/CAPFT"</formula>
    </cfRule>
    <cfRule type="expression" dxfId="1069" priority="1120">
      <formula>$E274="11 AT DTA"</formula>
    </cfRule>
    <cfRule type="expression" dxfId="1068" priority="1121">
      <formula>$E274="07 AT TRVX CLIENT"</formula>
    </cfRule>
    <cfRule type="expression" dxfId="1067" priority="1122">
      <formula>$E274="12 AT MAJ SI"</formula>
    </cfRule>
    <cfRule type="expression" dxfId="1066" priority="1123">
      <formula>$E274="03 DOSSIER A REPRENDRE"</formula>
    </cfRule>
    <cfRule type="expression" dxfId="1065" priority="1124">
      <formula>$E274="10 AT PV"</formula>
    </cfRule>
    <cfRule type="expression" dxfId="1064" priority="1125">
      <formula>$E274="04 DOSSIER A MONTER"</formula>
    </cfRule>
    <cfRule type="expression" dxfId="1063" priority="1126">
      <formula>$E274="15 POI EN FACTU"</formula>
    </cfRule>
    <cfRule type="expression" dxfId="1062" priority="1127">
      <formula>$E274="02 RETOUR VT"</formula>
    </cfRule>
    <cfRule type="expression" dxfId="1061" priority="1128">
      <formula>$E274="01 VT A FAIRE"</formula>
    </cfRule>
    <cfRule type="expression" dxfId="1060" priority="1129">
      <formula>$E274="05 AT INFO CAF REF"</formula>
    </cfRule>
    <cfRule type="expression" dxfId="1059" priority="1130">
      <formula>$E274="09 AT DEVIS ORANGE/RIP"</formula>
    </cfRule>
    <cfRule type="expression" dxfId="1058" priority="1131">
      <formula>$E274="14 POI EN TRAVAUX"</formula>
    </cfRule>
    <cfRule type="expression" dxfId="1057" priority="1132">
      <formula>$E274="06 AT DEVIS CLIENT"</formula>
    </cfRule>
  </conditionalFormatting>
  <conditionalFormatting sqref="B275:C275">
    <cfRule type="expression" dxfId="1056" priority="1103">
      <formula>$E275="13 ETAT 5"</formula>
    </cfRule>
    <cfRule type="expression" dxfId="1055" priority="1104">
      <formula>$E275="08 AT COMAC/CAPFT"</formula>
    </cfRule>
    <cfRule type="expression" dxfId="1054" priority="1105">
      <formula>$E275="11 AT DTA"</formula>
    </cfRule>
    <cfRule type="expression" dxfId="1053" priority="1106">
      <formula>$E275="07 AT TRVX CLIENT"</formula>
    </cfRule>
    <cfRule type="expression" dxfId="1052" priority="1107">
      <formula>$E275="12 AT MAJ SI"</formula>
    </cfRule>
    <cfRule type="expression" dxfId="1051" priority="1108">
      <formula>$E275="03 DOSSIER A REPRENDRE"</formula>
    </cfRule>
    <cfRule type="expression" dxfId="1050" priority="1109">
      <formula>$E275="10 AT PV"</formula>
    </cfRule>
    <cfRule type="expression" dxfId="1049" priority="1110">
      <formula>$E275="04 DOSSIER A MONTER"</formula>
    </cfRule>
    <cfRule type="expression" dxfId="1048" priority="1111">
      <formula>$E275="15 POI EN FACTU"</formula>
    </cfRule>
    <cfRule type="expression" dxfId="1047" priority="1112">
      <formula>$E275="02 RETOUR VT"</formula>
    </cfRule>
    <cfRule type="expression" dxfId="1046" priority="1113">
      <formula>$E275="01 VT A FAIRE"</formula>
    </cfRule>
    <cfRule type="expression" dxfId="1045" priority="1114">
      <formula>$E275="05 AT INFO CAF REF"</formula>
    </cfRule>
    <cfRule type="expression" dxfId="1044" priority="1115">
      <formula>$E275="09 AT DEVIS ORANGE/RIP"</formula>
    </cfRule>
    <cfRule type="expression" dxfId="1043" priority="1116">
      <formula>$E275="14 POI EN TRAVAUX"</formula>
    </cfRule>
    <cfRule type="expression" dxfId="1042" priority="1117">
      <formula>$E275="06 AT DEVIS CLIENT"</formula>
    </cfRule>
  </conditionalFormatting>
  <conditionalFormatting sqref="B278:C278">
    <cfRule type="expression" dxfId="1041" priority="1099">
      <formula>$E278="12 AT MAJ SI"</formula>
    </cfRule>
  </conditionalFormatting>
  <conditionalFormatting sqref="B278:C278">
    <cfRule type="expression" dxfId="1040" priority="1089">
      <formula>$E278="08 AT COMAC/CAPFT"</formula>
    </cfRule>
  </conditionalFormatting>
  <conditionalFormatting sqref="B278:C278">
    <cfRule type="expression" dxfId="1039" priority="1090">
      <formula>$E278="06 AT DEVIS CLIENT"</formula>
    </cfRule>
  </conditionalFormatting>
  <conditionalFormatting sqref="B278:C278">
    <cfRule type="expression" dxfId="1038" priority="1091">
      <formula>$E278="01 VT A FAIRE"</formula>
    </cfRule>
  </conditionalFormatting>
  <conditionalFormatting sqref="B278:C278">
    <cfRule type="expression" dxfId="1037" priority="1092">
      <formula>$E278="05 AT INFO CAF REF"</formula>
    </cfRule>
  </conditionalFormatting>
  <conditionalFormatting sqref="B278:C278">
    <cfRule type="expression" dxfId="1036" priority="1093">
      <formula>$E278="11 AT DTA"</formula>
    </cfRule>
  </conditionalFormatting>
  <conditionalFormatting sqref="B278:C278">
    <cfRule type="expression" dxfId="1035" priority="1094">
      <formula>$E278="07 AT TRVX CLIENT"</formula>
    </cfRule>
  </conditionalFormatting>
  <conditionalFormatting sqref="B278:C278">
    <cfRule type="expression" dxfId="1034" priority="1095">
      <formula>$E278="10 AT PV"</formula>
    </cfRule>
  </conditionalFormatting>
  <conditionalFormatting sqref="B278:C278">
    <cfRule type="expression" dxfId="1033" priority="1096">
      <formula>$E278="04 DOSSIER A MONTER"</formula>
    </cfRule>
  </conditionalFormatting>
  <conditionalFormatting sqref="B278:C278">
    <cfRule type="expression" dxfId="1032" priority="1097">
      <formula>$E278="03 DOSSIER A REPRENDRE"</formula>
    </cfRule>
  </conditionalFormatting>
  <conditionalFormatting sqref="B278:C278">
    <cfRule type="expression" dxfId="1031" priority="1098">
      <formula>$E278="02 RETOUR VT"</formula>
    </cfRule>
  </conditionalFormatting>
  <conditionalFormatting sqref="B278:C278">
    <cfRule type="expression" dxfId="1030" priority="1100">
      <formula>$E278="13 ETAT 5"</formula>
    </cfRule>
  </conditionalFormatting>
  <conditionalFormatting sqref="B278:C278">
    <cfRule type="expression" dxfId="1029" priority="1101">
      <formula>$E278="09 AT DEVIS ORANGE/RIP"</formula>
    </cfRule>
  </conditionalFormatting>
  <conditionalFormatting sqref="B278:C278">
    <cfRule type="expression" dxfId="1028" priority="1102">
      <formula>$E278="15 POI EN FACTU"</formula>
    </cfRule>
  </conditionalFormatting>
  <conditionalFormatting sqref="B278:C278">
    <cfRule type="expression" dxfId="1027" priority="1088">
      <formula>$E278="14 POI EN TRAVAUX"</formula>
    </cfRule>
  </conditionalFormatting>
  <conditionalFormatting sqref="B276:C276">
    <cfRule type="expression" dxfId="1026" priority="1073">
      <formula>$E276="13 ETAT 5"</formula>
    </cfRule>
    <cfRule type="expression" dxfId="1025" priority="1074">
      <formula>$E276="08 AT COMAC/CAPFT"</formula>
    </cfRule>
    <cfRule type="expression" dxfId="1024" priority="1075">
      <formula>$E276="11 AT DTA"</formula>
    </cfRule>
    <cfRule type="expression" dxfId="1023" priority="1076">
      <formula>$E276="07 AT TRVX CLIENT"</formula>
    </cfRule>
    <cfRule type="expression" dxfId="1022" priority="1077">
      <formula>$E276="12 AT MAJ SI"</formula>
    </cfRule>
    <cfRule type="expression" dxfId="1021" priority="1078">
      <formula>$E276="03 DOSSIER A REPRENDRE"</formula>
    </cfRule>
    <cfRule type="expression" dxfId="1020" priority="1079">
      <formula>$E276="10 AT PV"</formula>
    </cfRule>
    <cfRule type="expression" dxfId="1019" priority="1080">
      <formula>$E276="04 DOSSIER A MONTER"</formula>
    </cfRule>
    <cfRule type="expression" dxfId="1018" priority="1081">
      <formula>$E276="15 POI EN FACTU"</formula>
    </cfRule>
    <cfRule type="expression" dxfId="1017" priority="1083">
      <formula>$E276="01 VT A FAIRE"</formula>
    </cfRule>
    <cfRule type="expression" dxfId="1016" priority="1084">
      <formula>$E276="05 AT INFO CAF REF"</formula>
    </cfRule>
    <cfRule type="expression" dxfId="1015" priority="1085">
      <formula>$E276="09 AT DEVIS ORANGE/RIP"</formula>
    </cfRule>
    <cfRule type="expression" dxfId="1014" priority="1086">
      <formula>$E276="14 POI EN TRAVAUX"</formula>
    </cfRule>
    <cfRule type="expression" dxfId="1013" priority="1087">
      <formula>$E276="06 AT DEVIS CLIENT"</formula>
    </cfRule>
  </conditionalFormatting>
  <conditionalFormatting sqref="B276:C276">
    <cfRule type="expression" dxfId="1012" priority="1082">
      <formula>$E276="02 RETOUR VT"</formula>
    </cfRule>
  </conditionalFormatting>
  <conditionalFormatting sqref="B279:C279">
    <cfRule type="expression" dxfId="1011" priority="1058">
      <formula>$E279="13 ETAT 5"</formula>
    </cfRule>
    <cfRule type="expression" dxfId="1010" priority="1059">
      <formula>$E279="08 AT COMAC/CAPFT"</formula>
    </cfRule>
    <cfRule type="expression" dxfId="1009" priority="1060">
      <formula>$E279="11 AT DTA"</formula>
    </cfRule>
    <cfRule type="expression" dxfId="1008" priority="1061">
      <formula>$E279="07 AT TRVX CLIENT"</formula>
    </cfRule>
    <cfRule type="expression" dxfId="1007" priority="1062">
      <formula>$E279="12 AT MAJ SI"</formula>
    </cfRule>
    <cfRule type="expression" dxfId="1006" priority="1063">
      <formula>$E279="03 DOSSIER A REPRENDRE"</formula>
    </cfRule>
    <cfRule type="expression" dxfId="1005" priority="1064">
      <formula>$E279="10 AT PV"</formula>
    </cfRule>
    <cfRule type="expression" dxfId="1004" priority="1065">
      <formula>$E279="04 DOSSIER A MONTER"</formula>
    </cfRule>
    <cfRule type="expression" dxfId="1003" priority="1066">
      <formula>$E279="15 POI EN FACTU"</formula>
    </cfRule>
    <cfRule type="expression" dxfId="1002" priority="1068">
      <formula>$E279="01 VT A FAIRE"</formula>
    </cfRule>
    <cfRule type="expression" dxfId="1001" priority="1069">
      <formula>$E279="05 AT INFO CAF REF"</formula>
    </cfRule>
    <cfRule type="expression" dxfId="1000" priority="1070">
      <formula>$E279="09 AT DEVIS ORANGE/RIP"</formula>
    </cfRule>
    <cfRule type="expression" dxfId="999" priority="1071">
      <formula>$E279="14 POI EN TRAVAUX"</formula>
    </cfRule>
    <cfRule type="expression" dxfId="998" priority="1072">
      <formula>$E279="06 AT DEVIS CLIENT"</formula>
    </cfRule>
  </conditionalFormatting>
  <conditionalFormatting sqref="B279:C279">
    <cfRule type="expression" dxfId="997" priority="1067">
      <formula>$E279="02 RETOUR VT"</formula>
    </cfRule>
  </conditionalFormatting>
  <conditionalFormatting sqref="B280:C280">
    <cfRule type="expression" dxfId="996" priority="1057">
      <formula>$E280="06 AT DEVIS CLIENT"</formula>
    </cfRule>
  </conditionalFormatting>
  <conditionalFormatting sqref="B280:C280">
    <cfRule type="expression" dxfId="995" priority="1045">
      <formula>$E280="13 ETAT 5"</formula>
    </cfRule>
  </conditionalFormatting>
  <conditionalFormatting sqref="B280:C280">
    <cfRule type="expression" dxfId="994" priority="1046">
      <formula>$E280="08 AT COMAC/CAPFT"</formula>
    </cfRule>
  </conditionalFormatting>
  <conditionalFormatting sqref="B280:C280">
    <cfRule type="expression" dxfId="993" priority="1047">
      <formula>$E280="11 AT DTA"</formula>
    </cfRule>
  </conditionalFormatting>
  <conditionalFormatting sqref="B280:C280">
    <cfRule type="expression" dxfId="992" priority="1048">
      <formula>$E280="07 AT TRVX CLIENT"</formula>
    </cfRule>
  </conditionalFormatting>
  <conditionalFormatting sqref="B280:C280">
    <cfRule type="expression" dxfId="991" priority="1049">
      <formula>$E280="12 AT MAJ SI"</formula>
    </cfRule>
  </conditionalFormatting>
  <conditionalFormatting sqref="B280:C280">
    <cfRule type="expression" dxfId="990" priority="1050">
      <formula>$E280="03 DOSSIER A REPRENDRE"</formula>
    </cfRule>
  </conditionalFormatting>
  <conditionalFormatting sqref="B280:C280">
    <cfRule type="expression" dxfId="989" priority="1051">
      <formula>$E280="10 AT PV"</formula>
    </cfRule>
  </conditionalFormatting>
  <conditionalFormatting sqref="B280:C280">
    <cfRule type="expression" dxfId="988" priority="1052">
      <formula>$E280="04 DOSSIER A MONTER"</formula>
    </cfRule>
  </conditionalFormatting>
  <conditionalFormatting sqref="B280:C280">
    <cfRule type="expression" dxfId="987" priority="1053">
      <formula>$E280="02 RETOUR VT"</formula>
    </cfRule>
  </conditionalFormatting>
  <conditionalFormatting sqref="B280:C280">
    <cfRule type="expression" dxfId="986" priority="1054">
      <formula>$E280="05 AT INFO CAF REF"</formula>
    </cfRule>
  </conditionalFormatting>
  <conditionalFormatting sqref="B280:C280">
    <cfRule type="expression" dxfId="985" priority="1055">
      <formula>$E280="09 AT DEVIS ORANGE/RIP"</formula>
    </cfRule>
  </conditionalFormatting>
  <conditionalFormatting sqref="B280:C280">
    <cfRule type="expression" dxfId="984" priority="1056">
      <formula>$E280="14 POI EN TRAVAUX"</formula>
    </cfRule>
  </conditionalFormatting>
  <conditionalFormatting sqref="B280:C280">
    <cfRule type="expression" dxfId="983" priority="1043">
      <formula>$E280="15 POI EN FACTU"</formula>
    </cfRule>
    <cfRule type="expression" dxfId="982" priority="1044">
      <formula>$E280="01 VT A FAIRE"</formula>
    </cfRule>
  </conditionalFormatting>
  <conditionalFormatting sqref="B281:C281">
    <cfRule type="expression" dxfId="981" priority="1042">
      <formula>$E281="01 VT A FAIRE"</formula>
    </cfRule>
  </conditionalFormatting>
  <conditionalFormatting sqref="B281:C281">
    <cfRule type="expression" dxfId="980" priority="1028">
      <formula>$E281="13 ETAT 5"</formula>
    </cfRule>
  </conditionalFormatting>
  <conditionalFormatting sqref="B281:C281">
    <cfRule type="expression" dxfId="979" priority="1029">
      <formula>$E281="12 AT COMAC/CAPFT"</formula>
    </cfRule>
  </conditionalFormatting>
  <conditionalFormatting sqref="B281:C281">
    <cfRule type="expression" dxfId="978" priority="1030">
      <formula>$E281="11 AT DTA"</formula>
    </cfRule>
  </conditionalFormatting>
  <conditionalFormatting sqref="B281:C281">
    <cfRule type="expression" dxfId="977" priority="1031">
      <formula>$E281="07 AT TRVX CLIENT"</formula>
    </cfRule>
  </conditionalFormatting>
  <conditionalFormatting sqref="B281:C281">
    <cfRule type="expression" dxfId="976" priority="1032">
      <formula>$E281="15 POI EN FACTU"</formula>
    </cfRule>
  </conditionalFormatting>
  <conditionalFormatting sqref="B281:C281">
    <cfRule type="expression" dxfId="975" priority="1033">
      <formula>$E281="14 POI EN TRAVAUX"</formula>
    </cfRule>
  </conditionalFormatting>
  <conditionalFormatting sqref="B281:C281">
    <cfRule type="expression" dxfId="974" priority="1034">
      <formula>$E281=" 12 AT MAJ SI"</formula>
    </cfRule>
  </conditionalFormatting>
  <conditionalFormatting sqref="B281:C281">
    <cfRule type="expression" dxfId="973" priority="1035">
      <formula>$E281="06 AT DEVIS CLIENT"</formula>
    </cfRule>
  </conditionalFormatting>
  <conditionalFormatting sqref="B281:C281">
    <cfRule type="expression" dxfId="972" priority="1036">
      <formula>$E281="10 AT PV"</formula>
    </cfRule>
  </conditionalFormatting>
  <conditionalFormatting sqref="B281:C281">
    <cfRule type="expression" dxfId="971" priority="1037">
      <formula>$E281="04 DOSSIER A MONTER"</formula>
    </cfRule>
  </conditionalFormatting>
  <conditionalFormatting sqref="B281:C281">
    <cfRule type="expression" dxfId="970" priority="1038">
      <formula>$E281="03 DOSSIER A REPRENDRE"</formula>
    </cfRule>
  </conditionalFormatting>
  <conditionalFormatting sqref="B281:C281">
    <cfRule type="expression" dxfId="969" priority="1039">
      <formula>$E281="09 AT DEVIS ORANGE/RIP"</formula>
    </cfRule>
  </conditionalFormatting>
  <conditionalFormatting sqref="B281:C281">
    <cfRule type="expression" dxfId="968" priority="1040">
      <formula>$E281="05 AT INFO CAF REF"</formula>
    </cfRule>
  </conditionalFormatting>
  <conditionalFormatting sqref="B281:C281">
    <cfRule type="expression" dxfId="967" priority="1041">
      <formula>$E281="02 RETOUR VT"</formula>
    </cfRule>
  </conditionalFormatting>
  <conditionalFormatting sqref="B282:C282">
    <cfRule type="expression" dxfId="966" priority="1024">
      <formula>$E282="12 AT MAJ SI"</formula>
    </cfRule>
  </conditionalFormatting>
  <conditionalFormatting sqref="B282:C282">
    <cfRule type="expression" dxfId="965" priority="1014">
      <formula>$E282="08 AT COMAC/CAPFT"</formula>
    </cfRule>
  </conditionalFormatting>
  <conditionalFormatting sqref="B282:C282">
    <cfRule type="expression" dxfId="964" priority="1015">
      <formula>$E282="06 AT DEVIS CLIENT"</formula>
    </cfRule>
  </conditionalFormatting>
  <conditionalFormatting sqref="B282:C282">
    <cfRule type="expression" dxfId="963" priority="1016">
      <formula>$E282="01 VT A FAIRE"</formula>
    </cfRule>
  </conditionalFormatting>
  <conditionalFormatting sqref="B282:C282">
    <cfRule type="expression" dxfId="962" priority="1017">
      <formula>$E282="05 AT INFO CAF REF"</formula>
    </cfRule>
  </conditionalFormatting>
  <conditionalFormatting sqref="B282:C282">
    <cfRule type="expression" dxfId="961" priority="1018">
      <formula>$E282="11 AT DTA"</formula>
    </cfRule>
  </conditionalFormatting>
  <conditionalFormatting sqref="B282:C282">
    <cfRule type="expression" dxfId="960" priority="1019">
      <formula>$E282="07 AT TRVX CLIENT"</formula>
    </cfRule>
  </conditionalFormatting>
  <conditionalFormatting sqref="B282:C282">
    <cfRule type="expression" dxfId="959" priority="1020">
      <formula>$E282="10 AT PV"</formula>
    </cfRule>
  </conditionalFormatting>
  <conditionalFormatting sqref="B282:C282">
    <cfRule type="expression" dxfId="958" priority="1021">
      <formula>$E282="04 DOSSIER A MONTER"</formula>
    </cfRule>
  </conditionalFormatting>
  <conditionalFormatting sqref="B282:C282">
    <cfRule type="expression" dxfId="957" priority="1022">
      <formula>$E282="03 DOSSIER A REPRENDRE"</formula>
    </cfRule>
  </conditionalFormatting>
  <conditionalFormatting sqref="B282:C282">
    <cfRule type="expression" dxfId="956" priority="1023">
      <formula>$E282="02 RETOUR VT"</formula>
    </cfRule>
  </conditionalFormatting>
  <conditionalFormatting sqref="B282:C282">
    <cfRule type="expression" dxfId="955" priority="1025">
      <formula>$E282="13 ETAT 5"</formula>
    </cfRule>
  </conditionalFormatting>
  <conditionalFormatting sqref="B282:C282">
    <cfRule type="expression" dxfId="954" priority="1026">
      <formula>$E282="09 AT DEVIS ORANGE/RIP"</formula>
    </cfRule>
  </conditionalFormatting>
  <conditionalFormatting sqref="B282:C282">
    <cfRule type="expression" dxfId="953" priority="1027">
      <formula>$E282="15 POI EN FACTU"</formula>
    </cfRule>
  </conditionalFormatting>
  <conditionalFormatting sqref="B282:C282">
    <cfRule type="expression" dxfId="952" priority="1013">
      <formula>$E282="14 POI EN TRAVAUX"</formula>
    </cfRule>
  </conditionalFormatting>
  <conditionalFormatting sqref="B283:C283">
    <cfRule type="expression" dxfId="951" priority="1012">
      <formula>$E283="01 VT A FAIRE"</formula>
    </cfRule>
  </conditionalFormatting>
  <conditionalFormatting sqref="B283:C283">
    <cfRule type="expression" dxfId="950" priority="998">
      <formula>$E283="13 ETAT 5"</formula>
    </cfRule>
  </conditionalFormatting>
  <conditionalFormatting sqref="B283:C283">
    <cfRule type="expression" dxfId="949" priority="999">
      <formula>$E283="12 AT COMAC/CAPFT"</formula>
    </cfRule>
  </conditionalFormatting>
  <conditionalFormatting sqref="B283:C283">
    <cfRule type="expression" dxfId="948" priority="1000">
      <formula>$E283="11 AT DTA"</formula>
    </cfRule>
  </conditionalFormatting>
  <conditionalFormatting sqref="B283:C283">
    <cfRule type="expression" dxfId="947" priority="1001">
      <formula>$E283="07 AT TRVX CLIENT"</formula>
    </cfRule>
  </conditionalFormatting>
  <conditionalFormatting sqref="B283:C283">
    <cfRule type="expression" dxfId="946" priority="1002">
      <formula>$E283="15 POI EN FACTU"</formula>
    </cfRule>
  </conditionalFormatting>
  <conditionalFormatting sqref="B283:C283">
    <cfRule type="expression" dxfId="945" priority="1003">
      <formula>$E283="14 POI EN TRAVAUX"</formula>
    </cfRule>
  </conditionalFormatting>
  <conditionalFormatting sqref="B283:C283">
    <cfRule type="expression" dxfId="944" priority="1004">
      <formula>$E283=" 12 AT MAJ SI"</formula>
    </cfRule>
  </conditionalFormatting>
  <conditionalFormatting sqref="B283:C283">
    <cfRule type="expression" dxfId="943" priority="1005">
      <formula>$E283="06 AT DEVIS CLIENT"</formula>
    </cfRule>
  </conditionalFormatting>
  <conditionalFormatting sqref="B283:C283">
    <cfRule type="expression" dxfId="942" priority="1006">
      <formula>$E283="10 AT PV"</formula>
    </cfRule>
  </conditionalFormatting>
  <conditionalFormatting sqref="B283:C283">
    <cfRule type="expression" dxfId="941" priority="1007">
      <formula>$E283="04 DOSSIER A MONTER"</formula>
    </cfRule>
  </conditionalFormatting>
  <conditionalFormatting sqref="B283:C283">
    <cfRule type="expression" dxfId="940" priority="1008">
      <formula>$E283="03 DOSSIER A REPRENDRE"</formula>
    </cfRule>
  </conditionalFormatting>
  <conditionalFormatting sqref="B283:C283">
    <cfRule type="expression" dxfId="939" priority="1009">
      <formula>$E283="09 AT DEVIS ORANGE/RIP"</formula>
    </cfRule>
  </conditionalFormatting>
  <conditionalFormatting sqref="B283:C283">
    <cfRule type="expression" dxfId="938" priority="1010">
      <formula>$E283="05 AT INFO CAF REF"</formula>
    </cfRule>
  </conditionalFormatting>
  <conditionalFormatting sqref="B283:C283">
    <cfRule type="expression" dxfId="937" priority="1011">
      <formula>$E283="02 RETOUR VT"</formula>
    </cfRule>
  </conditionalFormatting>
  <conditionalFormatting sqref="B284:C284">
    <cfRule type="expression" dxfId="936" priority="997">
      <formula>$E284="01 VT A FAIRE"</formula>
    </cfRule>
  </conditionalFormatting>
  <conditionalFormatting sqref="B284:C284">
    <cfRule type="expression" dxfId="935" priority="983">
      <formula>$E284="13 ETAT 5"</formula>
    </cfRule>
  </conditionalFormatting>
  <conditionalFormatting sqref="B284:C284">
    <cfRule type="expression" dxfId="934" priority="984">
      <formula>$E284="12 AT COMAC/CAPFT"</formula>
    </cfRule>
  </conditionalFormatting>
  <conditionalFormatting sqref="B284:C284">
    <cfRule type="expression" dxfId="933" priority="985">
      <formula>$E284="11 AT DTA"</formula>
    </cfRule>
  </conditionalFormatting>
  <conditionalFormatting sqref="B284:C284">
    <cfRule type="expression" dxfId="932" priority="986">
      <formula>$E284="07 AT TRVX CLIENT"</formula>
    </cfRule>
  </conditionalFormatting>
  <conditionalFormatting sqref="B284:C284">
    <cfRule type="expression" dxfId="931" priority="987">
      <formula>$E284="15 POI EN FACTU"</formula>
    </cfRule>
  </conditionalFormatting>
  <conditionalFormatting sqref="B284:C284">
    <cfRule type="expression" dxfId="930" priority="988">
      <formula>$E284="14 POI EN TRAVAUX"</formula>
    </cfRule>
  </conditionalFormatting>
  <conditionalFormatting sqref="B284:C284">
    <cfRule type="expression" dxfId="929" priority="989">
      <formula>$E284=" 12 AT MAJ SI"</formula>
    </cfRule>
  </conditionalFormatting>
  <conditionalFormatting sqref="B284:C284">
    <cfRule type="expression" dxfId="928" priority="990">
      <formula>$E284="06 AT DEVIS CLIENT"</formula>
    </cfRule>
  </conditionalFormatting>
  <conditionalFormatting sqref="B284:C284">
    <cfRule type="expression" dxfId="927" priority="991">
      <formula>$E284="10 AT PV"</formula>
    </cfRule>
  </conditionalFormatting>
  <conditionalFormatting sqref="B284:C284">
    <cfRule type="expression" dxfId="926" priority="992">
      <formula>$E284="04 DOSSIER A MONTER"</formula>
    </cfRule>
  </conditionalFormatting>
  <conditionalFormatting sqref="B284:C284">
    <cfRule type="expression" dxfId="925" priority="993">
      <formula>$E284="03 DOSSIER A REPRENDRE"</formula>
    </cfRule>
  </conditionalFormatting>
  <conditionalFormatting sqref="B284:C284">
    <cfRule type="expression" dxfId="924" priority="994">
      <formula>$E284="09 AT DEVIS ORANGE/RIP"</formula>
    </cfRule>
  </conditionalFormatting>
  <conditionalFormatting sqref="B284:C284">
    <cfRule type="expression" dxfId="923" priority="995">
      <formula>$E284="05 AT INFO CAF REF"</formula>
    </cfRule>
  </conditionalFormatting>
  <conditionalFormatting sqref="B284:C284">
    <cfRule type="expression" dxfId="922" priority="996">
      <formula>$E284="02 RETOUR VT"</formula>
    </cfRule>
  </conditionalFormatting>
  <conditionalFormatting sqref="B285:C285">
    <cfRule type="expression" dxfId="921" priority="979">
      <formula>$E285="12 AT MAJ SI"</formula>
    </cfRule>
  </conditionalFormatting>
  <conditionalFormatting sqref="B285:C285">
    <cfRule type="expression" dxfId="920" priority="969">
      <formula>$E285="08 AT COMAC/CAPFT"</formula>
    </cfRule>
  </conditionalFormatting>
  <conditionalFormatting sqref="B285:C285">
    <cfRule type="expression" dxfId="919" priority="970">
      <formula>$E285="06 AT DEVIS CLIENT"</formula>
    </cfRule>
  </conditionalFormatting>
  <conditionalFormatting sqref="B285:C285">
    <cfRule type="expression" dxfId="918" priority="971">
      <formula>$E285="01 VT A FAIRE"</formula>
    </cfRule>
  </conditionalFormatting>
  <conditionalFormatting sqref="B285:C285">
    <cfRule type="expression" dxfId="917" priority="972">
      <formula>$E285="05 AT INFO CAF REF"</formula>
    </cfRule>
  </conditionalFormatting>
  <conditionalFormatting sqref="B285:C285">
    <cfRule type="expression" dxfId="916" priority="973">
      <formula>$E285="11 AT DTA"</formula>
    </cfRule>
  </conditionalFormatting>
  <conditionalFormatting sqref="B285:C285">
    <cfRule type="expression" dxfId="915" priority="974">
      <formula>$E285="07 AT TRVX CLIENT"</formula>
    </cfRule>
  </conditionalFormatting>
  <conditionalFormatting sqref="B285:C285">
    <cfRule type="expression" dxfId="914" priority="975">
      <formula>$E285="10 AT PV"</formula>
    </cfRule>
  </conditionalFormatting>
  <conditionalFormatting sqref="B285:C285">
    <cfRule type="expression" dxfId="913" priority="976">
      <formula>$E285="04 DOSSIER A MONTER"</formula>
    </cfRule>
  </conditionalFormatting>
  <conditionalFormatting sqref="B285:C285">
    <cfRule type="expression" dxfId="912" priority="977">
      <formula>$E285="03 DOSSIER A REPRENDRE"</formula>
    </cfRule>
  </conditionalFormatting>
  <conditionalFormatting sqref="B285:C285">
    <cfRule type="expression" dxfId="911" priority="978">
      <formula>$E285="02 RETOUR VT"</formula>
    </cfRule>
  </conditionalFormatting>
  <conditionalFormatting sqref="B285:C285">
    <cfRule type="expression" dxfId="910" priority="980">
      <formula>$E285="13 ETAT 5"</formula>
    </cfRule>
  </conditionalFormatting>
  <conditionalFormatting sqref="B285:C285">
    <cfRule type="expression" dxfId="909" priority="981">
      <formula>$E285="09 AT DEVIS ORANGE/RIP"</formula>
    </cfRule>
  </conditionalFormatting>
  <conditionalFormatting sqref="B285:C285">
    <cfRule type="expression" dxfId="908" priority="982">
      <formula>$E285="15 POI EN FACTU"</formula>
    </cfRule>
  </conditionalFormatting>
  <conditionalFormatting sqref="B285:C285">
    <cfRule type="expression" dxfId="907" priority="968">
      <formula>$E285="14 POI EN TRAVAUX"</formula>
    </cfRule>
  </conditionalFormatting>
  <conditionalFormatting sqref="B288:C288">
    <cfRule type="expression" dxfId="906" priority="967">
      <formula>$E288="01 VT A FAIRE"</formula>
    </cfRule>
  </conditionalFormatting>
  <conditionalFormatting sqref="B288:C288">
    <cfRule type="expression" dxfId="905" priority="953">
      <formula>$E288="13 ETAT 5"</formula>
    </cfRule>
  </conditionalFormatting>
  <conditionalFormatting sqref="B288:C288">
    <cfRule type="expression" dxfId="904" priority="954">
      <formula>$E288="12 AT COMAC/CAPFT"</formula>
    </cfRule>
  </conditionalFormatting>
  <conditionalFormatting sqref="B288:C288">
    <cfRule type="expression" dxfId="903" priority="955">
      <formula>$E288="11 AT DTA"</formula>
    </cfRule>
  </conditionalFormatting>
  <conditionalFormatting sqref="B288:C288">
    <cfRule type="expression" dxfId="902" priority="956">
      <formula>$E288="07 AT TRVX CLIENT"</formula>
    </cfRule>
  </conditionalFormatting>
  <conditionalFormatting sqref="B288:C288">
    <cfRule type="expression" dxfId="901" priority="957">
      <formula>$E288="15 POI EN FACTU"</formula>
    </cfRule>
  </conditionalFormatting>
  <conditionalFormatting sqref="B288:C288">
    <cfRule type="expression" dxfId="900" priority="958">
      <formula>$E288="14 POI EN TRAVAUX"</formula>
    </cfRule>
  </conditionalFormatting>
  <conditionalFormatting sqref="B288:C288">
    <cfRule type="expression" dxfId="899" priority="959">
      <formula>$E288=" 12 AT MAJ SI"</formula>
    </cfRule>
  </conditionalFormatting>
  <conditionalFormatting sqref="B288:C288">
    <cfRule type="expression" dxfId="898" priority="960">
      <formula>$E288="06 AT DEVIS CLIENT"</formula>
    </cfRule>
  </conditionalFormatting>
  <conditionalFormatting sqref="B288:C288">
    <cfRule type="expression" dxfId="897" priority="961">
      <formula>$E288="10 AT PV"</formula>
    </cfRule>
  </conditionalFormatting>
  <conditionalFormatting sqref="B288:C288">
    <cfRule type="expression" dxfId="896" priority="962">
      <formula>$E288="04 DOSSIER A MONTER"</formula>
    </cfRule>
  </conditionalFormatting>
  <conditionalFormatting sqref="B288:C288">
    <cfRule type="expression" dxfId="895" priority="963">
      <formula>$E288="03 DOSSIER A REPRENDRE"</formula>
    </cfRule>
  </conditionalFormatting>
  <conditionalFormatting sqref="B288:C288">
    <cfRule type="expression" dxfId="894" priority="964">
      <formula>$E288="09 AT DEVIS ORANGE/RIP"</formula>
    </cfRule>
  </conditionalFormatting>
  <conditionalFormatting sqref="B288:C288">
    <cfRule type="expression" dxfId="893" priority="965">
      <formula>$E288="05 AT INFO CAF REF"</formula>
    </cfRule>
  </conditionalFormatting>
  <conditionalFormatting sqref="B288:C288">
    <cfRule type="expression" dxfId="892" priority="966">
      <formula>$E288="02 RETOUR VT"</formula>
    </cfRule>
  </conditionalFormatting>
  <conditionalFormatting sqref="B289:C289">
    <cfRule type="expression" dxfId="891" priority="938">
      <formula>$E289="13 ETAT 5"</formula>
    </cfRule>
    <cfRule type="expression" dxfId="890" priority="939">
      <formula>$E289="08 AT COMAC/CAPFT"</formula>
    </cfRule>
    <cfRule type="expression" dxfId="889" priority="940">
      <formula>$E289="11 AT DTA"</formula>
    </cfRule>
    <cfRule type="expression" dxfId="888" priority="941">
      <formula>$E289="07 AT TRVX CLIENT"</formula>
    </cfRule>
    <cfRule type="expression" dxfId="887" priority="942">
      <formula>$E289="12 AT MAJ SI"</formula>
    </cfRule>
    <cfRule type="expression" dxfId="886" priority="943">
      <formula>$E289="03 DOSSIER A REPRENDRE"</formula>
    </cfRule>
    <cfRule type="expression" dxfId="885" priority="944">
      <formula>$E289="10 AT PV"</formula>
    </cfRule>
    <cfRule type="expression" dxfId="884" priority="945">
      <formula>$E289="04 DOSSIER A MONTER"</formula>
    </cfRule>
    <cfRule type="expression" dxfId="883" priority="946">
      <formula>$E289="15 POI EN FACTU"</formula>
    </cfRule>
    <cfRule type="expression" dxfId="882" priority="948">
      <formula>$E289="01 VT A FAIRE"</formula>
    </cfRule>
    <cfRule type="expression" dxfId="881" priority="949">
      <formula>$E289="05 AT INFO CAF REF"</formula>
    </cfRule>
    <cfRule type="expression" dxfId="880" priority="950">
      <formula>$E289="09 AT DEVIS ORANGE/RIP"</formula>
    </cfRule>
    <cfRule type="expression" dxfId="879" priority="951">
      <formula>$E289="14 POI EN TRAVAUX"</formula>
    </cfRule>
    <cfRule type="expression" dxfId="878" priority="952">
      <formula>$E289="06 AT DEVIS CLIENT"</formula>
    </cfRule>
  </conditionalFormatting>
  <conditionalFormatting sqref="B289:C289">
    <cfRule type="expression" dxfId="877" priority="947">
      <formula>$E289="02 RETOUR VT"</formula>
    </cfRule>
  </conditionalFormatting>
  <conditionalFormatting sqref="B290:C290">
    <cfRule type="expression" dxfId="876" priority="923">
      <formula>$E290="13 ETAT 5"</formula>
    </cfRule>
    <cfRule type="expression" dxfId="875" priority="924">
      <formula>$E290="08 AT COMAC/CAPFT"</formula>
    </cfRule>
    <cfRule type="expression" dxfId="874" priority="925">
      <formula>$E290="11 AT DTA"</formula>
    </cfRule>
    <cfRule type="expression" dxfId="873" priority="926">
      <formula>$E290="07 AT TRVX CLIENT"</formula>
    </cfRule>
    <cfRule type="expression" dxfId="872" priority="927">
      <formula>$E290="12 AT MAJ SI"</formula>
    </cfRule>
    <cfRule type="expression" dxfId="871" priority="928">
      <formula>$E290="03 DOSSIER A REPRENDRE"</formula>
    </cfRule>
    <cfRule type="expression" dxfId="870" priority="929">
      <formula>$E290="10 AT PV"</formula>
    </cfRule>
    <cfRule type="expression" dxfId="869" priority="930">
      <formula>$E290="04 DOSSIER A MONTER"</formula>
    </cfRule>
    <cfRule type="expression" dxfId="868" priority="931">
      <formula>$E290="15 POI EN FACTU"</formula>
    </cfRule>
    <cfRule type="expression" dxfId="867" priority="933">
      <formula>$E290="01 VT A FAIRE"</formula>
    </cfRule>
    <cfRule type="expression" dxfId="866" priority="934">
      <formula>$E290="05 AT INFO CAF REF"</formula>
    </cfRule>
    <cfRule type="expression" dxfId="865" priority="935">
      <formula>$E290="09 AT DEVIS ORANGE/RIP"</formula>
    </cfRule>
    <cfRule type="expression" dxfId="864" priority="936">
      <formula>$E290="14 POI EN TRAVAUX"</formula>
    </cfRule>
    <cfRule type="expression" dxfId="863" priority="937">
      <formula>$E290="06 AT DEVIS CLIENT"</formula>
    </cfRule>
  </conditionalFormatting>
  <conditionalFormatting sqref="B290:C290">
    <cfRule type="expression" dxfId="862" priority="932">
      <formula>$E290="02 RETOUR VT"</formula>
    </cfRule>
  </conditionalFormatting>
  <conditionalFormatting sqref="B291:C291">
    <cfRule type="expression" dxfId="861" priority="908">
      <formula>$E291="13 ETAT 5"</formula>
    </cfRule>
    <cfRule type="expression" dxfId="860" priority="909">
      <formula>$E291="08 AT COMAC/CAPFT"</formula>
    </cfRule>
    <cfRule type="expression" dxfId="859" priority="910">
      <formula>$E291="11 AT DTA"</formula>
    </cfRule>
    <cfRule type="expression" dxfId="858" priority="911">
      <formula>$E291="07 AT TRVX CLIENT"</formula>
    </cfRule>
    <cfRule type="expression" dxfId="857" priority="912">
      <formula>$E291="12 AT MAJ SI"</formula>
    </cfRule>
    <cfRule type="expression" dxfId="856" priority="913">
      <formula>$E291="03 DOSSIER A REPRENDRE"</formula>
    </cfRule>
    <cfRule type="expression" dxfId="855" priority="914">
      <formula>$E291="10 AT PV"</formula>
    </cfRule>
    <cfRule type="expression" dxfId="854" priority="915">
      <formula>$E291="04 DOSSIER A MONTER"</formula>
    </cfRule>
    <cfRule type="expression" dxfId="853" priority="916">
      <formula>$E291="15 POI EN FACTU"</formula>
    </cfRule>
    <cfRule type="expression" dxfId="852" priority="918">
      <formula>$E291="01 VT A FAIRE"</formula>
    </cfRule>
    <cfRule type="expression" dxfId="851" priority="919">
      <formula>$E291="05 AT INFO CAF REF"</formula>
    </cfRule>
    <cfRule type="expression" dxfId="850" priority="920">
      <formula>$E291="09 AT DEVIS ORANGE/RIP"</formula>
    </cfRule>
    <cfRule type="expression" dxfId="849" priority="921">
      <formula>$E291="14 POI EN TRAVAUX"</formula>
    </cfRule>
    <cfRule type="expression" dxfId="848" priority="922">
      <formula>$E291="06 AT DEVIS CLIENT"</formula>
    </cfRule>
  </conditionalFormatting>
  <conditionalFormatting sqref="B291:C291">
    <cfRule type="expression" dxfId="847" priority="917">
      <formula>$E291="02 RETOUR VT"</formula>
    </cfRule>
  </conditionalFormatting>
  <conditionalFormatting sqref="B264:C264">
    <cfRule type="expression" dxfId="846" priority="900">
      <formula>$E264="DOSSIER A REPRENDRE"</formula>
    </cfRule>
    <cfRule type="expression" dxfId="845" priority="901">
      <formula>$E264="ATT PV"</formula>
    </cfRule>
    <cfRule type="expression" dxfId="844" priority="902">
      <formula>$E264="DOSSIER A MONTER"</formula>
    </cfRule>
    <cfRule type="expression" dxfId="843" priority="903">
      <formula>$E264="POI EN FACTU"</formula>
    </cfRule>
  </conditionalFormatting>
  <conditionalFormatting sqref="B264:C264">
    <cfRule type="expression" dxfId="842" priority="889">
      <formula>$E264="ETAT 5"</formula>
    </cfRule>
    <cfRule type="expression" dxfId="841" priority="890">
      <formula>$E264="ATT COMAC/CAPFT"</formula>
    </cfRule>
    <cfRule type="expression" dxfId="840" priority="891">
      <formula>$E264="ATT DTA"</formula>
    </cfRule>
    <cfRule type="expression" dxfId="839" priority="892">
      <formula>$E264="ATT TRVX CLIENT"</formula>
    </cfRule>
    <cfRule type="expression" dxfId="838" priority="893">
      <formula>$E264="ATT MAJ SI"</formula>
    </cfRule>
    <cfRule type="expression" dxfId="837" priority="894">
      <formula>$E264="DOSSIER A REPRENDRE"</formula>
    </cfRule>
    <cfRule type="expression" dxfId="836" priority="895">
      <formula>$E264="ATT PV"</formula>
    </cfRule>
    <cfRule type="expression" dxfId="835" priority="896">
      <formula>$E264="DOSSIER A MONTER"</formula>
    </cfRule>
    <cfRule type="expression" dxfId="834" priority="897">
      <formula>$E264="POI EN FACTU"</formula>
    </cfRule>
    <cfRule type="expression" dxfId="833" priority="898">
      <formula>$E264="RETOUR VT"</formula>
    </cfRule>
    <cfRule type="expression" dxfId="832" priority="899">
      <formula>$E264="VT A FAIRE"</formula>
    </cfRule>
    <cfRule type="expression" dxfId="831" priority="904">
      <formula>$E264="ATT INFOS CAF REF"</formula>
    </cfRule>
    <cfRule type="expression" dxfId="830" priority="905">
      <formula>$E264="ATT DEVIS ORANGE/RIP"</formula>
    </cfRule>
    <cfRule type="expression" dxfId="829" priority="906">
      <formula>$E264="POI EN TRAVAUX"</formula>
    </cfRule>
    <cfRule type="expression" dxfId="828" priority="907">
      <formula>$E264="ATT DEVIS CLIENT"</formula>
    </cfRule>
  </conditionalFormatting>
  <conditionalFormatting sqref="B292:C292">
    <cfRule type="expression" dxfId="827" priority="874">
      <formula>$E292="13 ETAT 5"</formula>
    </cfRule>
    <cfRule type="expression" dxfId="826" priority="875">
      <formula>$E292="08 AT COMAC/CAPFT"</formula>
    </cfRule>
    <cfRule type="expression" dxfId="825" priority="876">
      <formula>$E292="11 AT DTA"</formula>
    </cfRule>
    <cfRule type="expression" dxfId="824" priority="877">
      <formula>$E292="07 AT TRVX CLIENT"</formula>
    </cfRule>
    <cfRule type="expression" dxfId="823" priority="878">
      <formula>$E292="12 AT MAJ SI"</formula>
    </cfRule>
    <cfRule type="expression" dxfId="822" priority="879">
      <formula>$E292="03 DOSSIER A REPRENDRE"</formula>
    </cfRule>
    <cfRule type="expression" dxfId="821" priority="880">
      <formula>$E292="10 AT PV"</formula>
    </cfRule>
    <cfRule type="expression" dxfId="820" priority="881">
      <formula>$E292="04 DOSSIER A MONTER"</formula>
    </cfRule>
    <cfRule type="expression" dxfId="819" priority="882">
      <formula>$E292="15 POI EN FACTU"</formula>
    </cfRule>
    <cfRule type="expression" dxfId="818" priority="884">
      <formula>$E292="01 VT A FAIRE"</formula>
    </cfRule>
    <cfRule type="expression" dxfId="817" priority="885">
      <formula>$E292="05 AT INFO CAF REF"</formula>
    </cfRule>
    <cfRule type="expression" dxfId="816" priority="886">
      <formula>$E292="09 AT DEVIS ORANGE/RIP"</formula>
    </cfRule>
    <cfRule type="expression" dxfId="815" priority="887">
      <formula>$E292="14 POI EN TRAVAUX"</formula>
    </cfRule>
    <cfRule type="expression" dxfId="814" priority="888">
      <formula>$E292="06 AT DEVIS CLIENT"</formula>
    </cfRule>
  </conditionalFormatting>
  <conditionalFormatting sqref="B292:C292">
    <cfRule type="expression" dxfId="813" priority="883">
      <formula>$E292="02 RETOUR VT"</formula>
    </cfRule>
  </conditionalFormatting>
  <conditionalFormatting sqref="B293:C293">
    <cfRule type="expression" dxfId="812" priority="873">
      <formula>$E293="06 AT DEVIS CLIENT"</formula>
    </cfRule>
  </conditionalFormatting>
  <conditionalFormatting sqref="B293:C293">
    <cfRule type="expression" dxfId="811" priority="861">
      <formula>$E293="13 ETAT 5"</formula>
    </cfRule>
  </conditionalFormatting>
  <conditionalFormatting sqref="B293:C293">
    <cfRule type="expression" dxfId="810" priority="862">
      <formula>$E293="08 AT COMAC/CAPFT"</formula>
    </cfRule>
  </conditionalFormatting>
  <conditionalFormatting sqref="B293:C293">
    <cfRule type="expression" dxfId="809" priority="863">
      <formula>$E293="11 AT DTA"</formula>
    </cfRule>
  </conditionalFormatting>
  <conditionalFormatting sqref="B293:C293">
    <cfRule type="expression" dxfId="808" priority="864">
      <formula>$E293="07 AT TRVX CLIENT"</formula>
    </cfRule>
  </conditionalFormatting>
  <conditionalFormatting sqref="B293:C293">
    <cfRule type="expression" dxfId="807" priority="865">
      <formula>$E293="12 AT MAJ SI"</formula>
    </cfRule>
  </conditionalFormatting>
  <conditionalFormatting sqref="B293:C293">
    <cfRule type="expression" dxfId="806" priority="866">
      <formula>$E293="03 DOSSIER A REPRENDRE"</formula>
    </cfRule>
  </conditionalFormatting>
  <conditionalFormatting sqref="B293:C293">
    <cfRule type="expression" dxfId="805" priority="867">
      <formula>$E293="10 AT PV"</formula>
    </cfRule>
  </conditionalFormatting>
  <conditionalFormatting sqref="B293:C293">
    <cfRule type="expression" dxfId="804" priority="868">
      <formula>$E293="04 DOSSIER A MONTER"</formula>
    </cfRule>
  </conditionalFormatting>
  <conditionalFormatting sqref="B293:C293">
    <cfRule type="expression" dxfId="803" priority="869">
      <formula>$E293="02 RETOUR VT"</formula>
    </cfRule>
  </conditionalFormatting>
  <conditionalFormatting sqref="B293:C293">
    <cfRule type="expression" dxfId="802" priority="870">
      <formula>$E293="05 AT INFO CAF REF"</formula>
    </cfRule>
  </conditionalFormatting>
  <conditionalFormatting sqref="B293:C293">
    <cfRule type="expression" dxfId="801" priority="871">
      <formula>$E293="09 AT DEVIS ORANGE/RIP"</formula>
    </cfRule>
  </conditionalFormatting>
  <conditionalFormatting sqref="B293:C293">
    <cfRule type="expression" dxfId="800" priority="872">
      <formula>$E293="14 POI EN TRAVAUX"</formula>
    </cfRule>
  </conditionalFormatting>
  <conditionalFormatting sqref="B293:C293">
    <cfRule type="expression" dxfId="799" priority="859">
      <formula>$E293="15 POI EN FACTU"</formula>
    </cfRule>
    <cfRule type="expression" dxfId="798" priority="860">
      <formula>$E293="01 VT A FAIRE"</formula>
    </cfRule>
  </conditionalFormatting>
  <conditionalFormatting sqref="B294:C294">
    <cfRule type="expression" dxfId="797" priority="858">
      <formula>$E294="06 AT DEVIS CLIENT"</formula>
    </cfRule>
  </conditionalFormatting>
  <conditionalFormatting sqref="B294:C294">
    <cfRule type="expression" dxfId="796" priority="846">
      <formula>$E294="13 ETAT 5"</formula>
    </cfRule>
  </conditionalFormatting>
  <conditionalFormatting sqref="B294:C294">
    <cfRule type="expression" dxfId="795" priority="847">
      <formula>$E294="08 AT COMAC/CAPFT"</formula>
    </cfRule>
  </conditionalFormatting>
  <conditionalFormatting sqref="B294:C294">
    <cfRule type="expression" dxfId="794" priority="848">
      <formula>$E294="11 AT DTA"</formula>
    </cfRule>
  </conditionalFormatting>
  <conditionalFormatting sqref="B294:C294">
    <cfRule type="expression" dxfId="793" priority="849">
      <formula>$E294="07 AT TRVX CLIENT"</formula>
    </cfRule>
  </conditionalFormatting>
  <conditionalFormatting sqref="B294:C294">
    <cfRule type="expression" dxfId="792" priority="850">
      <formula>$E294="12 AT MAJ SI"</formula>
    </cfRule>
  </conditionalFormatting>
  <conditionalFormatting sqref="B294:C294">
    <cfRule type="expression" dxfId="791" priority="851">
      <formula>$E294="03 DOSSIER A REPRENDRE"</formula>
    </cfRule>
  </conditionalFormatting>
  <conditionalFormatting sqref="B294:C294">
    <cfRule type="expression" dxfId="790" priority="852">
      <formula>$E294="10 AT PV"</formula>
    </cfRule>
  </conditionalFormatting>
  <conditionalFormatting sqref="B294:C294">
    <cfRule type="expression" dxfId="789" priority="853">
      <formula>$E294="04 DOSSIER A MONTER"</formula>
    </cfRule>
  </conditionalFormatting>
  <conditionalFormatting sqref="B294:C294">
    <cfRule type="expression" dxfId="788" priority="854">
      <formula>$E294="02 RETOUR VT"</formula>
    </cfRule>
  </conditionalFormatting>
  <conditionalFormatting sqref="B294:C294">
    <cfRule type="expression" dxfId="787" priority="855">
      <formula>$E294="05 AT INFO CAF REF"</formula>
    </cfRule>
  </conditionalFormatting>
  <conditionalFormatting sqref="B294:C294">
    <cfRule type="expression" dxfId="786" priority="856">
      <formula>$E294="09 AT DEVIS ORANGE/RIP"</formula>
    </cfRule>
  </conditionalFormatting>
  <conditionalFormatting sqref="B294:C294">
    <cfRule type="expression" dxfId="785" priority="857">
      <formula>$E294="14 POI EN TRAVAUX"</formula>
    </cfRule>
  </conditionalFormatting>
  <conditionalFormatting sqref="B294:C294">
    <cfRule type="expression" dxfId="784" priority="844">
      <formula>$E294="15 POI EN FACTU"</formula>
    </cfRule>
    <cfRule type="expression" dxfId="783" priority="845">
      <formula>$E294="01 VT A FAIRE"</formula>
    </cfRule>
  </conditionalFormatting>
  <conditionalFormatting sqref="B295:C295">
    <cfRule type="expression" dxfId="782" priority="843">
      <formula>$E295="06 AT DEVIS CLIENT"</formula>
    </cfRule>
  </conditionalFormatting>
  <conditionalFormatting sqref="B295:C295">
    <cfRule type="expression" dxfId="781" priority="831">
      <formula>$E295="13 ETAT 5"</formula>
    </cfRule>
  </conditionalFormatting>
  <conditionalFormatting sqref="B295:C295">
    <cfRule type="expression" dxfId="780" priority="832">
      <formula>$E295="08 AT COMAC/CAPFT"</formula>
    </cfRule>
  </conditionalFormatting>
  <conditionalFormatting sqref="B295:C295">
    <cfRule type="expression" dxfId="779" priority="833">
      <formula>$E295="11 AT DTA"</formula>
    </cfRule>
  </conditionalFormatting>
  <conditionalFormatting sqref="B295:C295">
    <cfRule type="expression" dxfId="778" priority="834">
      <formula>$E295="07 AT TRVX CLIENT"</formula>
    </cfRule>
  </conditionalFormatting>
  <conditionalFormatting sqref="B295:C295">
    <cfRule type="expression" dxfId="777" priority="835">
      <formula>$E295="12 AT MAJ SI"</formula>
    </cfRule>
  </conditionalFormatting>
  <conditionalFormatting sqref="B295:C295">
    <cfRule type="expression" dxfId="776" priority="836">
      <formula>$E295="03 DOSSIER A REPRENDRE"</formula>
    </cfRule>
  </conditionalFormatting>
  <conditionalFormatting sqref="B295:C295">
    <cfRule type="expression" dxfId="775" priority="837">
      <formula>$E295="10 AT PV"</formula>
    </cfRule>
  </conditionalFormatting>
  <conditionalFormatting sqref="B295:C295">
    <cfRule type="expression" dxfId="774" priority="838">
      <formula>$E295="04 DOSSIER A MONTER"</formula>
    </cfRule>
  </conditionalFormatting>
  <conditionalFormatting sqref="B295:C295">
    <cfRule type="expression" dxfId="773" priority="839">
      <formula>$E295="02 RETOUR VT"</formula>
    </cfRule>
  </conditionalFormatting>
  <conditionalFormatting sqref="B295:C295">
    <cfRule type="expression" dxfId="772" priority="840">
      <formula>$E295="05 AT INFO CAF REF"</formula>
    </cfRule>
  </conditionalFormatting>
  <conditionalFormatting sqref="B295:C295">
    <cfRule type="expression" dxfId="771" priority="841">
      <formula>$E295="09 AT DEVIS ORANGE/RIP"</formula>
    </cfRule>
  </conditionalFormatting>
  <conditionalFormatting sqref="B295:C295">
    <cfRule type="expression" dxfId="770" priority="842">
      <formula>$E295="14 POI EN TRAVAUX"</formula>
    </cfRule>
  </conditionalFormatting>
  <conditionalFormatting sqref="B295:C295">
    <cfRule type="expression" dxfId="769" priority="829">
      <formula>$E295="15 POI EN FACTU"</formula>
    </cfRule>
    <cfRule type="expression" dxfId="768" priority="830">
      <formula>$E295="01 VT A FAIRE"</formula>
    </cfRule>
  </conditionalFormatting>
  <conditionalFormatting sqref="B297:C297">
    <cfRule type="expression" dxfId="767" priority="828">
      <formula>$E297="06 AT DEVIS CLIENT"</formula>
    </cfRule>
  </conditionalFormatting>
  <conditionalFormatting sqref="B297:C297">
    <cfRule type="expression" dxfId="766" priority="816">
      <formula>$E297="13 ETAT 5"</formula>
    </cfRule>
  </conditionalFormatting>
  <conditionalFormatting sqref="B297:C297">
    <cfRule type="expression" dxfId="765" priority="817">
      <formula>$E297="08 AT COMAC/CAPFT"</formula>
    </cfRule>
  </conditionalFormatting>
  <conditionalFormatting sqref="B297:C297">
    <cfRule type="expression" dxfId="764" priority="818">
      <formula>$E297="11 AT DTA"</formula>
    </cfRule>
  </conditionalFormatting>
  <conditionalFormatting sqref="B297:C297">
    <cfRule type="expression" dxfId="763" priority="819">
      <formula>$E297="07 AT TRVX CLIENT"</formula>
    </cfRule>
  </conditionalFormatting>
  <conditionalFormatting sqref="B297:C297">
    <cfRule type="expression" dxfId="762" priority="820">
      <formula>$E297="12 AT MAJ SI"</formula>
    </cfRule>
  </conditionalFormatting>
  <conditionalFormatting sqref="B297:C297">
    <cfRule type="expression" dxfId="761" priority="821">
      <formula>$E297="03 DOSSIER A REPRENDRE"</formula>
    </cfRule>
  </conditionalFormatting>
  <conditionalFormatting sqref="B297:C297">
    <cfRule type="expression" dxfId="760" priority="822">
      <formula>$E297="10 AT PV"</formula>
    </cfRule>
  </conditionalFormatting>
  <conditionalFormatting sqref="B297:C297">
    <cfRule type="expression" dxfId="759" priority="823">
      <formula>$E297="04 DOSSIER A MONTER"</formula>
    </cfRule>
  </conditionalFormatting>
  <conditionalFormatting sqref="B297:C297">
    <cfRule type="expression" dxfId="758" priority="824">
      <formula>$E297="02 RETOUR VT"</formula>
    </cfRule>
  </conditionalFormatting>
  <conditionalFormatting sqref="B297:C297">
    <cfRule type="expression" dxfId="757" priority="825">
      <formula>$E297="05 AT INFO CAF REF"</formula>
    </cfRule>
  </conditionalFormatting>
  <conditionalFormatting sqref="B297:C297">
    <cfRule type="expression" dxfId="756" priority="826">
      <formula>$E297="09 AT DEVIS ORANGE/RIP"</formula>
    </cfRule>
  </conditionalFormatting>
  <conditionalFormatting sqref="B297:C297">
    <cfRule type="expression" dxfId="755" priority="827">
      <formula>$E297="14 POI EN TRAVAUX"</formula>
    </cfRule>
  </conditionalFormatting>
  <conditionalFormatting sqref="B297:C297">
    <cfRule type="expression" dxfId="754" priority="814">
      <formula>$E297="15 POI EN FACTU"</formula>
    </cfRule>
    <cfRule type="expression" dxfId="753" priority="815">
      <formula>$E297="01 VT A FAIRE"</formula>
    </cfRule>
  </conditionalFormatting>
  <conditionalFormatting sqref="B296:C296">
    <cfRule type="expression" dxfId="752" priority="810">
      <formula>$E296="12 AT MAJ SI"</formula>
    </cfRule>
  </conditionalFormatting>
  <conditionalFormatting sqref="B296:C296">
    <cfRule type="expression" dxfId="751" priority="800">
      <formula>$E296="08 AT COMAC/CAPFT"</formula>
    </cfRule>
  </conditionalFormatting>
  <conditionalFormatting sqref="B296:C296">
    <cfRule type="expression" dxfId="750" priority="801">
      <formula>$E296="06 AT DEVIS CLIENT"</formula>
    </cfRule>
  </conditionalFormatting>
  <conditionalFormatting sqref="B296:C296">
    <cfRule type="expression" dxfId="749" priority="802">
      <formula>$E296="01 VT A FAIRE"</formula>
    </cfRule>
  </conditionalFormatting>
  <conditionalFormatting sqref="B296:C296">
    <cfRule type="expression" dxfId="748" priority="803">
      <formula>$E296="05 AT INFO CAF REF"</formula>
    </cfRule>
  </conditionalFormatting>
  <conditionalFormatting sqref="B296:C296">
    <cfRule type="expression" dxfId="747" priority="804">
      <formula>$E296="11 AT DTA"</formula>
    </cfRule>
  </conditionalFormatting>
  <conditionalFormatting sqref="B296:C296">
    <cfRule type="expression" dxfId="746" priority="805">
      <formula>$E296="07 AT TRVX CLIENT"</formula>
    </cfRule>
  </conditionalFormatting>
  <conditionalFormatting sqref="B296:C296">
    <cfRule type="expression" dxfId="745" priority="806">
      <formula>$E296="10 AT PV"</formula>
    </cfRule>
  </conditionalFormatting>
  <conditionalFormatting sqref="B296:C296">
    <cfRule type="expression" dxfId="744" priority="807">
      <formula>$E296="04 DOSSIER A MONTER"</formula>
    </cfRule>
  </conditionalFormatting>
  <conditionalFormatting sqref="B296:C296">
    <cfRule type="expression" dxfId="743" priority="808">
      <formula>$E296="03 DOSSIER A REPRENDRE"</formula>
    </cfRule>
  </conditionalFormatting>
  <conditionalFormatting sqref="B296:C296">
    <cfRule type="expression" dxfId="742" priority="809">
      <formula>$E296="02 RETOUR VT"</formula>
    </cfRule>
  </conditionalFormatting>
  <conditionalFormatting sqref="B296:C296">
    <cfRule type="expression" dxfId="741" priority="811">
      <formula>$E296="13 ETAT 5"</formula>
    </cfRule>
  </conditionalFormatting>
  <conditionalFormatting sqref="B296:C296">
    <cfRule type="expression" dxfId="740" priority="812">
      <formula>$E296="09 AT DEVIS ORANGE/RIP"</formula>
    </cfRule>
  </conditionalFormatting>
  <conditionalFormatting sqref="B296:C296">
    <cfRule type="expression" dxfId="739" priority="813">
      <formula>$E296="15 POI EN FACTU"</formula>
    </cfRule>
  </conditionalFormatting>
  <conditionalFormatting sqref="B296:C296">
    <cfRule type="expression" dxfId="738" priority="799">
      <formula>$E296="14 POI EN TRAVAUX"</formula>
    </cfRule>
  </conditionalFormatting>
  <conditionalFormatting sqref="B298:C298">
    <cfRule type="expression" dxfId="737" priority="784">
      <formula>$E298="13 ETAT 5"</formula>
    </cfRule>
    <cfRule type="expression" dxfId="736" priority="785">
      <formula>$E298="08 AT COMAC/CAPFT"</formula>
    </cfRule>
    <cfRule type="expression" dxfId="735" priority="786">
      <formula>$E298="11 AT DTA"</formula>
    </cfRule>
    <cfRule type="expression" dxfId="734" priority="787">
      <formula>$E298="07 AT TRVX CLIENT"</formula>
    </cfRule>
    <cfRule type="expression" dxfId="733" priority="788">
      <formula>$E298="12 AT MAJ SI"</formula>
    </cfRule>
    <cfRule type="expression" dxfId="732" priority="789">
      <formula>$E298="03 DOSSIER A REPRENDRE"</formula>
    </cfRule>
    <cfRule type="expression" dxfId="731" priority="790">
      <formula>$E298="10 AT PV"</formula>
    </cfRule>
    <cfRule type="expression" dxfId="730" priority="791">
      <formula>$E298="04 DOSSIER A MONTER"</formula>
    </cfRule>
    <cfRule type="expression" dxfId="729" priority="792">
      <formula>$E298="15 POI EN FACTU"</formula>
    </cfRule>
    <cfRule type="expression" dxfId="728" priority="794">
      <formula>$E298="01 VT A FAIRE"</formula>
    </cfRule>
    <cfRule type="expression" dxfId="727" priority="795">
      <formula>$E298="05 AT INFO CAF REF"</formula>
    </cfRule>
    <cfRule type="expression" dxfId="726" priority="796">
      <formula>$E298="09 AT DEVIS ORANGE/RIP"</formula>
    </cfRule>
    <cfRule type="expression" dxfId="725" priority="797">
      <formula>$E298="14 POI EN TRAVAUX"</formula>
    </cfRule>
    <cfRule type="expression" dxfId="724" priority="798">
      <formula>$E298="06 AT DEVIS CLIENT"</formula>
    </cfRule>
  </conditionalFormatting>
  <conditionalFormatting sqref="B298:C298">
    <cfRule type="expression" dxfId="723" priority="793">
      <formula>$E298="02 RETOUR VT"</formula>
    </cfRule>
  </conditionalFormatting>
  <conditionalFormatting sqref="B299:C299">
    <cfRule type="expression" dxfId="722" priority="769">
      <formula>$E299="13 ETAT 5"</formula>
    </cfRule>
    <cfRule type="expression" dxfId="721" priority="770">
      <formula>$E299="08 AT COMAC/CAPFT"</formula>
    </cfRule>
    <cfRule type="expression" dxfId="720" priority="771">
      <formula>$E299="11 AT DTA"</formula>
    </cfRule>
    <cfRule type="expression" dxfId="719" priority="772">
      <formula>$E299="07 AT TRVX CLIENT"</formula>
    </cfRule>
    <cfRule type="expression" dxfId="718" priority="773">
      <formula>$E299="12 AT MAJ SI"</formula>
    </cfRule>
    <cfRule type="expression" dxfId="717" priority="774">
      <formula>$E299="03 DOSSIER A REPRENDRE"</formula>
    </cfRule>
    <cfRule type="expression" dxfId="716" priority="775">
      <formula>$E299="10 AT PV"</formula>
    </cfRule>
    <cfRule type="expression" dxfId="715" priority="776">
      <formula>$E299="04 DOSSIER A MONTER"</formula>
    </cfRule>
    <cfRule type="expression" dxfId="714" priority="777">
      <formula>$E299="15 POI EN FACTU"</formula>
    </cfRule>
    <cfRule type="expression" dxfId="713" priority="779">
      <formula>$E299="01 VT A FAIRE"</formula>
    </cfRule>
    <cfRule type="expression" dxfId="712" priority="780">
      <formula>$E299="05 AT INFO CAF REF"</formula>
    </cfRule>
    <cfRule type="expression" dxfId="711" priority="781">
      <formula>$E299="09 AT DEVIS ORANGE/RIP"</formula>
    </cfRule>
    <cfRule type="expression" dxfId="710" priority="782">
      <formula>$E299="14 POI EN TRAVAUX"</formula>
    </cfRule>
    <cfRule type="expression" dxfId="709" priority="783">
      <formula>$E299="06 AT DEVIS CLIENT"</formula>
    </cfRule>
  </conditionalFormatting>
  <conditionalFormatting sqref="B299:C299">
    <cfRule type="expression" dxfId="708" priority="778">
      <formula>$E299="02 RETOUR VT"</formula>
    </cfRule>
  </conditionalFormatting>
  <conditionalFormatting sqref="B300:C300">
    <cfRule type="expression" dxfId="707" priority="768">
      <formula>$E300="01 VT A FAIRE"</formula>
    </cfRule>
  </conditionalFormatting>
  <conditionalFormatting sqref="B300:C300">
    <cfRule type="expression" dxfId="706" priority="756">
      <formula>$E300="13 ETAT 5"</formula>
    </cfRule>
  </conditionalFormatting>
  <conditionalFormatting sqref="B300:C300">
    <cfRule type="expression" dxfId="705" priority="755">
      <formula>$E300="12 AT MAJ SI"</formula>
    </cfRule>
    <cfRule type="expression" dxfId="704" priority="757">
      <formula>$E300="08 AT COMAC/CAPFT"</formula>
    </cfRule>
  </conditionalFormatting>
  <conditionalFormatting sqref="B300:C300">
    <cfRule type="expression" dxfId="703" priority="758">
      <formula>$E300="11 AT DTA"</formula>
    </cfRule>
  </conditionalFormatting>
  <conditionalFormatting sqref="B300:C300">
    <cfRule type="expression" dxfId="702" priority="759">
      <formula>$E300="07 AT TRVX CLIENT"</formula>
    </cfRule>
  </conditionalFormatting>
  <conditionalFormatting sqref="B300:C300">
    <cfRule type="expression" dxfId="701" priority="760">
      <formula>$E300="15 POI EN FACTU"</formula>
    </cfRule>
  </conditionalFormatting>
  <conditionalFormatting sqref="B300:C300">
    <cfRule type="expression" dxfId="700" priority="761">
      <formula>$E300="14 POI EN TRAVAUX"</formula>
    </cfRule>
  </conditionalFormatting>
  <conditionalFormatting sqref="B300:C300">
    <cfRule type="expression" dxfId="699" priority="762">
      <formula>$E300="10 AT PV"</formula>
    </cfRule>
  </conditionalFormatting>
  <conditionalFormatting sqref="B300:C300">
    <cfRule type="expression" dxfId="698" priority="763">
      <formula>$E300="04 DOSSIER A MONTER"</formula>
    </cfRule>
  </conditionalFormatting>
  <conditionalFormatting sqref="B300:C300">
    <cfRule type="expression" dxfId="697" priority="764">
      <formula>$E300="03 DOSSIER A REPRENDRE"</formula>
    </cfRule>
  </conditionalFormatting>
  <conditionalFormatting sqref="B300:C300">
    <cfRule type="expression" dxfId="696" priority="765">
      <formula>$E300="09 AT DEVIS ORANGE/RIP"</formula>
    </cfRule>
  </conditionalFormatting>
  <conditionalFormatting sqref="B300:C300">
    <cfRule type="expression" dxfId="695" priority="766">
      <formula>$E300="05 AT INFO CAF REF"</formula>
    </cfRule>
  </conditionalFormatting>
  <conditionalFormatting sqref="B300:C300">
    <cfRule type="expression" dxfId="694" priority="767">
      <formula>$E300="02 RETOUR VT"</formula>
    </cfRule>
  </conditionalFormatting>
  <conditionalFormatting sqref="B303:C303">
    <cfRule type="expression" dxfId="693" priority="751">
      <formula>$E303="12 AT MAJ SI"</formula>
    </cfRule>
  </conditionalFormatting>
  <conditionalFormatting sqref="B303:C303">
    <cfRule type="expression" dxfId="692" priority="741">
      <formula>$E303="08 AT COMAC/CAPFT"</formula>
    </cfRule>
  </conditionalFormatting>
  <conditionalFormatting sqref="B303:C303">
    <cfRule type="expression" dxfId="691" priority="742">
      <formula>$E303="06 AT DEVIS CLIENT"</formula>
    </cfRule>
  </conditionalFormatting>
  <conditionalFormatting sqref="B303:C303">
    <cfRule type="expression" dxfId="690" priority="743">
      <formula>$E303="01 VT A FAIRE"</formula>
    </cfRule>
  </conditionalFormatting>
  <conditionalFormatting sqref="B303:C303">
    <cfRule type="expression" dxfId="689" priority="744">
      <formula>$E303="05 AT INFO CAF REF"</formula>
    </cfRule>
  </conditionalFormatting>
  <conditionalFormatting sqref="B303:C303">
    <cfRule type="expression" dxfId="688" priority="745">
      <formula>$E303="11 AT DTA"</formula>
    </cfRule>
  </conditionalFormatting>
  <conditionalFormatting sqref="B303:C303">
    <cfRule type="expression" dxfId="687" priority="746">
      <formula>$E303="07 AT TRVX CLIENT"</formula>
    </cfRule>
  </conditionalFormatting>
  <conditionalFormatting sqref="B303:C303">
    <cfRule type="expression" dxfId="686" priority="747">
      <formula>$E303="10 AT PV"</formula>
    </cfRule>
  </conditionalFormatting>
  <conditionalFormatting sqref="B303:C303">
    <cfRule type="expression" dxfId="685" priority="748">
      <formula>$E303="04 DOSSIER A MONTER"</formula>
    </cfRule>
  </conditionalFormatting>
  <conditionalFormatting sqref="B303:C303">
    <cfRule type="expression" dxfId="684" priority="749">
      <formula>$E303="03 DOSSIER A REPRENDRE"</formula>
    </cfRule>
  </conditionalFormatting>
  <conditionalFormatting sqref="B303:C303">
    <cfRule type="expression" dxfId="683" priority="750">
      <formula>$E303="02 RETOUR VT"</formula>
    </cfRule>
  </conditionalFormatting>
  <conditionalFormatting sqref="B303:C303">
    <cfRule type="expression" dxfId="682" priority="752">
      <formula>$E303="13 ETAT 5"</formula>
    </cfRule>
  </conditionalFormatting>
  <conditionalFormatting sqref="B303:C303">
    <cfRule type="expression" dxfId="681" priority="753">
      <formula>$E303="09 AT DEVIS ORANGE/RIP"</formula>
    </cfRule>
  </conditionalFormatting>
  <conditionalFormatting sqref="B303:C303">
    <cfRule type="expression" dxfId="680" priority="754">
      <formula>$E303="15 POI EN FACTU"</formula>
    </cfRule>
  </conditionalFormatting>
  <conditionalFormatting sqref="B303:C303">
    <cfRule type="expression" dxfId="679" priority="740">
      <formula>$E303="14 POI EN TRAVAUX"</formula>
    </cfRule>
  </conditionalFormatting>
  <conditionalFormatting sqref="B304:C304">
    <cfRule type="expression" dxfId="678" priority="739">
      <formula>$E304="01 VT A FAIRE"</formula>
    </cfRule>
  </conditionalFormatting>
  <conditionalFormatting sqref="B304:C304">
    <cfRule type="expression" dxfId="677" priority="727">
      <formula>$E304="13 ETAT 5"</formula>
    </cfRule>
  </conditionalFormatting>
  <conditionalFormatting sqref="B304:C304">
    <cfRule type="expression" dxfId="676" priority="726">
      <formula>$E304="12 AT MAJ SI"</formula>
    </cfRule>
    <cfRule type="expression" dxfId="675" priority="728">
      <formula>$E304="08 AT COMAC/CAPFT"</formula>
    </cfRule>
  </conditionalFormatting>
  <conditionalFormatting sqref="B304:C304">
    <cfRule type="expression" dxfId="674" priority="729">
      <formula>$E304="11 AT DTA"</formula>
    </cfRule>
  </conditionalFormatting>
  <conditionalFormatting sqref="B304:C304">
    <cfRule type="expression" dxfId="673" priority="730">
      <formula>$E304="07 AT TRVX CLIENT"</formula>
    </cfRule>
  </conditionalFormatting>
  <conditionalFormatting sqref="B304:C304">
    <cfRule type="expression" dxfId="672" priority="731">
      <formula>$E304="15 POI EN FACTU"</formula>
    </cfRule>
  </conditionalFormatting>
  <conditionalFormatting sqref="B304:C304">
    <cfRule type="expression" dxfId="671" priority="732">
      <formula>$E304="14 POI EN TRAVAUX"</formula>
    </cfRule>
  </conditionalFormatting>
  <conditionalFormatting sqref="B304:C304">
    <cfRule type="expression" dxfId="670" priority="733">
      <formula>$E304="10 AT PV"</formula>
    </cfRule>
  </conditionalFormatting>
  <conditionalFormatting sqref="B304:C304">
    <cfRule type="expression" dxfId="669" priority="734">
      <formula>$E304="04 DOSSIER A MONTER"</formula>
    </cfRule>
  </conditionalFormatting>
  <conditionalFormatting sqref="B304:C304">
    <cfRule type="expression" dxfId="668" priority="735">
      <formula>$E304="03 DOSSIER A REPRENDRE"</formula>
    </cfRule>
  </conditionalFormatting>
  <conditionalFormatting sqref="B304:C304">
    <cfRule type="expression" dxfId="667" priority="736">
      <formula>$E304="09 AT DEVIS ORANGE/RIP"</formula>
    </cfRule>
  </conditionalFormatting>
  <conditionalFormatting sqref="B304:C304">
    <cfRule type="expression" dxfId="666" priority="737">
      <formula>$E304="05 AT INFO CAF REF"</formula>
    </cfRule>
  </conditionalFormatting>
  <conditionalFormatting sqref="B304:C304">
    <cfRule type="expression" dxfId="665" priority="738">
      <formula>$E304="02 RETOUR VT"</formula>
    </cfRule>
  </conditionalFormatting>
  <conditionalFormatting sqref="B305:C305">
    <cfRule type="expression" dxfId="664" priority="725">
      <formula>$E305="06 AT DEVIS CLIENT"</formula>
    </cfRule>
  </conditionalFormatting>
  <conditionalFormatting sqref="B305:C305">
    <cfRule type="expression" dxfId="663" priority="713">
      <formula>$E305="13 ETAT 5"</formula>
    </cfRule>
  </conditionalFormatting>
  <conditionalFormatting sqref="B305:C305">
    <cfRule type="expression" dxfId="662" priority="714">
      <formula>$E305="08 AT COMAC/CAPFT"</formula>
    </cfRule>
  </conditionalFormatting>
  <conditionalFormatting sqref="B305:C305">
    <cfRule type="expression" dxfId="661" priority="715">
      <formula>$E305="11 AT DTA"</formula>
    </cfRule>
  </conditionalFormatting>
  <conditionalFormatting sqref="B305:C305">
    <cfRule type="expression" dxfId="660" priority="716">
      <formula>$E305="07 AT TRVX CLIENT"</formula>
    </cfRule>
  </conditionalFormatting>
  <conditionalFormatting sqref="B305:C305">
    <cfRule type="expression" dxfId="659" priority="717">
      <formula>$E305="12 AT MAJ SI"</formula>
    </cfRule>
  </conditionalFormatting>
  <conditionalFormatting sqref="B305:C305">
    <cfRule type="expression" dxfId="658" priority="718">
      <formula>$E305="03 DOSSIER A REPRENDRE"</formula>
    </cfRule>
  </conditionalFormatting>
  <conditionalFormatting sqref="B305:C305">
    <cfRule type="expression" dxfId="657" priority="719">
      <formula>$E305="10 AT PV"</formula>
    </cfRule>
  </conditionalFormatting>
  <conditionalFormatting sqref="B305:C305">
    <cfRule type="expression" dxfId="656" priority="720">
      <formula>$E305="04 DOSSIER A MONTER"</formula>
    </cfRule>
  </conditionalFormatting>
  <conditionalFormatting sqref="B305:C305">
    <cfRule type="expression" dxfId="655" priority="721">
      <formula>$E305="02 RETOUR VT"</formula>
    </cfRule>
  </conditionalFormatting>
  <conditionalFormatting sqref="B305:C305">
    <cfRule type="expression" dxfId="654" priority="722">
      <formula>$E305="05 AT INFO CAF REF"</formula>
    </cfRule>
  </conditionalFormatting>
  <conditionalFormatting sqref="B305:C305">
    <cfRule type="expression" dxfId="653" priority="723">
      <formula>$E305="09 AT DEVIS ORANGE/RIP"</formula>
    </cfRule>
  </conditionalFormatting>
  <conditionalFormatting sqref="B305:C305">
    <cfRule type="expression" dxfId="652" priority="724">
      <formula>$E305="14 POI EN TRAVAUX"</formula>
    </cfRule>
  </conditionalFormatting>
  <conditionalFormatting sqref="B305:C305">
    <cfRule type="expression" dxfId="651" priority="711">
      <formula>$E305="15 POI EN FACTU"</formula>
    </cfRule>
    <cfRule type="expression" dxfId="650" priority="712">
      <formula>$E305="01 VT A FAIRE"</formula>
    </cfRule>
  </conditionalFormatting>
  <conditionalFormatting sqref="B306:C306">
    <cfRule type="expression" dxfId="649" priority="710">
      <formula>$E306="01 VT A FAIRE"</formula>
    </cfRule>
  </conditionalFormatting>
  <conditionalFormatting sqref="B306:C306">
    <cfRule type="expression" dxfId="648" priority="698">
      <formula>$E306="13 ETAT 5"</formula>
    </cfRule>
  </conditionalFormatting>
  <conditionalFormatting sqref="B306:C306">
    <cfRule type="expression" dxfId="647" priority="697">
      <formula>$E306="12 AT MAJ SI"</formula>
    </cfRule>
    <cfRule type="expression" dxfId="646" priority="699">
      <formula>$E306="08 AT COMAC/CAPFT"</formula>
    </cfRule>
  </conditionalFormatting>
  <conditionalFormatting sqref="B306:C306">
    <cfRule type="expression" dxfId="645" priority="700">
      <formula>$E306="11 AT DTA"</formula>
    </cfRule>
  </conditionalFormatting>
  <conditionalFormatting sqref="B306:C306">
    <cfRule type="expression" dxfId="644" priority="701">
      <formula>$E306="07 AT TRVX CLIENT"</formula>
    </cfRule>
  </conditionalFormatting>
  <conditionalFormatting sqref="B306:C306">
    <cfRule type="expression" dxfId="643" priority="702">
      <formula>$E306="15 POI EN FACTU"</formula>
    </cfRule>
  </conditionalFormatting>
  <conditionalFormatting sqref="B306:C306">
    <cfRule type="expression" dxfId="642" priority="703">
      <formula>$E306="14 POI EN TRAVAUX"</formula>
    </cfRule>
  </conditionalFormatting>
  <conditionalFormatting sqref="B306:C306">
    <cfRule type="expression" dxfId="641" priority="704">
      <formula>$E306="10 AT PV"</formula>
    </cfRule>
  </conditionalFormatting>
  <conditionalFormatting sqref="B306:C306">
    <cfRule type="expression" dxfId="640" priority="705">
      <formula>$E306="04 DOSSIER A MONTER"</formula>
    </cfRule>
  </conditionalFormatting>
  <conditionalFormatting sqref="B306:C306">
    <cfRule type="expression" dxfId="639" priority="706">
      <formula>$E306="03 DOSSIER A REPRENDRE"</formula>
    </cfRule>
  </conditionalFormatting>
  <conditionalFormatting sqref="B306:C306">
    <cfRule type="expression" dxfId="638" priority="707">
      <formula>$E306="09 AT DEVIS ORANGE/RIP"</formula>
    </cfRule>
  </conditionalFormatting>
  <conditionalFormatting sqref="B306:C306">
    <cfRule type="expression" dxfId="637" priority="708">
      <formula>$E306="05 AT INFO CAF REF"</formula>
    </cfRule>
  </conditionalFormatting>
  <conditionalFormatting sqref="B306:C306">
    <cfRule type="expression" dxfId="636" priority="709">
      <formula>$E306="02 RETOUR VT"</formula>
    </cfRule>
  </conditionalFormatting>
  <conditionalFormatting sqref="B307:C307">
    <cfRule type="expression" dxfId="635" priority="696">
      <formula>$E307="01 VT A FAIRE"</formula>
    </cfRule>
  </conditionalFormatting>
  <conditionalFormatting sqref="B307:C307">
    <cfRule type="expression" dxfId="634" priority="684">
      <formula>$E307="13 ETAT 5"</formula>
    </cfRule>
  </conditionalFormatting>
  <conditionalFormatting sqref="B307:C307">
    <cfRule type="expression" dxfId="633" priority="683">
      <formula>$E307="12 AT MAJ SI"</formula>
    </cfRule>
    <cfRule type="expression" dxfId="632" priority="685">
      <formula>$E307="08 AT COMAC/CAPFT"</formula>
    </cfRule>
  </conditionalFormatting>
  <conditionalFormatting sqref="B307:C307">
    <cfRule type="expression" dxfId="631" priority="686">
      <formula>$E307="11 AT DTA"</formula>
    </cfRule>
  </conditionalFormatting>
  <conditionalFormatting sqref="B307:C307">
    <cfRule type="expression" dxfId="630" priority="687">
      <formula>$E307="07 AT TRVX CLIENT"</formula>
    </cfRule>
  </conditionalFormatting>
  <conditionalFormatting sqref="B307:C307">
    <cfRule type="expression" dxfId="629" priority="688">
      <formula>$E307="15 POI EN FACTU"</formula>
    </cfRule>
  </conditionalFormatting>
  <conditionalFormatting sqref="B307:C307">
    <cfRule type="expression" dxfId="628" priority="689">
      <formula>$E307="14 POI EN TRAVAUX"</formula>
    </cfRule>
  </conditionalFormatting>
  <conditionalFormatting sqref="B307:C307">
    <cfRule type="expression" dxfId="627" priority="690">
      <formula>$E307="10 AT PV"</formula>
    </cfRule>
  </conditionalFormatting>
  <conditionalFormatting sqref="B307:C307">
    <cfRule type="expression" dxfId="626" priority="691">
      <formula>$E307="04 DOSSIER A MONTER"</formula>
    </cfRule>
  </conditionalFormatting>
  <conditionalFormatting sqref="B307:C307">
    <cfRule type="expression" dxfId="625" priority="692">
      <formula>$E307="03 DOSSIER A REPRENDRE"</formula>
    </cfRule>
  </conditionalFormatting>
  <conditionalFormatting sqref="B307:C307">
    <cfRule type="expression" dxfId="624" priority="693">
      <formula>$E307="09 AT DEVIS ORANGE/RIP"</formula>
    </cfRule>
  </conditionalFormatting>
  <conditionalFormatting sqref="B307:C307">
    <cfRule type="expression" dxfId="623" priority="694">
      <formula>$E307="05 AT INFO CAF REF"</formula>
    </cfRule>
  </conditionalFormatting>
  <conditionalFormatting sqref="B307:C307">
    <cfRule type="expression" dxfId="622" priority="695">
      <formula>$E307="02 RETOUR VT"</formula>
    </cfRule>
  </conditionalFormatting>
  <conditionalFormatting sqref="B308:C308">
    <cfRule type="expression" dxfId="621" priority="668">
      <formula>$E308="13 ETAT 5"</formula>
    </cfRule>
    <cfRule type="expression" dxfId="620" priority="669">
      <formula>$E308="08 AT COMAC/CAPFT"</formula>
    </cfRule>
    <cfRule type="expression" dxfId="619" priority="670">
      <formula>$E308="11 AT DTA"</formula>
    </cfRule>
    <cfRule type="expression" dxfId="618" priority="671">
      <formula>$E308="07 AT TRVX CLIENT"</formula>
    </cfRule>
    <cfRule type="expression" dxfId="617" priority="672">
      <formula>$E308="12 AT MAJ SI"</formula>
    </cfRule>
    <cfRule type="expression" dxfId="616" priority="673">
      <formula>$E308="03 DOSSIER A REPRENDRE"</formula>
    </cfRule>
    <cfRule type="expression" dxfId="615" priority="674">
      <formula>$E308="10 AT PV"</formula>
    </cfRule>
    <cfRule type="expression" dxfId="614" priority="675">
      <formula>$E308="04 DOSSIER A MONTER"</formula>
    </cfRule>
    <cfRule type="expression" dxfId="613" priority="676">
      <formula>$E308="15 POI EN FACTU"</formula>
    </cfRule>
    <cfRule type="expression" dxfId="612" priority="678">
      <formula>$E308="01 VT A FAIRE"</formula>
    </cfRule>
    <cfRule type="expression" dxfId="611" priority="679">
      <formula>$E308="05 AT INFO CAF REF"</formula>
    </cfRule>
    <cfRule type="expression" dxfId="610" priority="680">
      <formula>$E308="09 AT DEVIS ORANGE/RIP"</formula>
    </cfRule>
    <cfRule type="expression" dxfId="609" priority="681">
      <formula>$E308="14 POI EN TRAVAUX"</formula>
    </cfRule>
    <cfRule type="expression" dxfId="608" priority="682">
      <formula>$E308="06 AT DEVIS CLIENT"</formula>
    </cfRule>
  </conditionalFormatting>
  <conditionalFormatting sqref="B308:C308">
    <cfRule type="expression" dxfId="607" priority="677">
      <formula>$E308="02 RETOUR VT"</formula>
    </cfRule>
  </conditionalFormatting>
  <conditionalFormatting sqref="B309:C309">
    <cfRule type="expression" dxfId="606" priority="667">
      <formula>$E309="01 VT A FAIRE"</formula>
    </cfRule>
  </conditionalFormatting>
  <conditionalFormatting sqref="B309:C309">
    <cfRule type="expression" dxfId="605" priority="655">
      <formula>$E309="13 ETAT 5"</formula>
    </cfRule>
  </conditionalFormatting>
  <conditionalFormatting sqref="B309:C309">
    <cfRule type="expression" dxfId="604" priority="654">
      <formula>$E309="12 AT MAJ SI"</formula>
    </cfRule>
    <cfRule type="expression" dxfId="603" priority="656">
      <formula>$E309="08 AT COMAC/CAPFT"</formula>
    </cfRule>
  </conditionalFormatting>
  <conditionalFormatting sqref="B309:C309">
    <cfRule type="expression" dxfId="602" priority="657">
      <formula>$E309="11 AT DTA"</formula>
    </cfRule>
  </conditionalFormatting>
  <conditionalFormatting sqref="B309:C309">
    <cfRule type="expression" dxfId="601" priority="658">
      <formula>$E309="07 AT TRVX CLIENT"</formula>
    </cfRule>
  </conditionalFormatting>
  <conditionalFormatting sqref="B309:C309">
    <cfRule type="expression" dxfId="600" priority="659">
      <formula>$E309="15 POI EN FACTU"</formula>
    </cfRule>
  </conditionalFormatting>
  <conditionalFormatting sqref="B309:C309">
    <cfRule type="expression" dxfId="599" priority="660">
      <formula>$E309="14 POI EN TRAVAUX"</formula>
    </cfRule>
  </conditionalFormatting>
  <conditionalFormatting sqref="B309:C309">
    <cfRule type="expression" dxfId="598" priority="661">
      <formula>$E309="10 AT PV"</formula>
    </cfRule>
  </conditionalFormatting>
  <conditionalFormatting sqref="B309:C309">
    <cfRule type="expression" dxfId="597" priority="662">
      <formula>$E309="04 DOSSIER A MONTER"</formula>
    </cfRule>
  </conditionalFormatting>
  <conditionalFormatting sqref="B309:C309">
    <cfRule type="expression" dxfId="596" priority="663">
      <formula>$E309="03 DOSSIER A REPRENDRE"</formula>
    </cfRule>
  </conditionalFormatting>
  <conditionalFormatting sqref="B309:C309">
    <cfRule type="expression" dxfId="595" priority="664">
      <formula>$E309="09 AT DEVIS ORANGE/RIP"</formula>
    </cfRule>
  </conditionalFormatting>
  <conditionalFormatting sqref="B309:C309">
    <cfRule type="expression" dxfId="594" priority="665">
      <formula>$E309="05 AT INFO CAF REF"</formula>
    </cfRule>
  </conditionalFormatting>
  <conditionalFormatting sqref="B309:C309">
    <cfRule type="expression" dxfId="593" priority="666">
      <formula>$E309="02 RETOUR VT"</formula>
    </cfRule>
  </conditionalFormatting>
  <conditionalFormatting sqref="B310:C310">
    <cfRule type="expression" dxfId="592" priority="653">
      <formula>$E310="01 VT A FAIRE"</formula>
    </cfRule>
  </conditionalFormatting>
  <conditionalFormatting sqref="B310:C310">
    <cfRule type="expression" dxfId="591" priority="641">
      <formula>$E310="13 ETAT 5"</formula>
    </cfRule>
  </conditionalFormatting>
  <conditionalFormatting sqref="B310:C310">
    <cfRule type="expression" dxfId="590" priority="640">
      <formula>$E310="12 AT MAJ SI"</formula>
    </cfRule>
    <cfRule type="expression" dxfId="589" priority="642">
      <formula>$E310="08 AT COMAC/CAPFT"</formula>
    </cfRule>
  </conditionalFormatting>
  <conditionalFormatting sqref="B310:C310">
    <cfRule type="expression" dxfId="588" priority="643">
      <formula>$E310="11 AT DTA"</formula>
    </cfRule>
  </conditionalFormatting>
  <conditionalFormatting sqref="B310:C310">
    <cfRule type="expression" dxfId="587" priority="644">
      <formula>$E310="07 AT TRVX CLIENT"</formula>
    </cfRule>
  </conditionalFormatting>
  <conditionalFormatting sqref="B310:C310">
    <cfRule type="expression" dxfId="586" priority="645">
      <formula>$E310="15 POI EN FACTU"</formula>
    </cfRule>
  </conditionalFormatting>
  <conditionalFormatting sqref="B310:C310">
    <cfRule type="expression" dxfId="585" priority="646">
      <formula>$E310="14 POI EN TRAVAUX"</formula>
    </cfRule>
  </conditionalFormatting>
  <conditionalFormatting sqref="B310:C310">
    <cfRule type="expression" dxfId="584" priority="647">
      <formula>$E310="10 AT PV"</formula>
    </cfRule>
  </conditionalFormatting>
  <conditionalFormatting sqref="B310:C310">
    <cfRule type="expression" dxfId="583" priority="648">
      <formula>$E310="04 DOSSIER A MONTER"</formula>
    </cfRule>
  </conditionalFormatting>
  <conditionalFormatting sqref="B310:C310">
    <cfRule type="expression" dxfId="582" priority="649">
      <formula>$E310="03 DOSSIER A REPRENDRE"</formula>
    </cfRule>
  </conditionalFormatting>
  <conditionalFormatting sqref="B310:C310">
    <cfRule type="expression" dxfId="581" priority="650">
      <formula>$E310="09 AT DEVIS ORANGE/RIP"</formula>
    </cfRule>
  </conditionalFormatting>
  <conditionalFormatting sqref="B310:C310">
    <cfRule type="expression" dxfId="580" priority="651">
      <formula>$E310="05 AT INFO CAF REF"</formula>
    </cfRule>
  </conditionalFormatting>
  <conditionalFormatting sqref="B310:C310">
    <cfRule type="expression" dxfId="579" priority="652">
      <formula>$E310="02 RETOUR VT"</formula>
    </cfRule>
  </conditionalFormatting>
  <conditionalFormatting sqref="B311:C311">
    <cfRule type="expression" dxfId="578" priority="639">
      <formula>$E311="01 VT A FAIRE"</formula>
    </cfRule>
  </conditionalFormatting>
  <conditionalFormatting sqref="B311:C311">
    <cfRule type="expression" dxfId="577" priority="627">
      <formula>$E311="13 ETAT 5"</formula>
    </cfRule>
  </conditionalFormatting>
  <conditionalFormatting sqref="B311:C311">
    <cfRule type="expression" dxfId="576" priority="626">
      <formula>$E311="12 AT MAJ SI"</formula>
    </cfRule>
    <cfRule type="expression" dxfId="575" priority="628">
      <formula>$E311="08 AT COMAC/CAPFT"</formula>
    </cfRule>
  </conditionalFormatting>
  <conditionalFormatting sqref="B311:C311">
    <cfRule type="expression" dxfId="574" priority="629">
      <formula>$E311="11 AT DTA"</formula>
    </cfRule>
  </conditionalFormatting>
  <conditionalFormatting sqref="B311:C311">
    <cfRule type="expression" dxfId="573" priority="630">
      <formula>$E311="07 AT TRVX CLIENT"</formula>
    </cfRule>
  </conditionalFormatting>
  <conditionalFormatting sqref="B311:C311">
    <cfRule type="expression" dxfId="572" priority="631">
      <formula>$E311="15 POI EN FACTU"</formula>
    </cfRule>
  </conditionalFormatting>
  <conditionalFormatting sqref="B311:C311">
    <cfRule type="expression" dxfId="571" priority="632">
      <formula>$E311="14 POI EN TRAVAUX"</formula>
    </cfRule>
  </conditionalFormatting>
  <conditionalFormatting sqref="B311:C311">
    <cfRule type="expression" dxfId="570" priority="633">
      <formula>$E311="10 AT PV"</formula>
    </cfRule>
  </conditionalFormatting>
  <conditionalFormatting sqref="B311:C311">
    <cfRule type="expression" dxfId="569" priority="634">
      <formula>$E311="04 DOSSIER A MONTER"</formula>
    </cfRule>
  </conditionalFormatting>
  <conditionalFormatting sqref="B311:C311">
    <cfRule type="expression" dxfId="568" priority="635">
      <formula>$E311="03 DOSSIER A REPRENDRE"</formula>
    </cfRule>
  </conditionalFormatting>
  <conditionalFormatting sqref="B311:C311">
    <cfRule type="expression" dxfId="567" priority="636">
      <formula>$E311="09 AT DEVIS ORANGE/RIP"</formula>
    </cfRule>
  </conditionalFormatting>
  <conditionalFormatting sqref="B311:C311">
    <cfRule type="expression" dxfId="566" priority="637">
      <formula>$E311="05 AT INFO CAF REF"</formula>
    </cfRule>
  </conditionalFormatting>
  <conditionalFormatting sqref="B311:C311">
    <cfRule type="expression" dxfId="565" priority="638">
      <formula>$E311="02 RETOUR VT"</formula>
    </cfRule>
  </conditionalFormatting>
  <conditionalFormatting sqref="B313:C313">
    <cfRule type="expression" dxfId="564" priority="625">
      <formula>$E313="01 VT A FAIRE"</formula>
    </cfRule>
  </conditionalFormatting>
  <conditionalFormatting sqref="B313:C313">
    <cfRule type="expression" dxfId="563" priority="613">
      <formula>$E313="13 ETAT 5"</formula>
    </cfRule>
  </conditionalFormatting>
  <conditionalFormatting sqref="B313:C313">
    <cfRule type="expression" dxfId="562" priority="612">
      <formula>$E313="12 AT MAJ SI"</formula>
    </cfRule>
    <cfRule type="expression" dxfId="561" priority="614">
      <formula>$E313="08 AT COMAC/CAPFT"</formula>
    </cfRule>
  </conditionalFormatting>
  <conditionalFormatting sqref="B313:C313">
    <cfRule type="expression" dxfId="560" priority="615">
      <formula>$E313="11 AT DTA"</formula>
    </cfRule>
  </conditionalFormatting>
  <conditionalFormatting sqref="B313:C313">
    <cfRule type="expression" dxfId="559" priority="616">
      <formula>$E313="07 AT TRVX CLIENT"</formula>
    </cfRule>
  </conditionalFormatting>
  <conditionalFormatting sqref="B313:C313">
    <cfRule type="expression" dxfId="558" priority="617">
      <formula>$E313="15 POI EN FACTU"</formula>
    </cfRule>
  </conditionalFormatting>
  <conditionalFormatting sqref="B313:C313">
    <cfRule type="expression" dxfId="557" priority="618">
      <formula>$E313="14 POI EN TRAVAUX"</formula>
    </cfRule>
  </conditionalFormatting>
  <conditionalFormatting sqref="B313:C313">
    <cfRule type="expression" dxfId="556" priority="619">
      <formula>$E313="10 AT PV"</formula>
    </cfRule>
  </conditionalFormatting>
  <conditionalFormatting sqref="B313:C313">
    <cfRule type="expression" dxfId="555" priority="620">
      <formula>$E313="04 DOSSIER A MONTER"</formula>
    </cfRule>
  </conditionalFormatting>
  <conditionalFormatting sqref="B313:C313">
    <cfRule type="expression" dxfId="554" priority="621">
      <formula>$E313="03 DOSSIER A REPRENDRE"</formula>
    </cfRule>
  </conditionalFormatting>
  <conditionalFormatting sqref="B313:C313">
    <cfRule type="expression" dxfId="553" priority="622">
      <formula>$E313="09 AT DEVIS ORANGE/RIP"</formula>
    </cfRule>
  </conditionalFormatting>
  <conditionalFormatting sqref="B313:C313">
    <cfRule type="expression" dxfId="552" priority="623">
      <formula>$E313="05 AT INFO CAF REF"</formula>
    </cfRule>
  </conditionalFormatting>
  <conditionalFormatting sqref="B313:C313">
    <cfRule type="expression" dxfId="551" priority="624">
      <formula>$E313="02 RETOUR VT"</formula>
    </cfRule>
  </conditionalFormatting>
  <conditionalFormatting sqref="B312:C312">
    <cfRule type="expression" dxfId="550" priority="611">
      <formula>$E312="06 AT DEVIS CLIENT"</formula>
    </cfRule>
  </conditionalFormatting>
  <conditionalFormatting sqref="B312:C312">
    <cfRule type="expression" dxfId="549" priority="599">
      <formula>$E312="13 ETAT 5"</formula>
    </cfRule>
  </conditionalFormatting>
  <conditionalFormatting sqref="B312:C312">
    <cfRule type="expression" dxfId="548" priority="600">
      <formula>$E312="08 AT COMAC/CAPFT"</formula>
    </cfRule>
  </conditionalFormatting>
  <conditionalFormatting sqref="B312:C312">
    <cfRule type="expression" dxfId="547" priority="601">
      <formula>$E312="11 AT DTA"</formula>
    </cfRule>
  </conditionalFormatting>
  <conditionalFormatting sqref="B312:C312">
    <cfRule type="expression" dxfId="546" priority="602">
      <formula>$E312="07 AT TRVX CLIENT"</formula>
    </cfRule>
  </conditionalFormatting>
  <conditionalFormatting sqref="B312:C312">
    <cfRule type="expression" dxfId="545" priority="603">
      <formula>$E312="12 AT MAJ SI"</formula>
    </cfRule>
  </conditionalFormatting>
  <conditionalFormatting sqref="B312:C312">
    <cfRule type="expression" dxfId="544" priority="604">
      <formula>$E312="03 DOSSIER A REPRENDRE"</formula>
    </cfRule>
  </conditionalFormatting>
  <conditionalFormatting sqref="B312:C312">
    <cfRule type="expression" dxfId="543" priority="605">
      <formula>$E312="10 AT PV"</formula>
    </cfRule>
  </conditionalFormatting>
  <conditionalFormatting sqref="B312:C312">
    <cfRule type="expression" dxfId="542" priority="606">
      <formula>$E312="04 DOSSIER A MONTER"</formula>
    </cfRule>
  </conditionalFormatting>
  <conditionalFormatting sqref="B312:C312">
    <cfRule type="expression" dxfId="541" priority="607">
      <formula>$E312="02 RETOUR VT"</formula>
    </cfRule>
  </conditionalFormatting>
  <conditionalFormatting sqref="B312:C312">
    <cfRule type="expression" dxfId="540" priority="608">
      <formula>$E312="05 AT INFO CAF REF"</formula>
    </cfRule>
  </conditionalFormatting>
  <conditionalFormatting sqref="B312:C312">
    <cfRule type="expression" dxfId="539" priority="609">
      <formula>$E312="09 AT DEVIS ORANGE/RIP"</formula>
    </cfRule>
  </conditionalFormatting>
  <conditionalFormatting sqref="B312:C312">
    <cfRule type="expression" dxfId="538" priority="610">
      <formula>$E312="14 POI EN TRAVAUX"</formula>
    </cfRule>
  </conditionalFormatting>
  <conditionalFormatting sqref="B312:C312">
    <cfRule type="expression" dxfId="537" priority="597">
      <formula>$E312="15 POI EN FACTU"</formula>
    </cfRule>
    <cfRule type="expression" dxfId="536" priority="598">
      <formula>$E312="01 VT A FAIRE"</formula>
    </cfRule>
  </conditionalFormatting>
  <conditionalFormatting sqref="B314:C314">
    <cfRule type="expression" dxfId="535" priority="588">
      <formula>$B314="01 VT A FAIRE"</formula>
    </cfRule>
  </conditionalFormatting>
  <conditionalFormatting sqref="B314:C314">
    <cfRule type="expression" dxfId="534" priority="595">
      <formula>$B314="8 POI EN TRAVAUX"</formula>
    </cfRule>
  </conditionalFormatting>
  <conditionalFormatting sqref="B314:C314">
    <cfRule type="expression" dxfId="533" priority="594">
      <formula>$B314="7 AT PV"</formula>
    </cfRule>
  </conditionalFormatting>
  <conditionalFormatting sqref="B314:C314">
    <cfRule type="expression" dxfId="532" priority="592">
      <formula>$B314="05 AT INFO CAF REF"</formula>
    </cfRule>
  </conditionalFormatting>
  <conditionalFormatting sqref="B314:C314">
    <cfRule type="expression" dxfId="531" priority="596">
      <formula>$B314="9 POI EN FACTU"</formula>
    </cfRule>
  </conditionalFormatting>
  <conditionalFormatting sqref="B314:C314">
    <cfRule type="expression" dxfId="530" priority="591">
      <formula>$B314="04 DOSSIER A MONTER"</formula>
    </cfRule>
  </conditionalFormatting>
  <conditionalFormatting sqref="B314:C314">
    <cfRule type="expression" dxfId="529" priority="593">
      <formula>$B314="06 AT DEVIS ORANGE/RIP"</formula>
    </cfRule>
  </conditionalFormatting>
  <conditionalFormatting sqref="B314:C314">
    <cfRule type="expression" dxfId="528" priority="590">
      <formula>$B314="03 DOSSIER A REPRENDRE"</formula>
    </cfRule>
  </conditionalFormatting>
  <conditionalFormatting sqref="B314:C314">
    <cfRule type="expression" dxfId="527" priority="589">
      <formula>$B314="02 RETOUR VT"</formula>
    </cfRule>
  </conditionalFormatting>
  <conditionalFormatting sqref="B317:C317">
    <cfRule type="expression" dxfId="526" priority="587">
      <formula>$E317="01 VT A FAIRE"</formula>
    </cfRule>
  </conditionalFormatting>
  <conditionalFormatting sqref="B317:C317">
    <cfRule type="expression" dxfId="525" priority="575">
      <formula>$E317="13 ETAT 5"</formula>
    </cfRule>
  </conditionalFormatting>
  <conditionalFormatting sqref="B317:C317">
    <cfRule type="expression" dxfId="524" priority="574">
      <formula>$E317="12 AT MAJ SI"</formula>
    </cfRule>
    <cfRule type="expression" dxfId="523" priority="576">
      <formula>$E317="08 AT COMAC/CAPFT"</formula>
    </cfRule>
  </conditionalFormatting>
  <conditionalFormatting sqref="B317:C317">
    <cfRule type="expression" dxfId="522" priority="577">
      <formula>$E317="11 AT DTA"</formula>
    </cfRule>
  </conditionalFormatting>
  <conditionalFormatting sqref="B317:C317">
    <cfRule type="expression" dxfId="521" priority="578">
      <formula>$E317="07 AT TRVX CLIENT"</formula>
    </cfRule>
  </conditionalFormatting>
  <conditionalFormatting sqref="B317:C317">
    <cfRule type="expression" dxfId="520" priority="579">
      <formula>$E317="15 POI EN FACTU"</formula>
    </cfRule>
  </conditionalFormatting>
  <conditionalFormatting sqref="B317:C317">
    <cfRule type="expression" dxfId="519" priority="580">
      <formula>$E317="14 POI EN TRAVAUX"</formula>
    </cfRule>
  </conditionalFormatting>
  <conditionalFormatting sqref="B317:C317">
    <cfRule type="expression" dxfId="518" priority="581">
      <formula>$E317="10 AT PV"</formula>
    </cfRule>
  </conditionalFormatting>
  <conditionalFormatting sqref="B317:C317">
    <cfRule type="expression" dxfId="517" priority="582">
      <formula>$E317="04 DOSSIER A MONTER"</formula>
    </cfRule>
  </conditionalFormatting>
  <conditionalFormatting sqref="B317:C317">
    <cfRule type="expression" dxfId="516" priority="583">
      <formula>$E317="03 DOSSIER A REPRENDRE"</formula>
    </cfRule>
  </conditionalFormatting>
  <conditionalFormatting sqref="B317:C317">
    <cfRule type="expression" dxfId="515" priority="584">
      <formula>$E317="09 AT DEVIS ORANGE/RIP"</formula>
    </cfRule>
  </conditionalFormatting>
  <conditionalFormatting sqref="B317:C317">
    <cfRule type="expression" dxfId="514" priority="585">
      <formula>$E317="05 AT INFO CAF REF"</formula>
    </cfRule>
  </conditionalFormatting>
  <conditionalFormatting sqref="B317:C317">
    <cfRule type="expression" dxfId="513" priority="586">
      <formula>$E317="02 RETOUR VT"</formula>
    </cfRule>
  </conditionalFormatting>
  <conditionalFormatting sqref="B315:C315">
    <cfRule type="expression" dxfId="512" priority="573">
      <formula>$E315="06 AT DEVIS CLIENT"</formula>
    </cfRule>
  </conditionalFormatting>
  <conditionalFormatting sqref="B315:C315">
    <cfRule type="expression" dxfId="511" priority="561">
      <formula>$E315="13 ETAT 5"</formula>
    </cfRule>
  </conditionalFormatting>
  <conditionalFormatting sqref="B315:C315">
    <cfRule type="expression" dxfId="510" priority="562">
      <formula>$E315="08 AT COMAC/CAPFT"</formula>
    </cfRule>
  </conditionalFormatting>
  <conditionalFormatting sqref="B315:C315">
    <cfRule type="expression" dxfId="509" priority="563">
      <formula>$E315="11 AT DTA"</formula>
    </cfRule>
  </conditionalFormatting>
  <conditionalFormatting sqref="B315:C315">
    <cfRule type="expression" dxfId="508" priority="564">
      <formula>$E315="07 AT TRVX CLIENT"</formula>
    </cfRule>
  </conditionalFormatting>
  <conditionalFormatting sqref="B315:C315">
    <cfRule type="expression" dxfId="507" priority="565">
      <formula>$E315="12 AT MAJ SI"</formula>
    </cfRule>
  </conditionalFormatting>
  <conditionalFormatting sqref="B315:C315">
    <cfRule type="expression" dxfId="506" priority="566">
      <formula>$E315="03 DOSSIER A REPRENDRE"</formula>
    </cfRule>
  </conditionalFormatting>
  <conditionalFormatting sqref="B315:C315">
    <cfRule type="expression" dxfId="505" priority="567">
      <formula>$E315="10 AT PV"</formula>
    </cfRule>
  </conditionalFormatting>
  <conditionalFormatting sqref="B315:C315">
    <cfRule type="expression" dxfId="504" priority="568">
      <formula>$E315="04 DOSSIER A MONTER"</formula>
    </cfRule>
  </conditionalFormatting>
  <conditionalFormatting sqref="B315:C315">
    <cfRule type="expression" dxfId="503" priority="569">
      <formula>$E315="02 RETOUR VT"</formula>
    </cfRule>
  </conditionalFormatting>
  <conditionalFormatting sqref="B315:C315">
    <cfRule type="expression" dxfId="502" priority="570">
      <formula>$E315="05 AT INFO CAF REF"</formula>
    </cfRule>
  </conditionalFormatting>
  <conditionalFormatting sqref="B315:C315">
    <cfRule type="expression" dxfId="501" priority="571">
      <formula>$E315="09 AT DEVIS ORANGE/RIP"</formula>
    </cfRule>
  </conditionalFormatting>
  <conditionalFormatting sqref="B315:C315">
    <cfRule type="expression" dxfId="500" priority="572">
      <formula>$E315="14 POI EN TRAVAUX"</formula>
    </cfRule>
  </conditionalFormatting>
  <conditionalFormatting sqref="B315:C315">
    <cfRule type="expression" dxfId="499" priority="559">
      <formula>$E315="15 POI EN FACTU"</formula>
    </cfRule>
    <cfRule type="expression" dxfId="498" priority="560">
      <formula>$E315="01 VT A FAIRE"</formula>
    </cfRule>
  </conditionalFormatting>
  <conditionalFormatting sqref="B316:C316">
    <cfRule type="expression" dxfId="497" priority="558">
      <formula>$E316="06 AT DEVIS CLIENT"</formula>
    </cfRule>
  </conditionalFormatting>
  <conditionalFormatting sqref="B316:C316">
    <cfRule type="expression" dxfId="496" priority="546">
      <formula>$E316="13 ETAT 5"</formula>
    </cfRule>
  </conditionalFormatting>
  <conditionalFormatting sqref="B316:C316">
    <cfRule type="expression" dxfId="495" priority="547">
      <formula>$E316="08 AT COMAC/CAPFT"</formula>
    </cfRule>
  </conditionalFormatting>
  <conditionalFormatting sqref="B316:C316">
    <cfRule type="expression" dxfId="494" priority="548">
      <formula>$E316="11 AT DTA"</formula>
    </cfRule>
  </conditionalFormatting>
  <conditionalFormatting sqref="B316:C316">
    <cfRule type="expression" dxfId="493" priority="549">
      <formula>$E316="07 AT TRVX CLIENT"</formula>
    </cfRule>
  </conditionalFormatting>
  <conditionalFormatting sqref="B316:C316">
    <cfRule type="expression" dxfId="492" priority="550">
      <formula>$E316="12 AT MAJ SI"</formula>
    </cfRule>
  </conditionalFormatting>
  <conditionalFormatting sqref="B316:C316">
    <cfRule type="expression" dxfId="491" priority="551">
      <formula>$E316="03 DOSSIER A REPRENDRE"</formula>
    </cfRule>
  </conditionalFormatting>
  <conditionalFormatting sqref="B316:C316">
    <cfRule type="expression" dxfId="490" priority="552">
      <formula>$E316="10 AT PV"</formula>
    </cfRule>
  </conditionalFormatting>
  <conditionalFormatting sqref="B316:C316">
    <cfRule type="expression" dxfId="489" priority="553">
      <formula>$E316="04 DOSSIER A MONTER"</formula>
    </cfRule>
  </conditionalFormatting>
  <conditionalFormatting sqref="B316:C316">
    <cfRule type="expression" dxfId="488" priority="554">
      <formula>$E316="02 RETOUR VT"</formula>
    </cfRule>
  </conditionalFormatting>
  <conditionalFormatting sqref="B316:C316">
    <cfRule type="expression" dxfId="487" priority="555">
      <formula>$E316="05 AT INFO CAF REF"</formula>
    </cfRule>
  </conditionalFormatting>
  <conditionalFormatting sqref="B316:C316">
    <cfRule type="expression" dxfId="486" priority="556">
      <formula>$E316="09 AT DEVIS ORANGE/RIP"</formula>
    </cfRule>
  </conditionalFormatting>
  <conditionalFormatting sqref="B316:C316">
    <cfRule type="expression" dxfId="485" priority="557">
      <formula>$E316="14 POI EN TRAVAUX"</formula>
    </cfRule>
  </conditionalFormatting>
  <conditionalFormatting sqref="B316:C316">
    <cfRule type="expression" dxfId="484" priority="544">
      <formula>$E316="15 POI EN FACTU"</formula>
    </cfRule>
    <cfRule type="expression" dxfId="483" priority="545">
      <formula>$E316="01 VT A FAIRE"</formula>
    </cfRule>
  </conditionalFormatting>
  <conditionalFormatting sqref="B318:C318">
    <cfRule type="expression" dxfId="482" priority="535">
      <formula>$B318="01 VT A FAIRE"</formula>
    </cfRule>
  </conditionalFormatting>
  <conditionalFormatting sqref="B318:C318">
    <cfRule type="expression" dxfId="481" priority="542">
      <formula>$B318="8 POI EN TRAVAUX"</formula>
    </cfRule>
  </conditionalFormatting>
  <conditionalFormatting sqref="B318:C318">
    <cfRule type="expression" dxfId="480" priority="541">
      <formula>$B318="7 AT PV"</formula>
    </cfRule>
  </conditionalFormatting>
  <conditionalFormatting sqref="B318:C318">
    <cfRule type="expression" dxfId="479" priority="539">
      <formula>$B318="05 AT INFO CAF REF"</formula>
    </cfRule>
  </conditionalFormatting>
  <conditionalFormatting sqref="B318:C318">
    <cfRule type="expression" dxfId="478" priority="543">
      <formula>$B318="9 POI EN FACTU"</formula>
    </cfRule>
  </conditionalFormatting>
  <conditionalFormatting sqref="B318:C318">
    <cfRule type="expression" dxfId="477" priority="538">
      <formula>$B318="04 DOSSIER A MONTER"</formula>
    </cfRule>
  </conditionalFormatting>
  <conditionalFormatting sqref="B318:C318">
    <cfRule type="expression" dxfId="476" priority="540">
      <formula>$B318="06 AT DEVIS ORANGE/RIP"</formula>
    </cfRule>
  </conditionalFormatting>
  <conditionalFormatting sqref="B318:C318">
    <cfRule type="expression" dxfId="475" priority="537">
      <formula>$B318="03 DOSSIER A REPRENDRE"</formula>
    </cfRule>
  </conditionalFormatting>
  <conditionalFormatting sqref="B318:C318">
    <cfRule type="expression" dxfId="474" priority="536">
      <formula>$B318="02 RETOUR VT"</formula>
    </cfRule>
  </conditionalFormatting>
  <conditionalFormatting sqref="B319:C319">
    <cfRule type="expression" dxfId="473" priority="534">
      <formula>$E319="06 AT DEVIS CLIENT"</formula>
    </cfRule>
  </conditionalFormatting>
  <conditionalFormatting sqref="B319:C319">
    <cfRule type="expression" dxfId="472" priority="522">
      <formula>$E319="13 ETAT 5"</formula>
    </cfRule>
  </conditionalFormatting>
  <conditionalFormatting sqref="B319:C319">
    <cfRule type="expression" dxfId="471" priority="523">
      <formula>$E319="08 AT COMAC/CAPFT"</formula>
    </cfRule>
  </conditionalFormatting>
  <conditionalFormatting sqref="B319:C319">
    <cfRule type="expression" dxfId="470" priority="524">
      <formula>$E319="11 AT DTA"</formula>
    </cfRule>
  </conditionalFormatting>
  <conditionalFormatting sqref="B319:C319">
    <cfRule type="expression" dxfId="469" priority="525">
      <formula>$E319="07 AT TRVX CLIENT"</formula>
    </cfRule>
  </conditionalFormatting>
  <conditionalFormatting sqref="B319:C319">
    <cfRule type="expression" dxfId="468" priority="526">
      <formula>$E319="12 AT MAJ SI"</formula>
    </cfRule>
  </conditionalFormatting>
  <conditionalFormatting sqref="B319:C319">
    <cfRule type="expression" dxfId="467" priority="527">
      <formula>$E319="03 DOSSIER A REPRENDRE"</formula>
    </cfRule>
  </conditionalFormatting>
  <conditionalFormatting sqref="B319:C319">
    <cfRule type="expression" dxfId="466" priority="528">
      <formula>$E319="10 AT PV"</formula>
    </cfRule>
  </conditionalFormatting>
  <conditionalFormatting sqref="B319:C319">
    <cfRule type="expression" dxfId="465" priority="529">
      <formula>$E319="04 DOSSIER A MONTER"</formula>
    </cfRule>
  </conditionalFormatting>
  <conditionalFormatting sqref="B319:C319">
    <cfRule type="expression" dxfId="464" priority="530">
      <formula>$E319="02 RETOUR VT"</formula>
    </cfRule>
  </conditionalFormatting>
  <conditionalFormatting sqref="B319:C319">
    <cfRule type="expression" dxfId="463" priority="531">
      <formula>$E319="05 AT INFO CAF REF"</formula>
    </cfRule>
  </conditionalFormatting>
  <conditionalFormatting sqref="B319:C319">
    <cfRule type="expression" dxfId="462" priority="532">
      <formula>$E319="09 AT DEVIS ORANGE/RIP"</formula>
    </cfRule>
  </conditionalFormatting>
  <conditionalFormatting sqref="B319:C319">
    <cfRule type="expression" dxfId="461" priority="533">
      <formula>$E319="14 POI EN TRAVAUX"</formula>
    </cfRule>
  </conditionalFormatting>
  <conditionalFormatting sqref="B319:C319">
    <cfRule type="expression" dxfId="460" priority="520">
      <formula>$E319="15 POI EN FACTU"</formula>
    </cfRule>
    <cfRule type="expression" dxfId="459" priority="521">
      <formula>$E319="01 VT A FAIRE"</formula>
    </cfRule>
  </conditionalFormatting>
  <conditionalFormatting sqref="B325:C325">
    <cfRule type="expression" dxfId="458" priority="509">
      <formula>$B325="01 VT A FAIRE"</formula>
    </cfRule>
  </conditionalFormatting>
  <conditionalFormatting sqref="B325:C325">
    <cfRule type="expression" dxfId="457" priority="517">
      <formula>$B325="8 POI EN TRAVAUX"</formula>
    </cfRule>
  </conditionalFormatting>
  <conditionalFormatting sqref="B325:C325">
    <cfRule type="expression" dxfId="456" priority="515">
      <formula>$B325="7 AT PV"</formula>
    </cfRule>
  </conditionalFormatting>
  <conditionalFormatting sqref="B325:C325">
    <cfRule type="expression" dxfId="455" priority="516">
      <formula>$B325="03 DOSSIER A REPRENDRE"</formula>
    </cfRule>
  </conditionalFormatting>
  <conditionalFormatting sqref="B325:C325">
    <cfRule type="expression" dxfId="454" priority="513">
      <formula>$B325="05 AT INFO CAF REF"</formula>
    </cfRule>
  </conditionalFormatting>
  <conditionalFormatting sqref="B325:C325">
    <cfRule type="expression" dxfId="453" priority="519">
      <formula>$B325="02 RETOUR VT"</formula>
    </cfRule>
  </conditionalFormatting>
  <conditionalFormatting sqref="B325:C325">
    <cfRule type="expression" dxfId="452" priority="518">
      <formula>$B325="9 POI EN FACTU"</formula>
    </cfRule>
  </conditionalFormatting>
  <conditionalFormatting sqref="B325:C325">
    <cfRule type="expression" dxfId="451" priority="512">
      <formula>$B325="04 DOSSIER A MONTER"</formula>
    </cfRule>
  </conditionalFormatting>
  <conditionalFormatting sqref="B325:C325">
    <cfRule type="expression" dxfId="450" priority="514">
      <formula>$B325="06 AT DEVIS ORANGE/RIP"</formula>
    </cfRule>
  </conditionalFormatting>
  <conditionalFormatting sqref="B325:C325">
    <cfRule type="expression" dxfId="449" priority="511">
      <formula>$B325="03 DOSSIER A REPRENDRE"</formula>
    </cfRule>
  </conditionalFormatting>
  <conditionalFormatting sqref="B325:C325">
    <cfRule type="expression" dxfId="448" priority="510">
      <formula>$B325="02 RETOUR VT"</formula>
    </cfRule>
  </conditionalFormatting>
  <conditionalFormatting sqref="B320:C320">
    <cfRule type="expression" dxfId="447" priority="508">
      <formula>$E320="06 AT DEVIS CLIENT"</formula>
    </cfRule>
  </conditionalFormatting>
  <conditionalFormatting sqref="B320:C320">
    <cfRule type="expression" dxfId="446" priority="496">
      <formula>$E320="13 ETAT 5"</formula>
    </cfRule>
  </conditionalFormatting>
  <conditionalFormatting sqref="B320:C320">
    <cfRule type="expression" dxfId="445" priority="497">
      <formula>$E320="08 AT COMAC/CAPFT"</formula>
    </cfRule>
  </conditionalFormatting>
  <conditionalFormatting sqref="B320:C320">
    <cfRule type="expression" dxfId="444" priority="498">
      <formula>$E320="11 AT DTA"</formula>
    </cfRule>
  </conditionalFormatting>
  <conditionalFormatting sqref="B320:C320">
    <cfRule type="expression" dxfId="443" priority="499">
      <formula>$E320="07 AT TRVX CLIENT"</formula>
    </cfRule>
  </conditionalFormatting>
  <conditionalFormatting sqref="B320:C320">
    <cfRule type="expression" dxfId="442" priority="500">
      <formula>$E320="12 AT MAJ SI"</formula>
    </cfRule>
  </conditionalFormatting>
  <conditionalFormatting sqref="B320:C320">
    <cfRule type="expression" dxfId="441" priority="501">
      <formula>$E320="03 DOSSIER A REPRENDRE"</formula>
    </cfRule>
  </conditionalFormatting>
  <conditionalFormatting sqref="B320:C320">
    <cfRule type="expression" dxfId="440" priority="502">
      <formula>$E320="10 AT PV"</formula>
    </cfRule>
  </conditionalFormatting>
  <conditionalFormatting sqref="B320:C320">
    <cfRule type="expression" dxfId="439" priority="503">
      <formula>$E320="04 DOSSIER A MONTER"</formula>
    </cfRule>
  </conditionalFormatting>
  <conditionalFormatting sqref="B320:C320">
    <cfRule type="expression" dxfId="438" priority="504">
      <formula>$E320="02 RETOUR VT"</formula>
    </cfRule>
  </conditionalFormatting>
  <conditionalFormatting sqref="B320:C320">
    <cfRule type="expression" dxfId="437" priority="505">
      <formula>$E320="05 AT INFO CAF REF"</formula>
    </cfRule>
  </conditionalFormatting>
  <conditionalFormatting sqref="B320:C320">
    <cfRule type="expression" dxfId="436" priority="506">
      <formula>$E320="09 AT DEVIS ORANGE/RIP"</formula>
    </cfRule>
  </conditionalFormatting>
  <conditionalFormatting sqref="B320:C320">
    <cfRule type="expression" dxfId="435" priority="507">
      <formula>$E320="14 POI EN TRAVAUX"</formula>
    </cfRule>
  </conditionalFormatting>
  <conditionalFormatting sqref="B320:C320">
    <cfRule type="expression" dxfId="434" priority="494">
      <formula>$E320="15 POI EN FACTU"</formula>
    </cfRule>
    <cfRule type="expression" dxfId="433" priority="495">
      <formula>$E320="01 VT A FAIRE"</formula>
    </cfRule>
  </conditionalFormatting>
  <conditionalFormatting sqref="B321:C321">
    <cfRule type="expression" dxfId="432" priority="493">
      <formula>$E321="01 VT A FAIRE"</formula>
    </cfRule>
  </conditionalFormatting>
  <conditionalFormatting sqref="B321:C321">
    <cfRule type="expression" dxfId="431" priority="481">
      <formula>$E321="13 ETAT 5"</formula>
    </cfRule>
  </conditionalFormatting>
  <conditionalFormatting sqref="B321:C321">
    <cfRule type="expression" dxfId="430" priority="480">
      <formula>$E321="12 AT MAJ SI"</formula>
    </cfRule>
    <cfRule type="expression" dxfId="429" priority="482">
      <formula>$E321="08 AT COMAC/CAPFT"</formula>
    </cfRule>
  </conditionalFormatting>
  <conditionalFormatting sqref="B321:C321">
    <cfRule type="expression" dxfId="428" priority="483">
      <formula>$E321="11 AT DTA"</formula>
    </cfRule>
  </conditionalFormatting>
  <conditionalFormatting sqref="B321:C321">
    <cfRule type="expression" dxfId="427" priority="484">
      <formula>$E321="07 AT TRVX CLIENT"</formula>
    </cfRule>
  </conditionalFormatting>
  <conditionalFormatting sqref="B321:C321">
    <cfRule type="expression" dxfId="426" priority="485">
      <formula>$E321="15 POI EN FACTU"</formula>
    </cfRule>
  </conditionalFormatting>
  <conditionalFormatting sqref="B321:C321">
    <cfRule type="expression" dxfId="425" priority="486">
      <formula>$E321="14 POI EN TRAVAUX"</formula>
    </cfRule>
  </conditionalFormatting>
  <conditionalFormatting sqref="B321:C321">
    <cfRule type="expression" dxfId="424" priority="487">
      <formula>$E321="10 AT PV"</formula>
    </cfRule>
  </conditionalFormatting>
  <conditionalFormatting sqref="B321:C321">
    <cfRule type="expression" dxfId="423" priority="488">
      <formula>$E321="04 DOSSIER A MONTER"</formula>
    </cfRule>
  </conditionalFormatting>
  <conditionalFormatting sqref="B321:C321">
    <cfRule type="expression" dxfId="422" priority="489">
      <formula>$E321="03 DOSSIER A REPRENDRE"</formula>
    </cfRule>
  </conditionalFormatting>
  <conditionalFormatting sqref="B321:C321">
    <cfRule type="expression" dxfId="421" priority="490">
      <formula>$E321="09 AT DEVIS ORANGE/RIP"</formula>
    </cfRule>
  </conditionalFormatting>
  <conditionalFormatting sqref="B321:C321">
    <cfRule type="expression" dxfId="420" priority="491">
      <formula>$E321="05 AT INFO CAF REF"</formula>
    </cfRule>
  </conditionalFormatting>
  <conditionalFormatting sqref="B321:C321">
    <cfRule type="expression" dxfId="419" priority="492">
      <formula>$E321="02 RETOUR VT"</formula>
    </cfRule>
  </conditionalFormatting>
  <conditionalFormatting sqref="B322:C322">
    <cfRule type="expression" dxfId="418" priority="479">
      <formula>$E322="01 VT A FAIRE"</formula>
    </cfRule>
  </conditionalFormatting>
  <conditionalFormatting sqref="B322:C322">
    <cfRule type="expression" dxfId="417" priority="467">
      <formula>$E322="13 ETAT 5"</formula>
    </cfRule>
  </conditionalFormatting>
  <conditionalFormatting sqref="B322:C322">
    <cfRule type="expression" dxfId="416" priority="466">
      <formula>$E322="12 AT MAJ SI"</formula>
    </cfRule>
    <cfRule type="expression" dxfId="415" priority="468">
      <formula>$E322="08 AT COMAC/CAPFT"</formula>
    </cfRule>
  </conditionalFormatting>
  <conditionalFormatting sqref="B322:C322">
    <cfRule type="expression" dxfId="414" priority="469">
      <formula>$E322="11 AT DTA"</formula>
    </cfRule>
  </conditionalFormatting>
  <conditionalFormatting sqref="B322:C322">
    <cfRule type="expression" dxfId="413" priority="470">
      <formula>$E322="07 AT TRVX CLIENT"</formula>
    </cfRule>
  </conditionalFormatting>
  <conditionalFormatting sqref="B322:C322">
    <cfRule type="expression" dxfId="412" priority="471">
      <formula>$E322="15 POI EN FACTU"</formula>
    </cfRule>
  </conditionalFormatting>
  <conditionalFormatting sqref="B322:C322">
    <cfRule type="expression" dxfId="411" priority="472">
      <formula>$E322="14 POI EN TRAVAUX"</formula>
    </cfRule>
  </conditionalFormatting>
  <conditionalFormatting sqref="B322:C322">
    <cfRule type="expression" dxfId="410" priority="473">
      <formula>$E322="10 AT PV"</formula>
    </cfRule>
  </conditionalFormatting>
  <conditionalFormatting sqref="B322:C322">
    <cfRule type="expression" dxfId="409" priority="474">
      <formula>$E322="04 DOSSIER A MONTER"</formula>
    </cfRule>
  </conditionalFormatting>
  <conditionalFormatting sqref="B322:C322">
    <cfRule type="expression" dxfId="408" priority="475">
      <formula>$E322="03 DOSSIER A REPRENDRE"</formula>
    </cfRule>
  </conditionalFormatting>
  <conditionalFormatting sqref="B322:C322">
    <cfRule type="expression" dxfId="407" priority="476">
      <formula>$E322="09 AT DEVIS ORANGE/RIP"</formula>
    </cfRule>
  </conditionalFormatting>
  <conditionalFormatting sqref="B322:C322">
    <cfRule type="expression" dxfId="406" priority="477">
      <formula>$E322="05 AT INFO CAF REF"</formula>
    </cfRule>
  </conditionalFormatting>
  <conditionalFormatting sqref="B322:C322">
    <cfRule type="expression" dxfId="405" priority="478">
      <formula>$E322="02 RETOUR VT"</formula>
    </cfRule>
  </conditionalFormatting>
  <conditionalFormatting sqref="B324:C324">
    <cfRule type="expression" dxfId="404" priority="465">
      <formula>$E324="01 VT A FAIRE"</formula>
    </cfRule>
  </conditionalFormatting>
  <conditionalFormatting sqref="B324:C324">
    <cfRule type="expression" dxfId="403" priority="453">
      <formula>$E324="13 ETAT 5"</formula>
    </cfRule>
  </conditionalFormatting>
  <conditionalFormatting sqref="B324:C324">
    <cfRule type="expression" dxfId="402" priority="452">
      <formula>$E324="12 AT MAJ SI"</formula>
    </cfRule>
    <cfRule type="expression" dxfId="401" priority="454">
      <formula>$E324="08 AT COMAC/CAPFT"</formula>
    </cfRule>
  </conditionalFormatting>
  <conditionalFormatting sqref="B324:C324">
    <cfRule type="expression" dxfId="400" priority="455">
      <formula>$E324="11 AT DTA"</formula>
    </cfRule>
  </conditionalFormatting>
  <conditionalFormatting sqref="B324:C324">
    <cfRule type="expression" dxfId="399" priority="456">
      <formula>$E324="07 AT TRVX CLIENT"</formula>
    </cfRule>
  </conditionalFormatting>
  <conditionalFormatting sqref="B324:C324">
    <cfRule type="expression" dxfId="398" priority="457">
      <formula>$E324="15 POI EN FACTU"</formula>
    </cfRule>
  </conditionalFormatting>
  <conditionalFormatting sqref="B324:C324">
    <cfRule type="expression" dxfId="397" priority="458">
      <formula>$E324="14 POI EN TRAVAUX"</formula>
    </cfRule>
  </conditionalFormatting>
  <conditionalFormatting sqref="B324:C324">
    <cfRule type="expression" dxfId="396" priority="459">
      <formula>$E324="10 AT PV"</formula>
    </cfRule>
  </conditionalFormatting>
  <conditionalFormatting sqref="B324:C324">
    <cfRule type="expression" dxfId="395" priority="460">
      <formula>$E324="04 DOSSIER A MONTER"</formula>
    </cfRule>
  </conditionalFormatting>
  <conditionalFormatting sqref="B324:C324">
    <cfRule type="expression" dxfId="394" priority="461">
      <formula>$E324="03 DOSSIER A REPRENDRE"</formula>
    </cfRule>
  </conditionalFormatting>
  <conditionalFormatting sqref="B324:C324">
    <cfRule type="expression" dxfId="393" priority="462">
      <formula>$E324="09 AT DEVIS ORANGE/RIP"</formula>
    </cfRule>
  </conditionalFormatting>
  <conditionalFormatting sqref="B324:C324">
    <cfRule type="expression" dxfId="392" priority="463">
      <formula>$E324="05 AT INFO CAF REF"</formula>
    </cfRule>
  </conditionalFormatting>
  <conditionalFormatting sqref="B324:C324">
    <cfRule type="expression" dxfId="391" priority="464">
      <formula>$E324="02 RETOUR VT"</formula>
    </cfRule>
  </conditionalFormatting>
  <conditionalFormatting sqref="B326:C326">
    <cfRule type="expression" dxfId="390" priority="437">
      <formula>$E326="13 ETAT 5"</formula>
    </cfRule>
    <cfRule type="expression" dxfId="389" priority="438">
      <formula>$E326="08 AT COMAC/CAPFT"</formula>
    </cfRule>
    <cfRule type="expression" dxfId="388" priority="439">
      <formula>$E326="11 AT DTA"</formula>
    </cfRule>
    <cfRule type="expression" dxfId="387" priority="440">
      <formula>$E326="07 AT TRVX CLIENT"</formula>
    </cfRule>
    <cfRule type="expression" dxfId="386" priority="441">
      <formula>$E326="12 AT MAJ SI"</formula>
    </cfRule>
    <cfRule type="expression" dxfId="385" priority="442">
      <formula>$E326="03 DOSSIER A REPRENDRE"</formula>
    </cfRule>
    <cfRule type="expression" dxfId="384" priority="443">
      <formula>$E326="10 AT PV"</formula>
    </cfRule>
    <cfRule type="expression" dxfId="383" priority="444">
      <formula>$E326="04 DOSSIER A MONTER"</formula>
    </cfRule>
    <cfRule type="expression" dxfId="382" priority="445">
      <formula>$E326="15 POI EN FACTU"</formula>
    </cfRule>
    <cfRule type="expression" dxfId="381" priority="447">
      <formula>$E326="01 VT A FAIRE"</formula>
    </cfRule>
    <cfRule type="expression" dxfId="380" priority="448">
      <formula>$E326="05 AT INFO CAF REF"</formula>
    </cfRule>
    <cfRule type="expression" dxfId="379" priority="449">
      <formula>$E326="09 AT DEVIS ORANGE/RIP"</formula>
    </cfRule>
    <cfRule type="expression" dxfId="378" priority="450">
      <formula>$E326="14 POI EN TRAVAUX"</formula>
    </cfRule>
    <cfRule type="expression" dxfId="377" priority="451">
      <formula>$E326="06 AT DEVIS CLIENT"</formula>
    </cfRule>
  </conditionalFormatting>
  <conditionalFormatting sqref="B326:C326">
    <cfRule type="expression" dxfId="376" priority="446">
      <formula>$E326="02 RETOUR VT"</formula>
    </cfRule>
  </conditionalFormatting>
  <conditionalFormatting sqref="B328:C328">
    <cfRule type="expression" dxfId="375" priority="436">
      <formula>$E328="01 VT A FAIRE"</formula>
    </cfRule>
  </conditionalFormatting>
  <conditionalFormatting sqref="B328:C328">
    <cfRule type="expression" dxfId="374" priority="424">
      <formula>$E328="13 ETAT 5"</formula>
    </cfRule>
  </conditionalFormatting>
  <conditionalFormatting sqref="B328:C328">
    <cfRule type="expression" dxfId="373" priority="423">
      <formula>$E328="12 AT MAJ SI"</formula>
    </cfRule>
    <cfRule type="expression" dxfId="372" priority="425">
      <formula>$E328="08 AT COMAC/CAPFT"</formula>
    </cfRule>
  </conditionalFormatting>
  <conditionalFormatting sqref="B328:C328">
    <cfRule type="expression" dxfId="371" priority="426">
      <formula>$E328="11 AT DTA"</formula>
    </cfRule>
  </conditionalFormatting>
  <conditionalFormatting sqref="B328:C328">
    <cfRule type="expression" dxfId="370" priority="427">
      <formula>$E328="07 AT TRVX CLIENT"</formula>
    </cfRule>
  </conditionalFormatting>
  <conditionalFormatting sqref="B328:C328">
    <cfRule type="expression" dxfId="369" priority="428">
      <formula>$E328="15 POI EN FACTU"</formula>
    </cfRule>
  </conditionalFormatting>
  <conditionalFormatting sqref="B328:C328">
    <cfRule type="expression" dxfId="368" priority="429">
      <formula>$E328="14 POI EN TRAVAUX"</formula>
    </cfRule>
  </conditionalFormatting>
  <conditionalFormatting sqref="B328:C328">
    <cfRule type="expression" dxfId="367" priority="430">
      <formula>$E328="10 AT PV"</formula>
    </cfRule>
  </conditionalFormatting>
  <conditionalFormatting sqref="B328:C328">
    <cfRule type="expression" dxfId="366" priority="431">
      <formula>$E328="04 DOSSIER A MONTER"</formula>
    </cfRule>
  </conditionalFormatting>
  <conditionalFormatting sqref="B328:C328">
    <cfRule type="expression" dxfId="365" priority="432">
      <formula>$E328="03 DOSSIER A REPRENDRE"</formula>
    </cfRule>
  </conditionalFormatting>
  <conditionalFormatting sqref="B328:C328">
    <cfRule type="expression" dxfId="364" priority="433">
      <formula>$E328="09 AT DEVIS ORANGE/RIP"</formula>
    </cfRule>
  </conditionalFormatting>
  <conditionalFormatting sqref="B328:C328">
    <cfRule type="expression" dxfId="363" priority="434">
      <formula>$E328="05 AT INFO CAF REF"</formula>
    </cfRule>
  </conditionalFormatting>
  <conditionalFormatting sqref="B328:C328">
    <cfRule type="expression" dxfId="362" priority="435">
      <formula>$E328="02 RETOUR VT"</formula>
    </cfRule>
  </conditionalFormatting>
  <conditionalFormatting sqref="B329:C329">
    <cfRule type="expression" dxfId="361" priority="419">
      <formula>$E329="12 AT MAJ SI"</formula>
    </cfRule>
  </conditionalFormatting>
  <conditionalFormatting sqref="B329:C329">
    <cfRule type="expression" dxfId="360" priority="409">
      <formula>$E329="08 AT COMAC/CAPFT"</formula>
    </cfRule>
  </conditionalFormatting>
  <conditionalFormatting sqref="B329:C329">
    <cfRule type="expression" dxfId="359" priority="410">
      <formula>$E329="06 AT DEVIS CLIENT"</formula>
    </cfRule>
  </conditionalFormatting>
  <conditionalFormatting sqref="B329:C329">
    <cfRule type="expression" dxfId="358" priority="411">
      <formula>$E329="01 VT A FAIRE"</formula>
    </cfRule>
  </conditionalFormatting>
  <conditionalFormatting sqref="B329:C329">
    <cfRule type="expression" dxfId="357" priority="412">
      <formula>$E329="05 AT INFO CAF REF"</formula>
    </cfRule>
  </conditionalFormatting>
  <conditionalFormatting sqref="B329:C329">
    <cfRule type="expression" dxfId="356" priority="413">
      <formula>$E329="11 AT DTA"</formula>
    </cfRule>
  </conditionalFormatting>
  <conditionalFormatting sqref="B329:C329">
    <cfRule type="expression" dxfId="355" priority="414">
      <formula>$E329="07 AT TRVX CLIENT"</formula>
    </cfRule>
  </conditionalFormatting>
  <conditionalFormatting sqref="B329:C329">
    <cfRule type="expression" dxfId="354" priority="415">
      <formula>$E329="10 AT PV"</formula>
    </cfRule>
  </conditionalFormatting>
  <conditionalFormatting sqref="B329:C329">
    <cfRule type="expression" dxfId="353" priority="416">
      <formula>$E329="04 DOSSIER A MONTER"</formula>
    </cfRule>
  </conditionalFormatting>
  <conditionalFormatting sqref="B329:C329">
    <cfRule type="expression" dxfId="352" priority="417">
      <formula>$E329="03 DOSSIER A REPRENDRE"</formula>
    </cfRule>
  </conditionalFormatting>
  <conditionalFormatting sqref="B329:C329">
    <cfRule type="expression" dxfId="351" priority="418">
      <formula>$E329="02 RETOUR VT"</formula>
    </cfRule>
  </conditionalFormatting>
  <conditionalFormatting sqref="B329:C329">
    <cfRule type="expression" dxfId="350" priority="420">
      <formula>$E329="13 ETAT 5"</formula>
    </cfRule>
  </conditionalFormatting>
  <conditionalFormatting sqref="B329:C329">
    <cfRule type="expression" dxfId="349" priority="421">
      <formula>$E329="09 AT DEVIS ORANGE/RIP"</formula>
    </cfRule>
  </conditionalFormatting>
  <conditionalFormatting sqref="B329:C329">
    <cfRule type="expression" dxfId="348" priority="422">
      <formula>$E329="15 POI EN FACTU"</formula>
    </cfRule>
  </conditionalFormatting>
  <conditionalFormatting sqref="B329:C329">
    <cfRule type="expression" dxfId="347" priority="408">
      <formula>$E329="14 POI EN TRAVAUX"</formula>
    </cfRule>
  </conditionalFormatting>
  <conditionalFormatting sqref="B330:C330">
    <cfRule type="expression" dxfId="346" priority="393">
      <formula>$E330="13 ETAT 5"</formula>
    </cfRule>
    <cfRule type="expression" dxfId="345" priority="394">
      <formula>$E330="08 AT COMAC/CAPFT"</formula>
    </cfRule>
    <cfRule type="expression" dxfId="344" priority="395">
      <formula>$E330="11 AT DTA"</formula>
    </cfRule>
    <cfRule type="expression" dxfId="343" priority="396">
      <formula>$E330="07 AT TRVX CLIENT"</formula>
    </cfRule>
    <cfRule type="expression" dxfId="342" priority="397">
      <formula>$E330="12 AT MAJ SI"</formula>
    </cfRule>
    <cfRule type="expression" dxfId="341" priority="398">
      <formula>$E330="03 DOSSIER A REPRENDRE"</formula>
    </cfRule>
    <cfRule type="expression" dxfId="340" priority="399">
      <formula>$E330="10 AT PV"</formula>
    </cfRule>
    <cfRule type="expression" dxfId="339" priority="400">
      <formula>$E330="04 DOSSIER A MONTER"</formula>
    </cfRule>
    <cfRule type="expression" dxfId="338" priority="401">
      <formula>$E330="15 POI EN FACTU"</formula>
    </cfRule>
    <cfRule type="expression" dxfId="337" priority="403">
      <formula>$E330="01 VT A FAIRE"</formula>
    </cfRule>
    <cfRule type="expression" dxfId="336" priority="404">
      <formula>$E330="05 AT INFO CAF REF"</formula>
    </cfRule>
    <cfRule type="expression" dxfId="335" priority="405">
      <formula>$E330="09 AT DEVIS ORANGE/RIP"</formula>
    </cfRule>
    <cfRule type="expression" dxfId="334" priority="406">
      <formula>$E330="14 POI EN TRAVAUX"</formula>
    </cfRule>
    <cfRule type="expression" dxfId="333" priority="407">
      <formula>$E330="06 AT DEVIS CLIENT"</formula>
    </cfRule>
  </conditionalFormatting>
  <conditionalFormatting sqref="B330:C330">
    <cfRule type="expression" dxfId="332" priority="402">
      <formula>$E330="02 RETOUR VT"</formula>
    </cfRule>
  </conditionalFormatting>
  <conditionalFormatting sqref="B332:C332">
    <cfRule type="expression" dxfId="331" priority="378">
      <formula>$E332="13 ETAT 5"</formula>
    </cfRule>
    <cfRule type="expression" dxfId="330" priority="379">
      <formula>$E332="08 AT COMAC/CAPFT"</formula>
    </cfRule>
    <cfRule type="expression" dxfId="329" priority="380">
      <formula>$E332="11 AT DTA"</formula>
    </cfRule>
    <cfRule type="expression" dxfId="328" priority="381">
      <formula>$E332="07 AT TRVX CLIENT"</formula>
    </cfRule>
    <cfRule type="expression" dxfId="327" priority="382">
      <formula>$E332="12 AT MAJ SI"</formula>
    </cfRule>
    <cfRule type="expression" dxfId="326" priority="383">
      <formula>$E332="03 DOSSIER A REPRENDRE"</formula>
    </cfRule>
    <cfRule type="expression" dxfId="325" priority="384">
      <formula>$E332="10 AT PV"</formula>
    </cfRule>
    <cfRule type="expression" dxfId="324" priority="385">
      <formula>$E332="04 DOSSIER A MONTER"</formula>
    </cfRule>
    <cfRule type="expression" dxfId="323" priority="386">
      <formula>$E332="15 POI EN FACTU"</formula>
    </cfRule>
    <cfRule type="expression" dxfId="322" priority="388">
      <formula>$E332="01 VT A FAIRE"</formula>
    </cfRule>
    <cfRule type="expression" dxfId="321" priority="389">
      <formula>$E332="05 AT INFO CAF REF"</formula>
    </cfRule>
    <cfRule type="expression" dxfId="320" priority="390">
      <formula>$E332="09 AT DEVIS ORANGE/RIP"</formula>
    </cfRule>
    <cfRule type="expression" dxfId="319" priority="391">
      <formula>$E332="14 POI EN TRAVAUX"</formula>
    </cfRule>
    <cfRule type="expression" dxfId="318" priority="392">
      <formula>$E332="06 AT DEVIS CLIENT"</formula>
    </cfRule>
  </conditionalFormatting>
  <conditionalFormatting sqref="B332:C332">
    <cfRule type="expression" dxfId="317" priority="387">
      <formula>$E332="02 RETOUR VT"</formula>
    </cfRule>
  </conditionalFormatting>
  <conditionalFormatting sqref="B334:C334">
    <cfRule type="expression" dxfId="316" priority="377">
      <formula>$E334="06 AT DEVIS CLIENT"</formula>
    </cfRule>
  </conditionalFormatting>
  <conditionalFormatting sqref="B334:C334">
    <cfRule type="expression" dxfId="315" priority="365">
      <formula>$E334="13 ETAT 5"</formula>
    </cfRule>
  </conditionalFormatting>
  <conditionalFormatting sqref="B334:C334">
    <cfRule type="expression" dxfId="314" priority="366">
      <formula>$E334="08 AT COMAC/CAPFT"</formula>
    </cfRule>
  </conditionalFormatting>
  <conditionalFormatting sqref="B334:C334">
    <cfRule type="expression" dxfId="313" priority="367">
      <formula>$E334="11 AT DTA"</formula>
    </cfRule>
  </conditionalFormatting>
  <conditionalFormatting sqref="B334:C334">
    <cfRule type="expression" dxfId="312" priority="368">
      <formula>$E334="07 AT TRVX CLIENT"</formula>
    </cfRule>
  </conditionalFormatting>
  <conditionalFormatting sqref="B334:C334">
    <cfRule type="expression" dxfId="311" priority="369">
      <formula>$E334="12 AT MAJ SI"</formula>
    </cfRule>
  </conditionalFormatting>
  <conditionalFormatting sqref="B334:C334">
    <cfRule type="expression" dxfId="310" priority="370">
      <formula>$E334="03 DOSSIER A REPRENDRE"</formula>
    </cfRule>
  </conditionalFormatting>
  <conditionalFormatting sqref="B334:C334">
    <cfRule type="expression" dxfId="309" priority="371">
      <formula>$E334="10 AT PV"</formula>
    </cfRule>
  </conditionalFormatting>
  <conditionalFormatting sqref="B334:C334">
    <cfRule type="expression" dxfId="308" priority="372">
      <formula>$E334="04 DOSSIER A MONTER"</formula>
    </cfRule>
  </conditionalFormatting>
  <conditionalFormatting sqref="B334:C334">
    <cfRule type="expression" dxfId="307" priority="373">
      <formula>$E334="02 RETOUR VT"</formula>
    </cfRule>
  </conditionalFormatting>
  <conditionalFormatting sqref="B334:C334">
    <cfRule type="expression" dxfId="306" priority="374">
      <formula>$E334="05 AT INFO CAF REF"</formula>
    </cfRule>
  </conditionalFormatting>
  <conditionalFormatting sqref="B334:C334">
    <cfRule type="expression" dxfId="305" priority="375">
      <formula>$E334="09 AT DEVIS ORANGE/RIP"</formula>
    </cfRule>
  </conditionalFormatting>
  <conditionalFormatting sqref="B334:C334">
    <cfRule type="expression" dxfId="304" priority="376">
      <formula>$E334="14 POI EN TRAVAUX"</formula>
    </cfRule>
  </conditionalFormatting>
  <conditionalFormatting sqref="B334:C334">
    <cfRule type="expression" dxfId="303" priority="363">
      <formula>$E334="15 POI EN FACTU"</formula>
    </cfRule>
    <cfRule type="expression" dxfId="302" priority="364">
      <formula>$E334="01 VT A FAIRE"</formula>
    </cfRule>
  </conditionalFormatting>
  <conditionalFormatting sqref="B335:C335">
    <cfRule type="expression" dxfId="301" priority="348">
      <formula>$E335="13 ETAT 5"</formula>
    </cfRule>
    <cfRule type="expression" dxfId="300" priority="349">
      <formula>$E335="08 AT COMAC/CAPFT"</formula>
    </cfRule>
    <cfRule type="expression" dxfId="299" priority="350">
      <formula>$E335="11 AT DTA"</formula>
    </cfRule>
    <cfRule type="expression" dxfId="298" priority="351">
      <formula>$E335="07 AT TRVX CLIENT"</formula>
    </cfRule>
    <cfRule type="expression" dxfId="297" priority="352">
      <formula>$E335="12 AT MAJ SI"</formula>
    </cfRule>
    <cfRule type="expression" dxfId="296" priority="353">
      <formula>$E335="03 DOSSIER A REPRENDRE"</formula>
    </cfRule>
    <cfRule type="expression" dxfId="295" priority="354">
      <formula>$E335="10 AT PV"</formula>
    </cfRule>
    <cfRule type="expression" dxfId="294" priority="355">
      <formula>$E335="04 DOSSIER A MONTER"</formula>
    </cfRule>
    <cfRule type="expression" dxfId="293" priority="356">
      <formula>$E335="15 POI EN FACTU"</formula>
    </cfRule>
    <cfRule type="expression" dxfId="292" priority="358">
      <formula>$E335="01 VT A FAIRE"</formula>
    </cfRule>
    <cfRule type="expression" dxfId="291" priority="359">
      <formula>$E335="05 AT INFO CAF REF"</formula>
    </cfRule>
    <cfRule type="expression" dxfId="290" priority="360">
      <formula>$E335="09 AT DEVIS ORANGE/RIP"</formula>
    </cfRule>
    <cfRule type="expression" dxfId="289" priority="361">
      <formula>$E335="14 POI EN TRAVAUX"</formula>
    </cfRule>
    <cfRule type="expression" dxfId="288" priority="362">
      <formula>$E335="06 AT DEVIS CLIENT"</formula>
    </cfRule>
  </conditionalFormatting>
  <conditionalFormatting sqref="B335:C335">
    <cfRule type="expression" dxfId="287" priority="357">
      <formula>$E335="02 RETOUR VT"</formula>
    </cfRule>
  </conditionalFormatting>
  <conditionalFormatting sqref="B336:C336">
    <cfRule type="expression" dxfId="286" priority="333">
      <formula>$E336="13 ETAT 5"</formula>
    </cfRule>
    <cfRule type="expression" dxfId="285" priority="334">
      <formula>$E336="08 AT COMAC/CAPFT"</formula>
    </cfRule>
    <cfRule type="expression" dxfId="284" priority="335">
      <formula>$E336="11 AT DTA"</formula>
    </cfRule>
    <cfRule type="expression" dxfId="283" priority="336">
      <formula>$E336="07 AT TRVX CLIENT"</formula>
    </cfRule>
    <cfRule type="expression" dxfId="282" priority="337">
      <formula>$E336="12 AT MAJ SI"</formula>
    </cfRule>
    <cfRule type="expression" dxfId="281" priority="338">
      <formula>$E336="03 DOSSIER A REPRENDRE"</formula>
    </cfRule>
    <cfRule type="expression" dxfId="280" priority="339">
      <formula>$E336="10 AT PV"</formula>
    </cfRule>
    <cfRule type="expression" dxfId="279" priority="340">
      <formula>$E336="04 DOSSIER A MONTER"</formula>
    </cfRule>
    <cfRule type="expression" dxfId="278" priority="341">
      <formula>$E336="15 POI EN FACTU"</formula>
    </cfRule>
    <cfRule type="expression" dxfId="277" priority="343">
      <formula>$E336="01 VT A FAIRE"</formula>
    </cfRule>
    <cfRule type="expression" dxfId="276" priority="344">
      <formula>$E336="05 AT INFO CAF REF"</formula>
    </cfRule>
    <cfRule type="expression" dxfId="275" priority="345">
      <formula>$E336="09 AT DEVIS ORANGE/RIP"</formula>
    </cfRule>
    <cfRule type="expression" dxfId="274" priority="346">
      <formula>$E336="14 POI EN TRAVAUX"</formula>
    </cfRule>
    <cfRule type="expression" dxfId="273" priority="347">
      <formula>$E336="06 AT DEVIS CLIENT"</formula>
    </cfRule>
  </conditionalFormatting>
  <conditionalFormatting sqref="B336:C336">
    <cfRule type="expression" dxfId="272" priority="342">
      <formula>$E336="02 RETOUR VT"</formula>
    </cfRule>
  </conditionalFormatting>
  <conditionalFormatting sqref="B340:C340">
    <cfRule type="expression" dxfId="271" priority="322">
      <formula>$B340="01 VT A FAIRE"</formula>
    </cfRule>
  </conditionalFormatting>
  <conditionalFormatting sqref="B340:C340">
    <cfRule type="expression" dxfId="270" priority="330">
      <formula>$B340="8 POI EN TRAVAUX"</formula>
    </cfRule>
  </conditionalFormatting>
  <conditionalFormatting sqref="B340:C340">
    <cfRule type="expression" dxfId="269" priority="328">
      <formula>$B340="7 AT PV"</formula>
    </cfRule>
  </conditionalFormatting>
  <conditionalFormatting sqref="B340:C340">
    <cfRule type="expression" dxfId="268" priority="329">
      <formula>$B340="03 DOSSIER A REPRENDRE"</formula>
    </cfRule>
  </conditionalFormatting>
  <conditionalFormatting sqref="B340:C340">
    <cfRule type="expression" dxfId="267" priority="326">
      <formula>$B340="05 AT INFO CAF REF"</formula>
    </cfRule>
  </conditionalFormatting>
  <conditionalFormatting sqref="B340:C340">
    <cfRule type="expression" dxfId="266" priority="332">
      <formula>$B340="02 RETOUR VT"</formula>
    </cfRule>
  </conditionalFormatting>
  <conditionalFormatting sqref="B340:C340">
    <cfRule type="expression" dxfId="265" priority="331">
      <formula>$B340="9 POI EN FACTU"</formula>
    </cfRule>
  </conditionalFormatting>
  <conditionalFormatting sqref="B340:C340">
    <cfRule type="expression" dxfId="264" priority="325">
      <formula>$B340="04 DOSSIER A MONTER"</formula>
    </cfRule>
  </conditionalFormatting>
  <conditionalFormatting sqref="B340:C340">
    <cfRule type="expression" dxfId="263" priority="327">
      <formula>$B340="06 AT DEVIS ORANGE/RIP"</formula>
    </cfRule>
  </conditionalFormatting>
  <conditionalFormatting sqref="B340:C340">
    <cfRule type="expression" dxfId="262" priority="324">
      <formula>$B340="03 DOSSIER A REPRENDRE"</formula>
    </cfRule>
  </conditionalFormatting>
  <conditionalFormatting sqref="B340:C340">
    <cfRule type="expression" dxfId="261" priority="323">
      <formula>$B340="02 RETOUR VT"</formula>
    </cfRule>
  </conditionalFormatting>
  <conditionalFormatting sqref="B460">
    <cfRule type="expression" dxfId="260" priority="321">
      <formula>$A460="1.1_VT"</formula>
    </cfRule>
  </conditionalFormatting>
  <conditionalFormatting sqref="B460">
    <cfRule type="expression" dxfId="259" priority="320">
      <formula>$A460="1.2_ATT PV"</formula>
    </cfRule>
  </conditionalFormatting>
  <conditionalFormatting sqref="B460">
    <cfRule type="expression" dxfId="258" priority="319">
      <formula>$A460="1.3_ATT PV REL"</formula>
    </cfRule>
  </conditionalFormatting>
  <conditionalFormatting sqref="B460">
    <cfRule type="expression" dxfId="257" priority="318">
      <formula>$A460="2.1_ATT Devis"</formula>
    </cfRule>
  </conditionalFormatting>
  <conditionalFormatting sqref="B460">
    <cfRule type="expression" dxfId="256" priority="317">
      <formula>$A460="2.3_Reprise SPI Devis"</formula>
    </cfRule>
  </conditionalFormatting>
  <conditionalFormatting sqref="B460">
    <cfRule type="expression" dxfId="255" priority="316">
      <formula>$A460="3.1_REO AU_Travaux en cours"</formula>
    </cfRule>
  </conditionalFormatting>
  <conditionalFormatting sqref="B460">
    <cfRule type="expression" dxfId="254" priority="315">
      <formula>$A460="3.2_REO LO_en attente GEOREF"</formula>
    </cfRule>
  </conditionalFormatting>
  <conditionalFormatting sqref="B460">
    <cfRule type="expression" dxfId="253" priority="314">
      <formula>$A460="3.3_DMS / En attente Factu"</formula>
    </cfRule>
  </conditionalFormatting>
  <conditionalFormatting sqref="B460">
    <cfRule type="expression" dxfId="252" priority="313">
      <formula>$A460="3.4_DMS / CRO envoyé"</formula>
    </cfRule>
  </conditionalFormatting>
  <conditionalFormatting sqref="B460">
    <cfRule type="expression" dxfId="251" priority="312">
      <formula>$A460="3.5_Reprise SPI Factu"</formula>
    </cfRule>
  </conditionalFormatting>
  <conditionalFormatting sqref="B460">
    <cfRule type="expression" dxfId="250" priority="311">
      <formula>$A460="En attente PPD"</formula>
    </cfRule>
  </conditionalFormatting>
  <conditionalFormatting sqref="B460">
    <cfRule type="expression" dxfId="249" priority="310">
      <formula>$A460="5_PPD OK"</formula>
    </cfRule>
  </conditionalFormatting>
  <conditionalFormatting sqref="B460">
    <cfRule type="expression" dxfId="248" priority="308">
      <formula>$A460="2.2_Pas de travaux en att. val. ORANGE."</formula>
    </cfRule>
  </conditionalFormatting>
  <conditionalFormatting sqref="B460">
    <cfRule type="expression" dxfId="247" priority="309">
      <formula>$A460="1.4_ATT PV REL CEFAST"</formula>
    </cfRule>
  </conditionalFormatting>
  <conditionalFormatting sqref="B463">
    <cfRule type="expression" dxfId="246" priority="307">
      <formula>$A463="1.1_VT"</formula>
    </cfRule>
  </conditionalFormatting>
  <conditionalFormatting sqref="B463">
    <cfRule type="expression" dxfId="245" priority="306">
      <formula>$A463="1.2_ATT PV"</formula>
    </cfRule>
  </conditionalFormatting>
  <conditionalFormatting sqref="B463">
    <cfRule type="expression" dxfId="244" priority="305">
      <formula>$A463="1.3_ATT PV REL"</formula>
    </cfRule>
  </conditionalFormatting>
  <conditionalFormatting sqref="B463">
    <cfRule type="expression" dxfId="243" priority="304">
      <formula>$A463="2.1_ATT Devis"</formula>
    </cfRule>
  </conditionalFormatting>
  <conditionalFormatting sqref="B463">
    <cfRule type="expression" dxfId="242" priority="303">
      <formula>$A463="2.3_Reprise SPI Devis"</formula>
    </cfRule>
  </conditionalFormatting>
  <conditionalFormatting sqref="B463">
    <cfRule type="expression" dxfId="241" priority="302">
      <formula>$A463="3.1_REO AU_Travaux en cours"</formula>
    </cfRule>
  </conditionalFormatting>
  <conditionalFormatting sqref="B463">
    <cfRule type="expression" dxfId="240" priority="301">
      <formula>$A463="3.2_REO LO_en attente GEOREF"</formula>
    </cfRule>
  </conditionalFormatting>
  <conditionalFormatting sqref="B463">
    <cfRule type="expression" dxfId="239" priority="300">
      <formula>$A463="3.3_DMS / En attente Factu"</formula>
    </cfRule>
  </conditionalFormatting>
  <conditionalFormatting sqref="B463">
    <cfRule type="expression" dxfId="238" priority="299">
      <formula>$A463="3.4_DMS / CRO envoyé"</formula>
    </cfRule>
  </conditionalFormatting>
  <conditionalFormatting sqref="B463">
    <cfRule type="expression" dxfId="237" priority="298">
      <formula>$A463="3.5_Reprise SPI Factu"</formula>
    </cfRule>
  </conditionalFormatting>
  <conditionalFormatting sqref="B463">
    <cfRule type="expression" dxfId="236" priority="297">
      <formula>$A463="En attente PPD"</formula>
    </cfRule>
  </conditionalFormatting>
  <conditionalFormatting sqref="B463">
    <cfRule type="expression" dxfId="235" priority="296">
      <formula>$A463="5_PPD OK"</formula>
    </cfRule>
  </conditionalFormatting>
  <conditionalFormatting sqref="B463">
    <cfRule type="expression" dxfId="234" priority="294">
      <formula>$A463="2.2_Pas de travaux en att. val. ORANGE."</formula>
    </cfRule>
  </conditionalFormatting>
  <conditionalFormatting sqref="B463">
    <cfRule type="expression" dxfId="233" priority="295">
      <formula>$A463="1.4_ATT PV REL CEFAST"</formula>
    </cfRule>
  </conditionalFormatting>
  <conditionalFormatting sqref="C463">
    <cfRule type="expression" dxfId="232" priority="293">
      <formula>$A463="1.1_VT"</formula>
    </cfRule>
  </conditionalFormatting>
  <conditionalFormatting sqref="C463">
    <cfRule type="expression" dxfId="231" priority="292">
      <formula>$A463="1.2_ATT PV"</formula>
    </cfRule>
  </conditionalFormatting>
  <conditionalFormatting sqref="C463">
    <cfRule type="expression" dxfId="230" priority="291">
      <formula>$A463="1.3_ATT PV REL"</formula>
    </cfRule>
  </conditionalFormatting>
  <conditionalFormatting sqref="C463">
    <cfRule type="expression" dxfId="229" priority="290">
      <formula>$A463="2.1_ATT Devis"</formula>
    </cfRule>
  </conditionalFormatting>
  <conditionalFormatting sqref="C463">
    <cfRule type="expression" dxfId="228" priority="289">
      <formula>$A463="2.3_Reprise SPI Devis"</formula>
    </cfRule>
  </conditionalFormatting>
  <conditionalFormatting sqref="C463">
    <cfRule type="expression" dxfId="227" priority="288">
      <formula>$A463="3.1_REO AU_Travaux en cours"</formula>
    </cfRule>
  </conditionalFormatting>
  <conditionalFormatting sqref="C463">
    <cfRule type="expression" dxfId="226" priority="287">
      <formula>$A463="3.2_REO LO_en attente GEOREF"</formula>
    </cfRule>
  </conditionalFormatting>
  <conditionalFormatting sqref="C463">
    <cfRule type="expression" dxfId="225" priority="286">
      <formula>$A463="3.3_DMS / En attente Factu"</formula>
    </cfRule>
  </conditionalFormatting>
  <conditionalFormatting sqref="C463">
    <cfRule type="expression" dxfId="224" priority="285">
      <formula>$A463="3.4_DMS / CRO envoyé"</formula>
    </cfRule>
  </conditionalFormatting>
  <conditionalFormatting sqref="C463">
    <cfRule type="expression" dxfId="223" priority="284">
      <formula>$A463="3.5_Reprise SPI Factu"</formula>
    </cfRule>
  </conditionalFormatting>
  <conditionalFormatting sqref="C463">
    <cfRule type="expression" dxfId="222" priority="283">
      <formula>$A463="En attente PPD"</formula>
    </cfRule>
  </conditionalFormatting>
  <conditionalFormatting sqref="C463">
    <cfRule type="expression" dxfId="221" priority="282">
      <formula>$A463="5_PPD OK"</formula>
    </cfRule>
  </conditionalFormatting>
  <conditionalFormatting sqref="C463">
    <cfRule type="expression" dxfId="220" priority="280">
      <formula>$A463="2.2_Pas de travaux en att. val. ORANGE."</formula>
    </cfRule>
  </conditionalFormatting>
  <conditionalFormatting sqref="C463">
    <cfRule type="expression" dxfId="219" priority="281">
      <formula>$A463="1.4_ATT PV REL CEFAST"</formula>
    </cfRule>
  </conditionalFormatting>
  <conditionalFormatting sqref="B465">
    <cfRule type="expression" dxfId="218" priority="279">
      <formula>$A465="1.1_VT"</formula>
    </cfRule>
  </conditionalFormatting>
  <conditionalFormatting sqref="B465">
    <cfRule type="expression" dxfId="217" priority="278">
      <formula>$A465="1.2_ATT PV"</formula>
    </cfRule>
  </conditionalFormatting>
  <conditionalFormatting sqref="B465">
    <cfRule type="expression" dxfId="216" priority="277">
      <formula>$A465="1.3_ATT PV REL"</formula>
    </cfRule>
  </conditionalFormatting>
  <conditionalFormatting sqref="B465">
    <cfRule type="expression" dxfId="215" priority="276">
      <formula>$A465="2.1_ATT Devis"</formula>
    </cfRule>
  </conditionalFormatting>
  <conditionalFormatting sqref="B465">
    <cfRule type="expression" dxfId="214" priority="275">
      <formula>$A465="2.3_Reprise SPI Devis"</formula>
    </cfRule>
  </conditionalFormatting>
  <conditionalFormatting sqref="B465">
    <cfRule type="expression" dxfId="213" priority="274">
      <formula>$A465="3.1_REO AU_Travaux en cours"</formula>
    </cfRule>
  </conditionalFormatting>
  <conditionalFormatting sqref="B465">
    <cfRule type="expression" dxfId="212" priority="273">
      <formula>$A465="3.2_REO LO_en attente GEOREF"</formula>
    </cfRule>
  </conditionalFormatting>
  <conditionalFormatting sqref="B465">
    <cfRule type="expression" dxfId="211" priority="272">
      <formula>$A465="3.3_DMS / En attente Factu"</formula>
    </cfRule>
  </conditionalFormatting>
  <conditionalFormatting sqref="B465">
    <cfRule type="expression" dxfId="210" priority="271">
      <formula>$A465="3.4_DMS / CRO envoyé"</formula>
    </cfRule>
  </conditionalFormatting>
  <conditionalFormatting sqref="B465">
    <cfRule type="expression" dxfId="209" priority="270">
      <formula>$A465="3.5_Reprise SPI Factu"</formula>
    </cfRule>
  </conditionalFormatting>
  <conditionalFormatting sqref="B465">
    <cfRule type="expression" dxfId="208" priority="269">
      <formula>$A465="En attente PPD"</formula>
    </cfRule>
  </conditionalFormatting>
  <conditionalFormatting sqref="B465">
    <cfRule type="expression" dxfId="207" priority="268">
      <formula>$A465="5_PPD OK"</formula>
    </cfRule>
  </conditionalFormatting>
  <conditionalFormatting sqref="B465">
    <cfRule type="expression" dxfId="206" priority="266">
      <formula>$A465="2.2_Pas de travaux en att. val. ORANGE."</formula>
    </cfRule>
  </conditionalFormatting>
  <conditionalFormatting sqref="B465">
    <cfRule type="expression" dxfId="205" priority="267">
      <formula>$A465="1.4_ATT PV REL CEFAST"</formula>
    </cfRule>
  </conditionalFormatting>
  <conditionalFormatting sqref="C465">
    <cfRule type="expression" dxfId="204" priority="265">
      <formula>$A464="1.1_VT"</formula>
    </cfRule>
  </conditionalFormatting>
  <conditionalFormatting sqref="C465">
    <cfRule type="expression" dxfId="203" priority="264">
      <formula>$A464="1.2_ATT PV"</formula>
    </cfRule>
  </conditionalFormatting>
  <conditionalFormatting sqref="C465">
    <cfRule type="expression" dxfId="202" priority="263">
      <formula>$A464="1.3_ATT PV REL"</formula>
    </cfRule>
  </conditionalFormatting>
  <conditionalFormatting sqref="C465">
    <cfRule type="expression" dxfId="201" priority="262">
      <formula>$A464="2.1_ATT Devis"</formula>
    </cfRule>
  </conditionalFormatting>
  <conditionalFormatting sqref="C465">
    <cfRule type="expression" dxfId="200" priority="261">
      <formula>$A464="2.3_Reprise SPI Devis"</formula>
    </cfRule>
  </conditionalFormatting>
  <conditionalFormatting sqref="C465">
    <cfRule type="expression" dxfId="199" priority="260">
      <formula>$A464="3.1_REO AU_Travaux en cours"</formula>
    </cfRule>
  </conditionalFormatting>
  <conditionalFormatting sqref="C465">
    <cfRule type="expression" dxfId="198" priority="259">
      <formula>$A464="3.2_REO LO_en attente GEOREF"</formula>
    </cfRule>
  </conditionalFormatting>
  <conditionalFormatting sqref="C465">
    <cfRule type="expression" dxfId="197" priority="258">
      <formula>$A464="3.3_DMS / En attente Factu"</formula>
    </cfRule>
  </conditionalFormatting>
  <conditionalFormatting sqref="C465">
    <cfRule type="expression" dxfId="196" priority="257">
      <formula>$A464="3.4_DMS / CRO envoyé"</formula>
    </cfRule>
  </conditionalFormatting>
  <conditionalFormatting sqref="C465">
    <cfRule type="expression" dxfId="195" priority="256">
      <formula>$A464="3.5_Reprise SPI Factu"</formula>
    </cfRule>
  </conditionalFormatting>
  <conditionalFormatting sqref="C465">
    <cfRule type="expression" dxfId="194" priority="255">
      <formula>$A464="En attente PPD"</formula>
    </cfRule>
  </conditionalFormatting>
  <conditionalFormatting sqref="C465">
    <cfRule type="expression" dxfId="193" priority="254">
      <formula>$A464="5_PPD OK"</formula>
    </cfRule>
  </conditionalFormatting>
  <conditionalFormatting sqref="C465">
    <cfRule type="expression" dxfId="192" priority="252">
      <formula>$A464="2.2_Pas de travaux en att. val. ORANGE."</formula>
    </cfRule>
  </conditionalFormatting>
  <conditionalFormatting sqref="C465">
    <cfRule type="expression" dxfId="191" priority="253">
      <formula>$A464="1.4_ATT PV REL CEFAST"</formula>
    </cfRule>
  </conditionalFormatting>
  <conditionalFormatting sqref="B496:C496">
    <cfRule type="expression" dxfId="190" priority="251">
      <formula>$E496="VT A FAIRE"</formula>
    </cfRule>
  </conditionalFormatting>
  <conditionalFormatting sqref="B496:C496">
    <cfRule type="expression" dxfId="189" priority="236">
      <formula>$E496="RECOL A FAIRE"</formula>
    </cfRule>
  </conditionalFormatting>
  <conditionalFormatting sqref="B496:C496">
    <cfRule type="expression" dxfId="188" priority="237">
      <formula>$E496="ETAT 5"</formula>
    </cfRule>
  </conditionalFormatting>
  <conditionalFormatting sqref="B496:C496">
    <cfRule type="expression" dxfId="187" priority="238">
      <formula>$E496="ATT COMAC/CAPFT"</formula>
    </cfRule>
  </conditionalFormatting>
  <conditionalFormatting sqref="B496:C496">
    <cfRule type="expression" dxfId="186" priority="239">
      <formula>$E496="ATT DTA"</formula>
    </cfRule>
  </conditionalFormatting>
  <conditionalFormatting sqref="B496:C496">
    <cfRule type="expression" dxfId="185" priority="240">
      <formula>$E496="ATT TRVX CLIENT"</formula>
    </cfRule>
  </conditionalFormatting>
  <conditionalFormatting sqref="B496:C496">
    <cfRule type="expression" dxfId="184" priority="241">
      <formula>$E496="POI EN FACTU"</formula>
    </cfRule>
  </conditionalFormatting>
  <conditionalFormatting sqref="B496:C496">
    <cfRule type="expression" dxfId="183" priority="242">
      <formula>$E496="POI EN TRAVAUX"</formula>
    </cfRule>
  </conditionalFormatting>
  <conditionalFormatting sqref="B496:C496">
    <cfRule type="expression" dxfId="182" priority="243">
      <formula>$E496="ATT MAJ SI"</formula>
    </cfRule>
  </conditionalFormatting>
  <conditionalFormatting sqref="B496:C496">
    <cfRule type="expression" dxfId="181" priority="244">
      <formula>$E496="ATT DEVIS CLIENT"</formula>
    </cfRule>
  </conditionalFormatting>
  <conditionalFormatting sqref="B496:C496">
    <cfRule type="expression" dxfId="180" priority="245">
      <formula>$E496="ATT PV"</formula>
    </cfRule>
  </conditionalFormatting>
  <conditionalFormatting sqref="B496:C496">
    <cfRule type="expression" dxfId="179" priority="246">
      <formula>$E496="DOSSIER A MONTER"</formula>
    </cfRule>
  </conditionalFormatting>
  <conditionalFormatting sqref="B496:C496">
    <cfRule type="expression" dxfId="178" priority="247">
      <formula>$E496="DOSSIER A REPRENDRE"</formula>
    </cfRule>
  </conditionalFormatting>
  <conditionalFormatting sqref="B496:C496">
    <cfRule type="expression" dxfId="177" priority="248">
      <formula>$E496="ATT DEVIS ORANGE/RIP"</formula>
    </cfRule>
  </conditionalFormatting>
  <conditionalFormatting sqref="B496:C496">
    <cfRule type="expression" dxfId="176" priority="249">
      <formula>$E496="ATT INFOS CAF REF"</formula>
    </cfRule>
  </conditionalFormatting>
  <conditionalFormatting sqref="B496:C496">
    <cfRule type="expression" dxfId="175" priority="250">
      <formula>$E496="RETOUR VT"</formula>
    </cfRule>
  </conditionalFormatting>
  <conditionalFormatting sqref="B499">
    <cfRule type="expression" dxfId="174" priority="235">
      <formula>$A499="1.1_VT"</formula>
    </cfRule>
  </conditionalFormatting>
  <conditionalFormatting sqref="B499">
    <cfRule type="expression" dxfId="173" priority="234">
      <formula>$A499="1.2_ATT PV"</formula>
    </cfRule>
  </conditionalFormatting>
  <conditionalFormatting sqref="B499">
    <cfRule type="expression" dxfId="172" priority="233">
      <formula>$A499="1.3_ATT PV REL"</formula>
    </cfRule>
  </conditionalFormatting>
  <conditionalFormatting sqref="B499">
    <cfRule type="expression" dxfId="171" priority="232">
      <formula>$A499="2.1_ATT Devis"</formula>
    </cfRule>
  </conditionalFormatting>
  <conditionalFormatting sqref="B499">
    <cfRule type="expression" dxfId="170" priority="231">
      <formula>$A499="2.3_Reprise SPI Devis"</formula>
    </cfRule>
  </conditionalFormatting>
  <conditionalFormatting sqref="B499">
    <cfRule type="expression" dxfId="169" priority="230">
      <formula>$A499="3.1_REO AU_Travaux en cours"</formula>
    </cfRule>
  </conditionalFormatting>
  <conditionalFormatting sqref="B499">
    <cfRule type="expression" dxfId="168" priority="229">
      <formula>$A499="3.2_REO LO_en attente GEOREF"</formula>
    </cfRule>
  </conditionalFormatting>
  <conditionalFormatting sqref="B499">
    <cfRule type="expression" dxfId="167" priority="228">
      <formula>$A499="3.3_DMS / En attente Factu"</formula>
    </cfRule>
  </conditionalFormatting>
  <conditionalFormatting sqref="B499">
    <cfRule type="expression" dxfId="166" priority="227">
      <formula>$A499="3.4_DMS / CRO envoyé"</formula>
    </cfRule>
  </conditionalFormatting>
  <conditionalFormatting sqref="B499">
    <cfRule type="expression" dxfId="165" priority="226">
      <formula>$A499="3.5_Reprise SPI Factu"</formula>
    </cfRule>
  </conditionalFormatting>
  <conditionalFormatting sqref="B499">
    <cfRule type="expression" dxfId="164" priority="225">
      <formula>$A499="En attente PPD"</formula>
    </cfRule>
  </conditionalFormatting>
  <conditionalFormatting sqref="B499">
    <cfRule type="expression" dxfId="163" priority="224">
      <formula>$A499="5_PPD OK"</formula>
    </cfRule>
  </conditionalFormatting>
  <conditionalFormatting sqref="B499">
    <cfRule type="expression" dxfId="162" priority="222">
      <formula>$A499="2.2_Pas de travaux en att. val. ORANGE."</formula>
    </cfRule>
  </conditionalFormatting>
  <conditionalFormatting sqref="B499">
    <cfRule type="expression" dxfId="161" priority="223">
      <formula>$A499="1.4_ATT PV REL CEFAST"</formula>
    </cfRule>
  </conditionalFormatting>
  <conditionalFormatting sqref="B501">
    <cfRule type="expression" dxfId="160" priority="221">
      <formula>$A501="1.1_VT"</formula>
    </cfRule>
  </conditionalFormatting>
  <conditionalFormatting sqref="B501">
    <cfRule type="expression" dxfId="159" priority="220">
      <formula>$A501="1.2_ATT PV"</formula>
    </cfRule>
  </conditionalFormatting>
  <conditionalFormatting sqref="B501">
    <cfRule type="expression" dxfId="158" priority="219">
      <formula>$A501="1.3_ATT PV REL"</formula>
    </cfRule>
  </conditionalFormatting>
  <conditionalFormatting sqref="B501">
    <cfRule type="expression" dxfId="157" priority="218">
      <formula>$A501="2.1_ATT Devis"</formula>
    </cfRule>
  </conditionalFormatting>
  <conditionalFormatting sqref="B501">
    <cfRule type="expression" dxfId="156" priority="217">
      <formula>$A501="2.3_Reprise SPI Devis"</formula>
    </cfRule>
  </conditionalFormatting>
  <conditionalFormatting sqref="B501">
    <cfRule type="expression" dxfId="155" priority="216">
      <formula>$A501="3.1_REO AU_Travaux en cours"</formula>
    </cfRule>
  </conditionalFormatting>
  <conditionalFormatting sqref="B501">
    <cfRule type="expression" dxfId="154" priority="215">
      <formula>$A501="3.2_REO LO_en attente GEOREF"</formula>
    </cfRule>
  </conditionalFormatting>
  <conditionalFormatting sqref="B501">
    <cfRule type="expression" dxfId="153" priority="214">
      <formula>$A501="3.3_DMS / En attente Factu"</formula>
    </cfRule>
  </conditionalFormatting>
  <conditionalFormatting sqref="B501">
    <cfRule type="expression" dxfId="152" priority="213">
      <formula>$A501="3.4_DMS / CRO envoyé"</formula>
    </cfRule>
  </conditionalFormatting>
  <conditionalFormatting sqref="B501">
    <cfRule type="expression" dxfId="151" priority="212">
      <formula>$A501="3.5_Reprise SPI Factu"</formula>
    </cfRule>
  </conditionalFormatting>
  <conditionalFormatting sqref="B501">
    <cfRule type="expression" dxfId="150" priority="211">
      <formula>$A501="En attente PPD"</formula>
    </cfRule>
  </conditionalFormatting>
  <conditionalFormatting sqref="B501">
    <cfRule type="expression" dxfId="149" priority="210">
      <formula>$A501="5_PPD OK"</formula>
    </cfRule>
  </conditionalFormatting>
  <conditionalFormatting sqref="B501">
    <cfRule type="expression" dxfId="148" priority="208">
      <formula>$A501="2.2_Pas de travaux en att. val. ORANGE."</formula>
    </cfRule>
  </conditionalFormatting>
  <conditionalFormatting sqref="B501">
    <cfRule type="expression" dxfId="147" priority="209">
      <formula>$A501="1.4_ATT PV REL CEFAST"</formula>
    </cfRule>
  </conditionalFormatting>
  <conditionalFormatting sqref="C501">
    <cfRule type="expression" dxfId="146" priority="207">
      <formula>$A501="1.1_VT"</formula>
    </cfRule>
  </conditionalFormatting>
  <conditionalFormatting sqref="C501">
    <cfRule type="expression" dxfId="145" priority="206">
      <formula>$A501="1.2_ATT PV"</formula>
    </cfRule>
  </conditionalFormatting>
  <conditionalFormatting sqref="C501">
    <cfRule type="expression" dxfId="144" priority="205">
      <formula>$A501="1.3_ATT PV REL"</formula>
    </cfRule>
  </conditionalFormatting>
  <conditionalFormatting sqref="C501">
    <cfRule type="expression" dxfId="143" priority="204">
      <formula>$A501="2.1_ATT Devis"</formula>
    </cfRule>
  </conditionalFormatting>
  <conditionalFormatting sqref="C501">
    <cfRule type="expression" dxfId="142" priority="203">
      <formula>$A501="2.3_Reprise SPI Devis"</formula>
    </cfRule>
  </conditionalFormatting>
  <conditionalFormatting sqref="C501">
    <cfRule type="expression" dxfId="141" priority="202">
      <formula>$A501="3.1_REO AU_Travaux en cours"</formula>
    </cfRule>
  </conditionalFormatting>
  <conditionalFormatting sqref="C501">
    <cfRule type="expression" dxfId="140" priority="201">
      <formula>$A501="3.2_REO LO_en attente GEOREF"</formula>
    </cfRule>
  </conditionalFormatting>
  <conditionalFormatting sqref="C501">
    <cfRule type="expression" dxfId="139" priority="200">
      <formula>$A501="3.3_DMS / En attente Factu"</formula>
    </cfRule>
  </conditionalFormatting>
  <conditionalFormatting sqref="C501">
    <cfRule type="expression" dxfId="138" priority="199">
      <formula>$A501="3.4_DMS / CRO envoyé"</formula>
    </cfRule>
  </conditionalFormatting>
  <conditionalFormatting sqref="C501">
    <cfRule type="expression" dxfId="137" priority="198">
      <formula>$A501="3.5_Reprise SPI Factu"</formula>
    </cfRule>
  </conditionalFormatting>
  <conditionalFormatting sqref="C501">
    <cfRule type="expression" dxfId="136" priority="197">
      <formula>$A501="En attente PPD"</formula>
    </cfRule>
  </conditionalFormatting>
  <conditionalFormatting sqref="C501">
    <cfRule type="expression" dxfId="135" priority="196">
      <formula>$A501="5_PPD OK"</formula>
    </cfRule>
  </conditionalFormatting>
  <conditionalFormatting sqref="C501">
    <cfRule type="expression" dxfId="134" priority="194">
      <formula>$A501="2.2_Pas de travaux en att. val. ORANGE."</formula>
    </cfRule>
  </conditionalFormatting>
  <conditionalFormatting sqref="C501">
    <cfRule type="expression" dxfId="133" priority="195">
      <formula>$A501="1.4_ATT PV REL CEFAST"</formula>
    </cfRule>
  </conditionalFormatting>
  <conditionalFormatting sqref="B524:C524">
    <cfRule type="expression" dxfId="132" priority="193">
      <formula>$E524="01 VT A FAIRE"</formula>
    </cfRule>
  </conditionalFormatting>
  <conditionalFormatting sqref="B524:C524">
    <cfRule type="expression" dxfId="131" priority="181">
      <formula>$E524="13 ETAT 5"</formula>
    </cfRule>
  </conditionalFormatting>
  <conditionalFormatting sqref="B524:C524">
    <cfRule type="expression" dxfId="130" priority="180">
      <formula>$E524="12 AT MAJ SI"</formula>
    </cfRule>
    <cfRule type="expression" dxfId="129" priority="182">
      <formula>$E524="08 AT COMAC/CAPFT"</formula>
    </cfRule>
  </conditionalFormatting>
  <conditionalFormatting sqref="B524:C524">
    <cfRule type="expression" dxfId="128" priority="183">
      <formula>$E524="11 AT DTA"</formula>
    </cfRule>
  </conditionalFormatting>
  <conditionalFormatting sqref="B524:C524">
    <cfRule type="expression" dxfId="127" priority="184">
      <formula>$E524="07 AT TRVX CLIENT"</formula>
    </cfRule>
  </conditionalFormatting>
  <conditionalFormatting sqref="B524:C524">
    <cfRule type="expression" dxfId="126" priority="185">
      <formula>$E524="15 POI EN FACTU"</formula>
    </cfRule>
  </conditionalFormatting>
  <conditionalFormatting sqref="B524:C524">
    <cfRule type="expression" dxfId="125" priority="186">
      <formula>$E524="14 POI EN TRAVAUX"</formula>
    </cfRule>
  </conditionalFormatting>
  <conditionalFormatting sqref="B524:C524">
    <cfRule type="expression" dxfId="124" priority="187">
      <formula>$E524="10 AT PV"</formula>
    </cfRule>
  </conditionalFormatting>
  <conditionalFormatting sqref="B524:C524">
    <cfRule type="expression" dxfId="123" priority="188">
      <formula>$E524="04 DOSSIER A MONTER"</formula>
    </cfRule>
  </conditionalFormatting>
  <conditionalFormatting sqref="B524:C524">
    <cfRule type="expression" dxfId="122" priority="189">
      <formula>$E524="03 DOSSIER A REPRENDRE"</formula>
    </cfRule>
  </conditionalFormatting>
  <conditionalFormatting sqref="B524:C524">
    <cfRule type="expression" dxfId="121" priority="190">
      <formula>$E524="09 AT DEVIS ORANGE/RIP"</formula>
    </cfRule>
  </conditionalFormatting>
  <conditionalFormatting sqref="B524:C524">
    <cfRule type="expression" dxfId="120" priority="191">
      <formula>$E524="05 AT INFO CAF REF"</formula>
    </cfRule>
  </conditionalFormatting>
  <conditionalFormatting sqref="B524:C524">
    <cfRule type="expression" dxfId="119" priority="192">
      <formula>$E524="02 RETOUR VT"</formula>
    </cfRule>
  </conditionalFormatting>
  <conditionalFormatting sqref="A528">
    <cfRule type="expression" dxfId="118" priority="110">
      <formula>$B528="06 AT MAJ SI"</formula>
    </cfRule>
  </conditionalFormatting>
  <conditionalFormatting sqref="A528">
    <cfRule type="expression" dxfId="117" priority="119">
      <formula>$B528="05 AT PV"</formula>
    </cfRule>
  </conditionalFormatting>
  <conditionalFormatting sqref="A528">
    <cfRule type="expression" dxfId="116" priority="112">
      <formula>$B528="01.2 A REMONTER"</formula>
    </cfRule>
  </conditionalFormatting>
  <conditionalFormatting sqref="A528">
    <cfRule type="expression" dxfId="115" priority="118">
      <formula>$B528="09 POI EN TRAVAUX"</formula>
    </cfRule>
  </conditionalFormatting>
  <conditionalFormatting sqref="A528">
    <cfRule type="expression" dxfId="114" priority="116">
      <formula>$B528="07 AT INFO CAF REF"</formula>
    </cfRule>
  </conditionalFormatting>
  <conditionalFormatting sqref="A528">
    <cfRule type="expression" dxfId="113" priority="115">
      <formula>$B528="04 DOSSIER A MONTER"</formula>
    </cfRule>
  </conditionalFormatting>
  <conditionalFormatting sqref="A528">
    <cfRule type="expression" dxfId="112" priority="117">
      <formula>$B528="08 AT DEVIS ORANGE/RIP"</formula>
    </cfRule>
  </conditionalFormatting>
  <conditionalFormatting sqref="A528">
    <cfRule type="expression" dxfId="111" priority="114">
      <formula>$B528="03 DOSSIER A REPRENDRE"</formula>
    </cfRule>
  </conditionalFormatting>
  <conditionalFormatting sqref="A528">
    <cfRule type="expression" dxfId="110" priority="113">
      <formula>$B528="02 RETOUR VT"</formula>
    </cfRule>
  </conditionalFormatting>
  <conditionalFormatting sqref="A528">
    <cfRule type="expression" dxfId="109" priority="111">
      <formula>$B528="09.1 ATT DOE"</formula>
    </cfRule>
  </conditionalFormatting>
  <conditionalFormatting sqref="A528">
    <cfRule type="expression" dxfId="108" priority="108">
      <formula>$B528="10 POI EN FACTU"</formula>
    </cfRule>
    <cfRule type="expression" dxfId="107" priority="109">
      <formula>$B528="11 RECOL A FAIRE"</formula>
    </cfRule>
  </conditionalFormatting>
  <conditionalFormatting sqref="A528">
    <cfRule type="duplicateValues" dxfId="106" priority="106" stopIfTrue="1"/>
  </conditionalFormatting>
  <conditionalFormatting sqref="A528">
    <cfRule type="expression" dxfId="105" priority="105">
      <formula>$B528="05.2 ATT DT"</formula>
    </cfRule>
    <cfRule type="expression" dxfId="104" priority="107">
      <formula>$B528="05.1 AT DTA"</formula>
    </cfRule>
  </conditionalFormatting>
  <conditionalFormatting sqref="A529">
    <cfRule type="expression" dxfId="103" priority="95">
      <formula>$B529="06 AT MAJ SI"</formula>
    </cfRule>
  </conditionalFormatting>
  <conditionalFormatting sqref="A529">
    <cfRule type="expression" dxfId="102" priority="104">
      <formula>$B529="05 AT PV"</formula>
    </cfRule>
  </conditionalFormatting>
  <conditionalFormatting sqref="A529">
    <cfRule type="expression" dxfId="101" priority="97">
      <formula>$B529="01.2 A REMONTER"</formula>
    </cfRule>
  </conditionalFormatting>
  <conditionalFormatting sqref="A529">
    <cfRule type="expression" dxfId="100" priority="103">
      <formula>$B529="09 POI EN TRAVAUX"</formula>
    </cfRule>
  </conditionalFormatting>
  <conditionalFormatting sqref="A529">
    <cfRule type="expression" dxfId="99" priority="101">
      <formula>$B529="07 AT INFO CAF REF"</formula>
    </cfRule>
  </conditionalFormatting>
  <conditionalFormatting sqref="A529">
    <cfRule type="expression" dxfId="98" priority="100">
      <formula>$B529="04 DOSSIER A MONTER"</formula>
    </cfRule>
  </conditionalFormatting>
  <conditionalFormatting sqref="A529">
    <cfRule type="expression" dxfId="97" priority="102">
      <formula>$B529="08 AT DEVIS ORANGE/RIP"</formula>
    </cfRule>
  </conditionalFormatting>
  <conditionalFormatting sqref="A529">
    <cfRule type="expression" dxfId="96" priority="99">
      <formula>$B529="03 DOSSIER A REPRENDRE"</formula>
    </cfRule>
  </conditionalFormatting>
  <conditionalFormatting sqref="A529">
    <cfRule type="expression" dxfId="95" priority="98">
      <formula>$B529="02 RETOUR VT"</formula>
    </cfRule>
  </conditionalFormatting>
  <conditionalFormatting sqref="A529">
    <cfRule type="expression" dxfId="94" priority="96">
      <formula>$B529="09.1 ATT DOE"</formula>
    </cfRule>
  </conditionalFormatting>
  <conditionalFormatting sqref="A529">
    <cfRule type="expression" dxfId="93" priority="93">
      <formula>$B529="10 POI EN FACTU"</formula>
    </cfRule>
    <cfRule type="expression" dxfId="92" priority="94">
      <formula>$B529="11 RECOL A FAIRE"</formula>
    </cfRule>
  </conditionalFormatting>
  <conditionalFormatting sqref="A529">
    <cfRule type="duplicateValues" dxfId="91" priority="91" stopIfTrue="1"/>
  </conditionalFormatting>
  <conditionalFormatting sqref="A529">
    <cfRule type="expression" dxfId="90" priority="90">
      <formula>$B529="05.2 ATT DT"</formula>
    </cfRule>
    <cfRule type="expression" dxfId="89" priority="92">
      <formula>$B529="05.1 AT DTA"</formula>
    </cfRule>
  </conditionalFormatting>
  <conditionalFormatting sqref="B529">
    <cfRule type="expression" dxfId="88" priority="89">
      <formula>$A529="1.1_VT"</formula>
    </cfRule>
  </conditionalFormatting>
  <conditionalFormatting sqref="B529">
    <cfRule type="expression" dxfId="87" priority="88">
      <formula>$A529="1.2_ATT PV"</formula>
    </cfRule>
  </conditionalFormatting>
  <conditionalFormatting sqref="B529">
    <cfRule type="expression" dxfId="86" priority="87">
      <formula>$A529="1.3_ATT PV REL"</formula>
    </cfRule>
  </conditionalFormatting>
  <conditionalFormatting sqref="B529">
    <cfRule type="expression" dxfId="85" priority="86">
      <formula>$A529="2.1_ATT Devis"</formula>
    </cfRule>
  </conditionalFormatting>
  <conditionalFormatting sqref="B529">
    <cfRule type="expression" dxfId="84" priority="85">
      <formula>$A529="2.3_Reprise SPI Devis"</formula>
    </cfRule>
  </conditionalFormatting>
  <conditionalFormatting sqref="B529">
    <cfRule type="expression" dxfId="83" priority="84">
      <formula>$A529="3.1_REO AU_Travaux en cours"</formula>
    </cfRule>
  </conditionalFormatting>
  <conditionalFormatting sqref="B529">
    <cfRule type="expression" dxfId="82" priority="83">
      <formula>$A529="3.2_REO LO_en attente GEOREF"</formula>
    </cfRule>
  </conditionalFormatting>
  <conditionalFormatting sqref="B529">
    <cfRule type="expression" dxfId="81" priority="82">
      <formula>$A529="3.3_DMS / En attente Factu"</formula>
    </cfRule>
  </conditionalFormatting>
  <conditionalFormatting sqref="B529">
    <cfRule type="expression" dxfId="80" priority="81">
      <formula>$A529="3.4_DMS / CRO envoyé"</formula>
    </cfRule>
  </conditionalFormatting>
  <conditionalFormatting sqref="B529">
    <cfRule type="expression" dxfId="79" priority="80">
      <formula>$A529="3.5_Reprise SPI Factu"</formula>
    </cfRule>
  </conditionalFormatting>
  <conditionalFormatting sqref="B529">
    <cfRule type="expression" dxfId="78" priority="79">
      <formula>$A529="En attente PPD"</formula>
    </cfRule>
  </conditionalFormatting>
  <conditionalFormatting sqref="B529">
    <cfRule type="expression" dxfId="77" priority="78">
      <formula>$A529="5_PPD OK"</formula>
    </cfRule>
  </conditionalFormatting>
  <conditionalFormatting sqref="B529">
    <cfRule type="expression" dxfId="76" priority="76">
      <formula>$A529="2.2_Pas de travaux en att. val. ORANGE."</formula>
    </cfRule>
  </conditionalFormatting>
  <conditionalFormatting sqref="B529">
    <cfRule type="expression" dxfId="75" priority="77">
      <formula>$A529="1.4_ATT PV REL CEFAST"</formula>
    </cfRule>
  </conditionalFormatting>
  <conditionalFormatting sqref="B550">
    <cfRule type="expression" dxfId="74" priority="75">
      <formula>$A550="1.1_VT"</formula>
    </cfRule>
  </conditionalFormatting>
  <conditionalFormatting sqref="B550">
    <cfRule type="expression" dxfId="73" priority="74">
      <formula>$A550="1.2_ATT PV"</formula>
    </cfRule>
  </conditionalFormatting>
  <conditionalFormatting sqref="B550">
    <cfRule type="expression" dxfId="72" priority="73">
      <formula>$A550="1.3_ATT PV REL"</formula>
    </cfRule>
  </conditionalFormatting>
  <conditionalFormatting sqref="B550">
    <cfRule type="expression" dxfId="71" priority="72">
      <formula>$A550="2.1_ATT Devis"</formula>
    </cfRule>
  </conditionalFormatting>
  <conditionalFormatting sqref="B550">
    <cfRule type="expression" dxfId="70" priority="71">
      <formula>$A550="2.3_Reprise SPI Devis"</formula>
    </cfRule>
  </conditionalFormatting>
  <conditionalFormatting sqref="B550">
    <cfRule type="expression" dxfId="69" priority="70">
      <formula>$A550="3.1_REO AU_Travaux en cours"</formula>
    </cfRule>
  </conditionalFormatting>
  <conditionalFormatting sqref="B550">
    <cfRule type="expression" dxfId="68" priority="69">
      <formula>$A550="3.2_REO LO_en attente GEOREF"</formula>
    </cfRule>
  </conditionalFormatting>
  <conditionalFormatting sqref="B550">
    <cfRule type="expression" dxfId="67" priority="68">
      <formula>$A550="3.3_DMS / En attente Factu"</formula>
    </cfRule>
  </conditionalFormatting>
  <conditionalFormatting sqref="B550">
    <cfRule type="expression" dxfId="66" priority="67">
      <formula>$A550="3.4_DMS / CRO envoyé"</formula>
    </cfRule>
  </conditionalFormatting>
  <conditionalFormatting sqref="B550">
    <cfRule type="expression" dxfId="65" priority="66">
      <formula>$A550="3.5_Reprise SPI Factu"</formula>
    </cfRule>
  </conditionalFormatting>
  <conditionalFormatting sqref="B550">
    <cfRule type="expression" dxfId="64" priority="65">
      <formula>$A550="En attente PPD"</formula>
    </cfRule>
  </conditionalFormatting>
  <conditionalFormatting sqref="B550">
    <cfRule type="expression" dxfId="63" priority="64">
      <formula>$A550="5_PPD OK"</formula>
    </cfRule>
  </conditionalFormatting>
  <conditionalFormatting sqref="B550">
    <cfRule type="expression" dxfId="62" priority="62">
      <formula>$A550="2.2_Pas de travaux en att. val. ORANGE."</formula>
    </cfRule>
  </conditionalFormatting>
  <conditionalFormatting sqref="B550">
    <cfRule type="expression" dxfId="61" priority="63">
      <formula>$A550="1.4_ATT PV REL CEFAST"</formula>
    </cfRule>
  </conditionalFormatting>
  <conditionalFormatting sqref="C550">
    <cfRule type="expression" dxfId="60" priority="61">
      <formula>$A550="1.1_VT"</formula>
    </cfRule>
  </conditionalFormatting>
  <conditionalFormatting sqref="C550">
    <cfRule type="expression" dxfId="59" priority="60">
      <formula>$A550="1.2_ATT PV"</formula>
    </cfRule>
  </conditionalFormatting>
  <conditionalFormatting sqref="C550">
    <cfRule type="expression" dxfId="58" priority="59">
      <formula>$A550="1.3_ATT PV REL"</formula>
    </cfRule>
  </conditionalFormatting>
  <conditionalFormatting sqref="C550">
    <cfRule type="expression" dxfId="57" priority="58">
      <formula>$A550="2.1_ATT Devis"</formula>
    </cfRule>
  </conditionalFormatting>
  <conditionalFormatting sqref="C550">
    <cfRule type="expression" dxfId="56" priority="57">
      <formula>$A550="2.3_Reprise SPI Devis"</formula>
    </cfRule>
  </conditionalFormatting>
  <conditionalFormatting sqref="C550">
    <cfRule type="expression" dxfId="55" priority="56">
      <formula>$A550="3.1_REO AU_Travaux en cours"</formula>
    </cfRule>
  </conditionalFormatting>
  <conditionalFormatting sqref="C550">
    <cfRule type="expression" dxfId="54" priority="55">
      <formula>$A550="3.2_REO LO_en attente GEOREF"</formula>
    </cfRule>
  </conditionalFormatting>
  <conditionalFormatting sqref="C550">
    <cfRule type="expression" dxfId="53" priority="54">
      <formula>$A550="3.3_DMS / En attente Factu"</formula>
    </cfRule>
  </conditionalFormatting>
  <conditionalFormatting sqref="C550">
    <cfRule type="expression" dxfId="52" priority="53">
      <formula>$A550="3.4_DMS / CRO envoyé"</formula>
    </cfRule>
  </conditionalFormatting>
  <conditionalFormatting sqref="C550">
    <cfRule type="expression" dxfId="51" priority="52">
      <formula>$A550="3.5_Reprise SPI Factu"</formula>
    </cfRule>
  </conditionalFormatting>
  <conditionalFormatting sqref="C550">
    <cfRule type="expression" dxfId="50" priority="51">
      <formula>$A550="En attente PPD"</formula>
    </cfRule>
  </conditionalFormatting>
  <conditionalFormatting sqref="C550">
    <cfRule type="expression" dxfId="49" priority="50">
      <formula>$A550="5_PPD OK"</formula>
    </cfRule>
  </conditionalFormatting>
  <conditionalFormatting sqref="C550">
    <cfRule type="expression" dxfId="48" priority="48">
      <formula>$A550="2.2_Pas de travaux en att. val. ORANGE."</formula>
    </cfRule>
  </conditionalFormatting>
  <conditionalFormatting sqref="C550">
    <cfRule type="expression" dxfId="47" priority="49">
      <formula>$A550="1.4_ATT PV REL CEFAST"</formula>
    </cfRule>
  </conditionalFormatting>
  <conditionalFormatting sqref="B571">
    <cfRule type="expression" dxfId="46" priority="47">
      <formula>$A571="1.1_VT"</formula>
    </cfRule>
  </conditionalFormatting>
  <conditionalFormatting sqref="B571">
    <cfRule type="expression" dxfId="45" priority="46">
      <formula>$A571="1.2_ATT PV"</formula>
    </cfRule>
  </conditionalFormatting>
  <conditionalFormatting sqref="B571">
    <cfRule type="expression" dxfId="44" priority="45">
      <formula>$A571="1.3_ATT PV REL"</formula>
    </cfRule>
  </conditionalFormatting>
  <conditionalFormatting sqref="B571">
    <cfRule type="expression" dxfId="43" priority="44">
      <formula>$A571="2.1_ATT Devis"</formula>
    </cfRule>
  </conditionalFormatting>
  <conditionalFormatting sqref="B571">
    <cfRule type="expression" dxfId="42" priority="43">
      <formula>$A571="2.3_Reprise SPI Devis"</formula>
    </cfRule>
  </conditionalFormatting>
  <conditionalFormatting sqref="B571">
    <cfRule type="expression" dxfId="41" priority="42">
      <formula>$A571="3.1_REO AU_Travaux en cours"</formula>
    </cfRule>
  </conditionalFormatting>
  <conditionalFormatting sqref="B571">
    <cfRule type="expression" dxfId="40" priority="41">
      <formula>$A571="3.2_REO LO_en attente GEOREF"</formula>
    </cfRule>
  </conditionalFormatting>
  <conditionalFormatting sqref="B571">
    <cfRule type="expression" dxfId="39" priority="40">
      <formula>$A571="3.3_DMS / En attente Factu"</formula>
    </cfRule>
  </conditionalFormatting>
  <conditionalFormatting sqref="B571">
    <cfRule type="expression" dxfId="38" priority="39">
      <formula>$A571="3.4_DMS / CRO envoyé"</formula>
    </cfRule>
  </conditionalFormatting>
  <conditionalFormatting sqref="B571">
    <cfRule type="expression" dxfId="37" priority="38">
      <formula>$A571="3.5_Reprise SPI Factu"</formula>
    </cfRule>
  </conditionalFormatting>
  <conditionalFormatting sqref="B571">
    <cfRule type="expression" dxfId="36" priority="37">
      <formula>$A571="En attente PPD"</formula>
    </cfRule>
  </conditionalFormatting>
  <conditionalFormatting sqref="B571">
    <cfRule type="expression" dxfId="35" priority="36">
      <formula>$A571="5_PPD OK"</formula>
    </cfRule>
  </conditionalFormatting>
  <conditionalFormatting sqref="B571">
    <cfRule type="expression" dxfId="34" priority="34">
      <formula>$A571="2.2_Pas de travaux en att. val. ORANGE."</formula>
    </cfRule>
  </conditionalFormatting>
  <conditionalFormatting sqref="B571">
    <cfRule type="expression" dxfId="33" priority="35">
      <formula>$A571="1.4_ATT PV REL CEFAST"</formula>
    </cfRule>
  </conditionalFormatting>
  <conditionalFormatting sqref="C571">
    <cfRule type="expression" dxfId="32" priority="33">
      <formula>$A571="1.1_VT"</formula>
    </cfRule>
  </conditionalFormatting>
  <conditionalFormatting sqref="C571">
    <cfRule type="expression" dxfId="31" priority="32">
      <formula>$A571="1.2_ATT PV"</formula>
    </cfRule>
  </conditionalFormatting>
  <conditionalFormatting sqref="C571">
    <cfRule type="expression" dxfId="30" priority="31">
      <formula>$A571="1.3_ATT PV REL"</formula>
    </cfRule>
  </conditionalFormatting>
  <conditionalFormatting sqref="C571">
    <cfRule type="expression" dxfId="29" priority="30">
      <formula>$A571="2.1_ATT Devis"</formula>
    </cfRule>
  </conditionalFormatting>
  <conditionalFormatting sqref="C571">
    <cfRule type="expression" dxfId="28" priority="29">
      <formula>$A571="2.3_Reprise SPI Devis"</formula>
    </cfRule>
  </conditionalFormatting>
  <conditionalFormatting sqref="C571">
    <cfRule type="expression" dxfId="27" priority="28">
      <formula>$A571="3.1_REO AU_Travaux en cours"</formula>
    </cfRule>
  </conditionalFormatting>
  <conditionalFormatting sqref="C571">
    <cfRule type="expression" dxfId="26" priority="27">
      <formula>$A571="3.2_REO LO_en attente GEOREF"</formula>
    </cfRule>
  </conditionalFormatting>
  <conditionalFormatting sqref="C571">
    <cfRule type="expression" dxfId="25" priority="26">
      <formula>$A571="3.3_DMS / En attente Factu"</formula>
    </cfRule>
  </conditionalFormatting>
  <conditionalFormatting sqref="C571">
    <cfRule type="expression" dxfId="24" priority="25">
      <formula>$A571="3.4_DMS / CRO envoyé"</formula>
    </cfRule>
  </conditionalFormatting>
  <conditionalFormatting sqref="C571">
    <cfRule type="expression" dxfId="23" priority="24">
      <formula>$A571="3.5_Reprise SPI Factu"</formula>
    </cfRule>
  </conditionalFormatting>
  <conditionalFormatting sqref="C571">
    <cfRule type="expression" dxfId="22" priority="23">
      <formula>$A571="En attente PPD"</formula>
    </cfRule>
  </conditionalFormatting>
  <conditionalFormatting sqref="C571">
    <cfRule type="expression" dxfId="21" priority="22">
      <formula>$A571="5_PPD OK"</formula>
    </cfRule>
  </conditionalFormatting>
  <conditionalFormatting sqref="C571">
    <cfRule type="expression" dxfId="20" priority="20">
      <formula>$A571="2.2_Pas de travaux en att. val. ORANGE."</formula>
    </cfRule>
  </conditionalFormatting>
  <conditionalFormatting sqref="C571">
    <cfRule type="expression" dxfId="19" priority="21">
      <formula>$A571="1.4_ATT PV REL CEFAST"</formula>
    </cfRule>
  </conditionalFormatting>
  <conditionalFormatting sqref="A706">
    <cfRule type="expression" dxfId="18" priority="16">
      <formula>$D706="12 AT MAJ SI"</formula>
    </cfRule>
  </conditionalFormatting>
  <conditionalFormatting sqref="A706">
    <cfRule type="expression" dxfId="17" priority="12">
      <formula>$D706="08 AT COMAC/CAPFT"</formula>
    </cfRule>
  </conditionalFormatting>
  <conditionalFormatting sqref="A706">
    <cfRule type="expression" dxfId="16" priority="10">
      <formula>$D706="06 AT DEVIS CLIENT"</formula>
    </cfRule>
  </conditionalFormatting>
  <conditionalFormatting sqref="A706">
    <cfRule type="expression" dxfId="15" priority="3">
      <formula>$D706="01.2 A REMONTER"</formula>
    </cfRule>
    <cfRule type="expression" dxfId="14" priority="5">
      <formula>$D706="01 VT A FAIRE"</formula>
    </cfRule>
  </conditionalFormatting>
  <conditionalFormatting sqref="A706">
    <cfRule type="expression" dxfId="13" priority="9">
      <formula>$D706="05 AT INFO CAF REF"</formula>
    </cfRule>
  </conditionalFormatting>
  <conditionalFormatting sqref="A706">
    <cfRule type="expression" dxfId="12" priority="15">
      <formula>$D706="11 AT DTA"</formula>
    </cfRule>
  </conditionalFormatting>
  <conditionalFormatting sqref="A706">
    <cfRule type="expression" dxfId="11" priority="11">
      <formula>$D706="07 AT TRVX CLIENT"</formula>
    </cfRule>
  </conditionalFormatting>
  <conditionalFormatting sqref="A706">
    <cfRule type="expression" dxfId="10" priority="14">
      <formula>$D706="10 AT PV"</formula>
    </cfRule>
  </conditionalFormatting>
  <conditionalFormatting sqref="A706">
    <cfRule type="expression" dxfId="9" priority="8">
      <formula>$D706="04 DOSSIER A MONTER"</formula>
    </cfRule>
  </conditionalFormatting>
  <conditionalFormatting sqref="A706">
    <cfRule type="expression" dxfId="8" priority="7">
      <formula>$D706="03 DOSSIER A REPRENDRE"</formula>
    </cfRule>
  </conditionalFormatting>
  <conditionalFormatting sqref="A706">
    <cfRule type="expression" dxfId="7" priority="6">
      <formula>$D706="02 RETOUR VT"</formula>
    </cfRule>
  </conditionalFormatting>
  <conditionalFormatting sqref="A706">
    <cfRule type="expression" dxfId="6" priority="17">
      <formula>$D706="13 ETAT 5"</formula>
    </cfRule>
  </conditionalFormatting>
  <conditionalFormatting sqref="A706">
    <cfRule type="expression" dxfId="5" priority="13">
      <formula>$D706="09 AT DEVIS ORANGE/RIP"</formula>
    </cfRule>
  </conditionalFormatting>
  <conditionalFormatting sqref="A706">
    <cfRule type="expression" dxfId="4" priority="2">
      <formula>$D706="16 DOSSIER PAYE"</formula>
    </cfRule>
    <cfRule type="expression" dxfId="3" priority="19">
      <formula>$D706="15 POI FACTU"</formula>
    </cfRule>
  </conditionalFormatting>
  <conditionalFormatting sqref="A706">
    <cfRule type="expression" dxfId="2" priority="18">
      <formula>$D706="14 POI EN TRAVAUX"</formula>
    </cfRule>
  </conditionalFormatting>
  <conditionalFormatting sqref="A706">
    <cfRule type="expression" dxfId="1" priority="4">
      <formula>$D706="14.1 AT RETOUR DOE"</formula>
    </cfRule>
  </conditionalFormatting>
  <conditionalFormatting sqref="A706">
    <cfRule type="duplicateValues" dxfId="0" priority="1"/>
  </conditionalFormatting>
  <dataValidations count="1">
    <dataValidation allowBlank="1" showInputMessage="1" showErrorMessage="1" sqref="B148 B239 B255 B257 B267 B281 B283:B284 B300 B306 B309:B311 B321:B322 B424 B448:B449 B457 B464 B496 B261 B517:B518 B521:B522 B524 B543:B545 B558:B560 B575 B577 B591 B596:B598 B605 B607 B623 B633 B635 B638 B640 B657 B664 B667 B678:B679" xr:uid="{4BE8AD92-E65C-4791-A06F-8E59A0D30471}"/>
  </dataValidations>
  <hyperlinks>
    <hyperlink ref="A198" r:id="rId1" xr:uid="{6EC779A2-A0E1-4E75-91E6-0B4296F0E008}"/>
    <hyperlink ref="A197" r:id="rId2" xr:uid="{ED4BAB63-87C2-437E-AA1F-C9CC07CAA471}"/>
    <hyperlink ref="A200" r:id="rId3" xr:uid="{0F5610FE-05BB-44CF-A281-AED99710692E}"/>
    <hyperlink ref="A201" r:id="rId4" xr:uid="{FA61F79E-4F9E-4242-8630-BBC9AF4623FD}"/>
    <hyperlink ref="A202" r:id="rId5" xr:uid="{072BA146-06B1-43FF-B679-BDE71AED5DC8}"/>
    <hyperlink ref="A203" r:id="rId6" xr:uid="{81ACC659-56F7-4FD6-8D60-D08303D7CBAD}"/>
    <hyperlink ref="A204" r:id="rId7" xr:uid="{653FEA94-53CE-4FE6-9FD5-8D9F5876AB36}"/>
    <hyperlink ref="A205" r:id="rId8" xr:uid="{7D92FEAB-BF50-4C3D-B2CE-AD1C1B9A0DC9}"/>
    <hyperlink ref="A206" r:id="rId9" xr:uid="{DE222047-568D-4219-97E2-508C72D37E4C}"/>
    <hyperlink ref="A207" r:id="rId10" display="MDM201114" xr:uid="{4DF826DF-63B2-43AE-A899-5DBA0AC3C561}"/>
    <hyperlink ref="A194" r:id="rId11" xr:uid="{AB6BA039-5C82-43C3-96AB-BFDFB5177F72}"/>
    <hyperlink ref="A196" r:id="rId12" xr:uid="{1C2BF073-50B1-4F86-92F3-ED27ABC89357}"/>
    <hyperlink ref="A199" r:id="rId13" xr:uid="{D3155E24-1D97-4E0B-9728-3EC2F601F9A3}"/>
    <hyperlink ref="A187" r:id="rId14" xr:uid="{5FB8C14C-F036-47E6-B74C-BF5510C3750E}"/>
    <hyperlink ref="A195" r:id="rId15" xr:uid="{468848AC-933B-4138-9765-1E8C8DCF9733}"/>
    <hyperlink ref="A209" r:id="rId16" xr:uid="{C2787119-A04E-4BD8-97A7-DF7A879A56B6}"/>
    <hyperlink ref="A210" r:id="rId17" xr:uid="{EDB09F1F-324E-448A-A5B7-0B7192009D9D}"/>
    <hyperlink ref="A193" r:id="rId18" xr:uid="{FDDFCFB5-783F-4EC9-8706-52CE1CB38BD4}"/>
    <hyperlink ref="A211" r:id="rId19" xr:uid="{4AD20978-A905-4B78-B400-A0833A2A4257}"/>
    <hyperlink ref="A212" r:id="rId20" xr:uid="{56923D22-A8E3-437F-909A-8E84C05FDC28}"/>
    <hyperlink ref="A213" r:id="rId21" xr:uid="{BD07AB66-A800-47B2-AC51-FB9267FF7175}"/>
    <hyperlink ref="A214" r:id="rId22" xr:uid="{C9C4E088-1931-4E84-853C-E0D01C933FCF}"/>
    <hyperlink ref="A215" r:id="rId23" xr:uid="{FE29B5E3-2832-4DF6-90BD-F7EC2A964E8C}"/>
    <hyperlink ref="A216" r:id="rId24" xr:uid="{60EA22BA-C5BF-477F-9845-F277F367A614}"/>
    <hyperlink ref="A217" r:id="rId25" xr:uid="{2A357C56-7F40-4760-8093-517AD4E62A7B}"/>
    <hyperlink ref="A218" r:id="rId26" xr:uid="{96C9F41A-A4B6-4590-821F-B48F8D6D9029}"/>
    <hyperlink ref="A219" r:id="rId27" xr:uid="{CD094A5D-558B-4523-9BCB-229BE640D75E}"/>
    <hyperlink ref="A220" r:id="rId28" xr:uid="{E62766A1-562E-4C78-A922-B5AA50139173}"/>
    <hyperlink ref="A221" r:id="rId29" xr:uid="{32BCC897-92E9-4869-8FFB-F5F28CB589B1}"/>
    <hyperlink ref="A223" r:id="rId30" xr:uid="{92CD1A46-A7BB-48F3-8C07-4769E8BF91CD}"/>
    <hyperlink ref="A224" r:id="rId31" xr:uid="{AD63BA25-0DE9-44E6-88BC-3907F25CEADA}"/>
    <hyperlink ref="A225" r:id="rId32" xr:uid="{03D34F32-FBCE-4B66-921E-7A7A9B0F2361}"/>
    <hyperlink ref="A189" r:id="rId33" xr:uid="{143B6626-1D89-4A99-8119-707F4DA70D42}"/>
    <hyperlink ref="A226" r:id="rId34" xr:uid="{D552AB5A-5EAC-45FD-97B4-42CF93D85D34}"/>
    <hyperlink ref="A227" r:id="rId35" xr:uid="{A1C38EEB-E3A0-42FB-9FE9-E26CC7D9978F}"/>
    <hyperlink ref="A228" r:id="rId36" xr:uid="{0C10D975-F11C-40FE-A467-FDFBDD5452B9}"/>
    <hyperlink ref="A230" r:id="rId37" xr:uid="{6D848B1B-5810-40FE-9457-AA5E4986CB44}"/>
    <hyperlink ref="A208" r:id="rId38" xr:uid="{0784951A-2213-451A-A2E4-89DD1F0AE03D}"/>
    <hyperlink ref="A229" r:id="rId39" xr:uid="{618EBB05-B9D4-4BAA-9F7C-188913E40D49}"/>
    <hyperlink ref="A231" r:id="rId40" xr:uid="{973D1A0E-0A9D-4D15-AFD7-3C1937643B52}"/>
    <hyperlink ref="A232" r:id="rId41" xr:uid="{82D65357-2F57-4F66-AF23-594113AF63A2}"/>
    <hyperlink ref="A233" r:id="rId42" xr:uid="{28637FA2-D93D-4406-92EE-01B8EDECA48C}"/>
    <hyperlink ref="A234" r:id="rId43" xr:uid="{CE455446-95EF-4971-86DE-073A9874D72E}"/>
    <hyperlink ref="A235" r:id="rId44" xr:uid="{C2C3269F-C2B5-4E06-A0BB-2E96C32598BC}"/>
    <hyperlink ref="A236" r:id="rId45" xr:uid="{32F4E015-9F0C-4505-B048-DC3406305034}"/>
    <hyperlink ref="A237" r:id="rId46" xr:uid="{0D813181-D10E-4C71-9894-3FD5DE75612E}"/>
    <hyperlink ref="A238" r:id="rId47" xr:uid="{251304A2-B47A-46F5-BE4E-F10CDF87DC7E}"/>
    <hyperlink ref="A239" r:id="rId48" xr:uid="{25A66DC4-C645-4B78-8CE7-1DF89F9BA4B7}"/>
    <hyperlink ref="A240" r:id="rId49" xr:uid="{655B1CC1-0F66-4221-B806-B18969536387}"/>
    <hyperlink ref="A241" r:id="rId50" xr:uid="{29AAA553-1B83-4A42-A325-621349166311}"/>
    <hyperlink ref="A242" r:id="rId51" xr:uid="{67050CDB-5F6D-489B-85A5-11F7274B0E3C}"/>
    <hyperlink ref="A243" r:id="rId52" xr:uid="{2AD70497-E6D2-42B4-9F07-045714644BB2}"/>
    <hyperlink ref="A244" r:id="rId53" xr:uid="{321E2FB5-3D30-4FDE-BA4B-D101949BD6D1}"/>
    <hyperlink ref="A245" r:id="rId54" xr:uid="{B0E62412-6AF5-4E5A-BEDE-1F75F6029422}"/>
    <hyperlink ref="A246" r:id="rId55" xr:uid="{7F1ABFE9-3F37-4A79-A35E-1D357DA91848}"/>
    <hyperlink ref="A247" r:id="rId56" xr:uid="{C20F580B-D8D5-4759-8434-BD06A4855328}"/>
    <hyperlink ref="A248" r:id="rId57" xr:uid="{D0DBB8B5-4B4C-4101-BF9C-D9CFEAE0D1A2}"/>
    <hyperlink ref="A249" r:id="rId58" xr:uid="{89FE3420-DE0B-4B84-8938-D180380DCBA8}"/>
    <hyperlink ref="A250" r:id="rId59" xr:uid="{9A85E0B1-EF03-4677-A160-CE79FFC67ECD}"/>
    <hyperlink ref="A252" r:id="rId60" xr:uid="{E5AC2DE5-8D1D-4817-8249-B529E26BFB81}"/>
    <hyperlink ref="A254" r:id="rId61" xr:uid="{03671BCC-91AC-4ED2-AE1E-F76EB12FAE06}"/>
    <hyperlink ref="A253" r:id="rId62" xr:uid="{89AD3070-BD40-45B0-A954-7CE777739A73}"/>
    <hyperlink ref="A255" r:id="rId63" xr:uid="{6AC62FEF-2CE4-48E0-B73F-6FF865864D04}"/>
    <hyperlink ref="A256" r:id="rId64" xr:uid="{B292ECD4-D40C-4B56-B513-CC01042098E0}"/>
    <hyperlink ref="A257" r:id="rId65" xr:uid="{5F0BDFE9-8CBC-4ECA-BA6F-3905D6665C4A}"/>
    <hyperlink ref="A258" r:id="rId66" xr:uid="{451C3D29-8E1C-4872-9768-F89A975F36C8}"/>
    <hyperlink ref="A259" r:id="rId67" xr:uid="{0086B98D-7AC0-4427-B6F3-4326E8CE2AC1}"/>
    <hyperlink ref="A251" r:id="rId68" xr:uid="{7482CE21-0A5F-4460-83ED-91174E64D718}"/>
    <hyperlink ref="A260" r:id="rId69" xr:uid="{DEF515FC-72B1-432F-B773-D96C4DE25F4F}"/>
    <hyperlink ref="A261" r:id="rId70" xr:uid="{27BC51E4-95A6-40F6-BFF3-01E0BE00923D}"/>
    <hyperlink ref="A262" r:id="rId71" xr:uid="{91EA9165-19F8-4746-872B-8D76D3B062D3}"/>
    <hyperlink ref="A263" r:id="rId72" xr:uid="{8F99CFAE-0378-405B-BD50-6C4A6E636007}"/>
    <hyperlink ref="A265" r:id="rId73" xr:uid="{2E83E27A-5990-40A2-950E-06BB44456840}"/>
    <hyperlink ref="A264" r:id="rId74" xr:uid="{C83A167A-74DC-4E19-90F4-1C0398F5E77B}"/>
    <hyperlink ref="A266" r:id="rId75" xr:uid="{3C0D6A21-2DF6-426B-8077-CA63EF74AAFF}"/>
    <hyperlink ref="A267" r:id="rId76" xr:uid="{801FB1FA-D225-4915-B9B6-1C0AF10C2AC1}"/>
    <hyperlink ref="A269" r:id="rId77" xr:uid="{1A4A775E-DC5F-4A85-94A3-AC29B6D33237}"/>
    <hyperlink ref="A270" r:id="rId78" xr:uid="{061D6640-A876-4DA3-8CE1-3E3BE6F45F1B}"/>
    <hyperlink ref="A271" r:id="rId79" xr:uid="{416AAF92-7932-4A17-8E4C-91351833DF14}"/>
    <hyperlink ref="A272" r:id="rId80" xr:uid="{580A11DB-DA6B-46AF-AE19-AC0C2088C825}"/>
    <hyperlink ref="A273" r:id="rId81" xr:uid="{B44B511F-D80A-442F-8DCE-62A13C5B8848}"/>
    <hyperlink ref="A274" r:id="rId82" xr:uid="{8490C6F7-19B8-482B-B8E7-055BAFB3AE91}"/>
    <hyperlink ref="A276" r:id="rId83" xr:uid="{1E496F07-5BE4-486C-A6A4-71DF8EC939C2}"/>
    <hyperlink ref="A277" r:id="rId84" xr:uid="{E0949315-C8F2-4D77-997F-945D038D3B93}"/>
    <hyperlink ref="A268" r:id="rId85" xr:uid="{95A10C59-BCAE-402C-922F-FDDD80A0E8FB}"/>
    <hyperlink ref="A222" r:id="rId86" xr:uid="{6796E4A4-AF87-436C-9F67-ECA3894FE90F}"/>
    <hyperlink ref="A279" r:id="rId87" xr:uid="{63D47464-82B1-42AF-B7D1-232C1D5FDA04}"/>
    <hyperlink ref="A278" r:id="rId88" xr:uid="{4EB4979E-5FDF-4400-B4CD-962A86345F71}"/>
    <hyperlink ref="A281" r:id="rId89" xr:uid="{BB9C7943-62C3-429D-8DCC-3B6E0B82930B}"/>
    <hyperlink ref="A282" r:id="rId90" xr:uid="{72FE8E7E-1544-4F26-8FB2-0C379A9734CF}"/>
    <hyperlink ref="A280" r:id="rId91" xr:uid="{DF85A948-A585-42FE-90D9-140D4BC8139A}"/>
    <hyperlink ref="A287" r:id="rId92" xr:uid="{932BAAE9-9394-4664-A24F-DE19A0C2DA8A}"/>
    <hyperlink ref="A283" r:id="rId93" xr:uid="{3A0FEC31-71E2-4F04-9948-2CEE83F89D74}"/>
    <hyperlink ref="A284" r:id="rId94" xr:uid="{DF13CA5C-67EA-48CF-B080-77AEEED02E6E}"/>
    <hyperlink ref="A285" r:id="rId95" xr:uid="{59152B8D-2FD0-4E35-8BE5-4C61CA275A9C}"/>
    <hyperlink ref="A286" r:id="rId96" xr:uid="{F72CC0B0-BE1B-49AE-BEB0-30D8CF0C112E}"/>
    <hyperlink ref="A275" r:id="rId97" xr:uid="{C3BB6FDD-8B00-40A5-86D7-533541C4565E}"/>
    <hyperlink ref="A289" r:id="rId98" xr:uid="{59A6D7E8-6D85-46D8-9D28-68D1932ABC9B}"/>
    <hyperlink ref="A290" r:id="rId99" xr:uid="{CAD08057-9701-4A18-A2FE-F30AD28E8330}"/>
    <hyperlink ref="A288" r:id="rId100" xr:uid="{72F6CC30-C961-471B-90B8-3ABA62195D90}"/>
    <hyperlink ref="A292" r:id="rId101" xr:uid="{6F65150D-9642-4414-BE0A-DB6B74075247}"/>
    <hyperlink ref="A291" r:id="rId102" xr:uid="{EA4EC5C0-9B19-4D1B-8783-BD8CA1BE6940}"/>
    <hyperlink ref="A293" r:id="rId103" xr:uid="{3DED0110-21D2-4A75-935E-274E2CF7EA86}"/>
    <hyperlink ref="A294" r:id="rId104" xr:uid="{3FADD12D-4DBD-4280-8E26-DEC4BBB85B07}"/>
    <hyperlink ref="A295" r:id="rId105" xr:uid="{34013298-21B2-404B-AD8D-4075F8B55C98}"/>
    <hyperlink ref="A297" r:id="rId106" xr:uid="{0CFD2090-2B31-4EAE-988D-03D4285F5666}"/>
    <hyperlink ref="A296" r:id="rId107" xr:uid="{B648647A-57EC-499E-AE28-69362981ACDD}"/>
    <hyperlink ref="A298" r:id="rId108" xr:uid="{96801A4E-D4A3-46E9-9837-3A49D6F289B1}"/>
    <hyperlink ref="A299" r:id="rId109" xr:uid="{13A06B25-E8D7-42E9-B0C6-341B72A1C57F}"/>
    <hyperlink ref="A300" r:id="rId110" xr:uid="{27EE2B4D-DE4C-4887-8558-013FCCAF0E5C}"/>
    <hyperlink ref="A301" r:id="rId111" xr:uid="{51600DF4-7EEB-4E94-B719-F281EC95D11E}"/>
    <hyperlink ref="A302" r:id="rId112" xr:uid="{A2AA7094-47E3-4DC2-B8FC-126C598A86ED}"/>
    <hyperlink ref="A303" r:id="rId113" xr:uid="{FCBD4FF9-51D6-460C-97D2-2C5BB0FC810D}"/>
    <hyperlink ref="A304" r:id="rId114" xr:uid="{09099163-3309-4BA8-A8DA-3EC1C3784134}"/>
    <hyperlink ref="A305" r:id="rId115" xr:uid="{8728F708-741A-4CB5-906D-C4DE1214E5AD}"/>
    <hyperlink ref="A306" r:id="rId116" xr:uid="{8D1856AF-0472-4F89-A689-BA3D5B2CA70F}"/>
    <hyperlink ref="A307" r:id="rId117" xr:uid="{2EA5A286-DAB6-4AD4-B34D-A8F7138E9D14}"/>
    <hyperlink ref="A308" r:id="rId118" xr:uid="{6CD9D934-934A-421B-AFBC-45BCB5231C1D}"/>
    <hyperlink ref="A309" r:id="rId119" xr:uid="{B734F802-B10D-4480-BA95-BFCC2BA77B8A}"/>
    <hyperlink ref="A310" r:id="rId120" xr:uid="{6E218DF3-C55D-4332-889D-05EA1BA7F005}"/>
    <hyperlink ref="A311" r:id="rId121" xr:uid="{BB480254-D382-439A-89BE-B2C2A93E5913}"/>
    <hyperlink ref="A313" r:id="rId122" xr:uid="{6EB6A868-6CF2-42DF-8982-80725C483A74}"/>
    <hyperlink ref="A312" r:id="rId123" xr:uid="{D307033C-271A-4999-A543-02169F3F004D}"/>
    <hyperlink ref="A314" r:id="rId124" display="IMI-VA-40123-01L0-1" xr:uid="{76AB3560-48EA-444C-9FB6-FD67C04B17B1}"/>
    <hyperlink ref="A315" r:id="rId125" xr:uid="{A2B82CFC-6656-409D-9FBC-B7188ABFDE1A}"/>
    <hyperlink ref="A317" r:id="rId126" xr:uid="{DBBCE37F-F663-4B2F-8ECF-DE9C2D9ABCD8}"/>
    <hyperlink ref="A318" r:id="rId127" xr:uid="{7C5C8B4A-EC53-4DFD-B8C1-02B61E36F386}"/>
    <hyperlink ref="A316" r:id="rId128" xr:uid="{F45CAE58-DE01-49F3-8B09-D98A860BEDCB}"/>
    <hyperlink ref="A319" r:id="rId129" xr:uid="{6C30F31F-9801-4AF5-BAFC-4DDB6F5ECF4F}"/>
    <hyperlink ref="A320" r:id="rId130" xr:uid="{C0C53B0E-8630-49C2-A1CF-AD0EB54A595A}"/>
    <hyperlink ref="A325" r:id="rId131" xr:uid="{11AE5E61-0713-4CBC-AB4E-BA04437A8E4D}"/>
    <hyperlink ref="A326" r:id="rId132" xr:uid="{5DB1B504-DA98-4ADC-B4C2-DE25CC5D0ECD}"/>
    <hyperlink ref="A321" r:id="rId133" xr:uid="{F35C7F9D-A18D-4218-A229-615D3FCC4A2F}"/>
    <hyperlink ref="A322" r:id="rId134" xr:uid="{B0C62D2C-C876-4F69-8CBE-69B246256DBC}"/>
    <hyperlink ref="A323" r:id="rId135" xr:uid="{986B3D59-B9C3-4C62-8589-6E756DBBE5BD}"/>
    <hyperlink ref="A324" r:id="rId136" xr:uid="{0AD0221F-E5CC-4B60-BAAF-886CD384DDCE}"/>
    <hyperlink ref="A327" r:id="rId137" xr:uid="{141752A7-24B9-4820-B5D8-AC5162899B82}"/>
    <hyperlink ref="A330" r:id="rId138" xr:uid="{1B547C69-1B26-424C-99A2-6A99732F3395}"/>
    <hyperlink ref="A331" r:id="rId139" xr:uid="{0007E1CB-CA3E-4E5A-85D3-2AAB1AF6F0B6}"/>
    <hyperlink ref="A332" r:id="rId140" xr:uid="{CF686484-BAC6-4A67-ADF3-E7C161EAD03F}"/>
    <hyperlink ref="A328" r:id="rId141" xr:uid="{AB644E42-A948-43DA-AB71-67B52A644152}"/>
    <hyperlink ref="A333" r:id="rId142" xr:uid="{21B40A8B-D7CA-4F9F-8A63-DBE969C6401F}"/>
    <hyperlink ref="A334" r:id="rId143" xr:uid="{8F043C8A-3A06-418C-BE6A-53F85129DBCA}"/>
    <hyperlink ref="A335" r:id="rId144" xr:uid="{C90B875E-251A-40F9-9910-B26AD1E9AFCE}"/>
    <hyperlink ref="A336" r:id="rId145" xr:uid="{672D6F06-ED13-455D-8F21-FCAE8F569FFC}"/>
    <hyperlink ref="A337" r:id="rId146" xr:uid="{E20742B6-98DB-4ECF-B4E5-53F5344A9D14}"/>
    <hyperlink ref="A338" r:id="rId147" xr:uid="{A84BF916-A080-4DEF-A06F-FB5000F8879A}"/>
    <hyperlink ref="A341" r:id="rId148" xr:uid="{2544ED1B-F54C-4E53-A578-137C62D543D5}"/>
    <hyperlink ref="A339" r:id="rId149" xr:uid="{2E29BAD1-EB8F-4897-BA92-C4B7EE342931}"/>
    <hyperlink ref="A342" r:id="rId150" xr:uid="{5890161C-5C29-4A28-A2EA-660D56443A5A}"/>
    <hyperlink ref="A340" r:id="rId151" xr:uid="{4B3DD5D2-BB54-4D0B-8F43-146F469B62E0}"/>
    <hyperlink ref="A343" r:id="rId152" xr:uid="{CE73C547-6B13-499C-80C9-B47E90773E54}"/>
    <hyperlink ref="A344" r:id="rId153" xr:uid="{84272BF0-259B-4F1C-A59E-BD697DF9B375}"/>
    <hyperlink ref="A346" r:id="rId154" xr:uid="{EF84C525-64B5-48EB-9929-083D9CA157C2}"/>
    <hyperlink ref="A345" r:id="rId155" xr:uid="{E7C7AE96-4E69-4322-91CD-5B732474287F}"/>
    <hyperlink ref="A347" r:id="rId156" xr:uid="{BC0880DC-E8BF-4C3A-905B-F4620F243D59}"/>
    <hyperlink ref="A348" r:id="rId157" xr:uid="{EBD2C050-586A-4DFB-B32F-4ADE83DC08E2}"/>
    <hyperlink ref="A349" r:id="rId158" xr:uid="{6F3B86D1-8A2F-4662-ADC2-78FA097A3D86}"/>
    <hyperlink ref="A350" r:id="rId159" xr:uid="{7678D546-62D6-4CD5-82D2-3770F5CD6B48}"/>
    <hyperlink ref="A351" r:id="rId160" xr:uid="{568E6D20-6C80-4C6C-B326-DB762E13CEC9}"/>
    <hyperlink ref="A352" r:id="rId161" xr:uid="{62081F47-3470-422D-B9F8-11C2E8C03D1A}"/>
    <hyperlink ref="A353" r:id="rId162" xr:uid="{D7FC4FB6-8D01-4B84-B834-FE3E0B93E285}"/>
    <hyperlink ref="A354" r:id="rId163" xr:uid="{EE4DF9AC-7D8B-4DA6-9B3B-74D450E1E905}"/>
    <hyperlink ref="A355" r:id="rId164" xr:uid="{41B3F1D3-0E0E-4C48-8C76-925524B58EE6}"/>
    <hyperlink ref="A356" r:id="rId165" xr:uid="{AD99BFF7-9128-4D31-9877-24DF62772889}"/>
    <hyperlink ref="A357" r:id="rId166" xr:uid="{F2EF3C3A-78BA-4827-9DF7-A0030FE31C89}"/>
    <hyperlink ref="A358" r:id="rId167" xr:uid="{06AC0700-CD65-4387-B68C-8DC9984CA47D}"/>
    <hyperlink ref="A359" r:id="rId168" xr:uid="{F7638DD1-725C-4C24-8677-64F09AEF81E8}"/>
    <hyperlink ref="A360" r:id="rId169" xr:uid="{D442D880-8433-45E6-BDFA-590410B3E810}"/>
    <hyperlink ref="A361" r:id="rId170" xr:uid="{EF9BB326-0534-4632-A3FC-1A6CA22BE0F4}"/>
    <hyperlink ref="A362" r:id="rId171" xr:uid="{B2269A11-A639-46D0-AAC8-E974E313DFFF}"/>
    <hyperlink ref="A363" r:id="rId172" xr:uid="{B60B8795-F3E1-401B-A0F6-4C28E4B5B10C}"/>
    <hyperlink ref="A364" r:id="rId173" xr:uid="{1BDA14FA-D7F9-474D-AE80-81EEF7CB490D}"/>
    <hyperlink ref="A366" r:id="rId174" xr:uid="{40A2FA9B-2152-4958-A37A-C7FBB0F2F797}"/>
    <hyperlink ref="A368" r:id="rId175" xr:uid="{B6770E7B-3B88-429E-AB57-A491E20CA474}"/>
    <hyperlink ref="A369" r:id="rId176" xr:uid="{0F606F9D-319F-4AFF-8DA7-5A8C47A63A1C}"/>
    <hyperlink ref="A370" r:id="rId177" xr:uid="{3E1B98D8-FE43-469A-9B96-64DB2D717EF6}"/>
    <hyperlink ref="A371" r:id="rId178" xr:uid="{92D27F90-49F9-4029-BAEB-3FC3C7F73F45}"/>
    <hyperlink ref="A372" r:id="rId179" xr:uid="{83A7708C-690E-4713-9D50-A0CA1F48E3D2}"/>
    <hyperlink ref="A373" r:id="rId180" xr:uid="{CA3E6CAE-E3AE-4AD4-9433-CAA2E8E03B6A}"/>
    <hyperlink ref="A374" r:id="rId181" xr:uid="{72EFED4C-B06C-43B5-8E1D-B1CCCE7E8878}"/>
    <hyperlink ref="A375" r:id="rId182" xr:uid="{3004EBB0-B7DE-484E-ADED-4F664E8AC9B4}"/>
    <hyperlink ref="A376" r:id="rId183" xr:uid="{21E19D24-27D7-456D-8FCF-96F8D02F5589}"/>
    <hyperlink ref="A377" r:id="rId184" xr:uid="{B6A61595-C956-4938-9A80-4892DB10309D}"/>
    <hyperlink ref="A379" r:id="rId185" xr:uid="{E394481D-263A-4C80-95C2-2CC0808037C1}"/>
    <hyperlink ref="A365" r:id="rId186" xr:uid="{22385BE0-452B-43D4-A8FA-2B4830AD81EB}"/>
    <hyperlink ref="A367" r:id="rId187" xr:uid="{056E258D-908B-499F-BB6E-ABEFDD6AB7A4}"/>
    <hyperlink ref="A380" r:id="rId188" xr:uid="{29FEF575-7C97-439C-A4C8-949AE0FA8B09}"/>
    <hyperlink ref="A329" r:id="rId189" xr:uid="{A0B2A545-50F6-4246-ADA4-15BD65063A5A}"/>
    <hyperlink ref="A378" r:id="rId190" xr:uid="{18F3DDD4-9B44-4F4A-A24D-AF5E1DEA4435}"/>
    <hyperlink ref="A381" r:id="rId191" xr:uid="{D51E4885-9BE9-417E-BCBC-91663781A6D9}"/>
    <hyperlink ref="A382" r:id="rId192" xr:uid="{1495630A-E8C4-496A-A7ED-BD4D9E813C8A}"/>
    <hyperlink ref="A383" r:id="rId193" xr:uid="{0609991C-BB4C-4F9E-A07A-ED0E6BFD688E}"/>
    <hyperlink ref="A384" r:id="rId194" xr:uid="{07C82714-15DB-475C-ACB9-FB4FECFA3799}"/>
    <hyperlink ref="A385" r:id="rId195" xr:uid="{298BFB44-CE28-47F6-9429-117F954F02B4}"/>
    <hyperlink ref="A386" r:id="rId196" xr:uid="{6324B0A7-17B5-4AEC-BE71-6707D20DE5CF}"/>
    <hyperlink ref="A387" r:id="rId197" xr:uid="{A84957A3-690E-4537-AFED-2408E0250477}"/>
    <hyperlink ref="A388" r:id="rId198" xr:uid="{6416703D-647E-4E31-93FB-05F1CA5FAF38}"/>
    <hyperlink ref="A389" r:id="rId199" xr:uid="{F852594D-EFDE-4997-A57D-7570A80E7443}"/>
    <hyperlink ref="A390" r:id="rId200" xr:uid="{95CB5DEB-86A1-42D7-BE8E-0B9AEF632B0A}"/>
    <hyperlink ref="A391" r:id="rId201" xr:uid="{95C6667D-C73D-4AE6-8992-D881CD47E2C6}"/>
    <hyperlink ref="A392" r:id="rId202" xr:uid="{30A19D73-0407-4536-9649-34DA0C29CC6F}"/>
    <hyperlink ref="A393" r:id="rId203" xr:uid="{514FCE57-6C46-4C40-A2FA-B8365B938DA5}"/>
    <hyperlink ref="A394" r:id="rId204" xr:uid="{55F138D1-F750-464C-A7C6-B95EB76215F7}"/>
    <hyperlink ref="A395" r:id="rId205" xr:uid="{81F39DA8-655D-4C61-B506-FE0D052521C6}"/>
    <hyperlink ref="A396" r:id="rId206" xr:uid="{A00CA5E6-7B92-4148-BA93-94E128A31B60}"/>
    <hyperlink ref="A397" r:id="rId207" xr:uid="{A89E31F1-21D8-4787-B121-313F496F87F5}"/>
    <hyperlink ref="A398" r:id="rId208" xr:uid="{D92FF684-EBF5-4745-8CD7-C977B5437154}"/>
    <hyperlink ref="A399" r:id="rId209" xr:uid="{F5630322-369E-46FE-BCEF-2F023E39FE7A}"/>
    <hyperlink ref="A400" r:id="rId210" xr:uid="{7B900033-255D-4AB1-BBE8-CC630DAFBDF1}"/>
    <hyperlink ref="A401" r:id="rId211" xr:uid="{4E78EEF1-6B57-439B-9C2A-DEAEE13B7DDA}"/>
    <hyperlink ref="A402" r:id="rId212" xr:uid="{57E33293-8A70-41AD-AC9A-7D90C0328F5E}"/>
    <hyperlink ref="A403" r:id="rId213" xr:uid="{D8940CF1-4BD1-4219-9C8F-B5469C370B05}"/>
    <hyperlink ref="A404" r:id="rId214" xr:uid="{6FACEC09-29F5-487A-817F-BC7A7CA29728}"/>
    <hyperlink ref="A405" r:id="rId215" xr:uid="{9C56FFE6-2E4E-403F-A654-AC142C4EB0A5}"/>
    <hyperlink ref="A406" r:id="rId216" xr:uid="{D2F03320-A06A-4541-A292-48F7ABFE150F}"/>
    <hyperlink ref="A407" r:id="rId217" xr:uid="{88EDEAFE-197E-4542-B13E-5DD7F2F76DFF}"/>
    <hyperlink ref="A408" r:id="rId218" xr:uid="{6AF7A303-73E3-4921-AB86-60387C0EBD8C}"/>
    <hyperlink ref="A409" r:id="rId219" xr:uid="{CE32C751-2A4A-4C1F-A7F9-830182142BF3}"/>
    <hyperlink ref="A410" r:id="rId220" xr:uid="{4FC7B279-F0D1-4475-A209-BF530CAD2B20}"/>
    <hyperlink ref="A411" r:id="rId221" xr:uid="{F9195F06-A8DE-40B0-BC71-D29A6F48D2FF}"/>
    <hyperlink ref="A412" r:id="rId222" xr:uid="{A82AE653-40BF-402A-BC8C-6E4FFE1EAF1F}"/>
    <hyperlink ref="A413" r:id="rId223" xr:uid="{A39FD972-66FA-43C9-8087-4C9737E42BFF}"/>
    <hyperlink ref="A414" r:id="rId224" xr:uid="{4B3D09FB-CAA6-4D67-9F23-71A712B8290C}"/>
    <hyperlink ref="A416" r:id="rId225" xr:uid="{59843CBA-C2C7-4FDA-A0A8-A1DFBE14D8D8}"/>
    <hyperlink ref="A415" r:id="rId226" xr:uid="{7D4CCE5F-1D43-4F8D-84BA-1C305B10E420}"/>
    <hyperlink ref="A417" r:id="rId227" xr:uid="{2422EEA7-2643-4A7A-8FE4-35EE480B8534}"/>
    <hyperlink ref="A418" r:id="rId228" xr:uid="{ABF3AA42-F1A6-4E52-8A38-1E3DC5C91E90}"/>
    <hyperlink ref="A420" r:id="rId229" xr:uid="{6C865AFD-80EE-4774-9343-AA225366B007}"/>
    <hyperlink ref="A421" r:id="rId230" xr:uid="{6C530B4E-369B-43EB-A557-DDCA281D04D2}"/>
    <hyperlink ref="A419" r:id="rId231" xr:uid="{E943851F-8545-4D47-8AF3-59C6D33BCA71}"/>
    <hyperlink ref="A423" r:id="rId232" xr:uid="{250358F6-978E-4200-84AA-2A073AB24AE0}"/>
    <hyperlink ref="A422" r:id="rId233" xr:uid="{80ED6DA5-05B5-44CA-9BE4-E2666FC40305}"/>
    <hyperlink ref="A424" r:id="rId234" xr:uid="{AF1DC914-AC80-40D1-B27C-9828B72E220C}"/>
    <hyperlink ref="A425" r:id="rId235" xr:uid="{D7387BA7-23B9-4A1E-BD31-8691EEC3886A}"/>
    <hyperlink ref="A426" r:id="rId236" xr:uid="{7074140D-8B84-422D-A321-EDC9FE0326C0}"/>
    <hyperlink ref="A427" r:id="rId237" xr:uid="{E7B24084-FDC7-401C-84AB-433B4BF13188}"/>
    <hyperlink ref="A428" r:id="rId238" xr:uid="{F7DA7111-A3A3-4D21-9DE6-2D6848CF8A44}"/>
    <hyperlink ref="A429" r:id="rId239" xr:uid="{D902CE0C-42DB-4C3C-BBC4-393F1A78C7A3}"/>
    <hyperlink ref="A430" r:id="rId240" xr:uid="{C6D66E4C-4A4E-4ED7-A36E-8689DFFCB037}"/>
    <hyperlink ref="A431" r:id="rId241" xr:uid="{20BF2CAA-10DD-4877-9A8B-70DC66158441}"/>
    <hyperlink ref="A432" r:id="rId242" xr:uid="{F25D1656-60E2-40BA-B17B-9703D06C2AB6}"/>
    <hyperlink ref="A433" r:id="rId243" xr:uid="{331D9AF0-01E4-4D23-AB38-426158C61AF2}"/>
    <hyperlink ref="A435" r:id="rId244" xr:uid="{FBC58118-14E9-4B40-B13E-440512EBC26B}"/>
    <hyperlink ref="A434" r:id="rId245" xr:uid="{04B1EB08-D1A3-4FA8-9FE7-71D4E9AF2D62}"/>
    <hyperlink ref="A436" r:id="rId246" xr:uid="{8C41CF7D-E9ED-4174-9832-C0C4374E9412}"/>
    <hyperlink ref="A444" r:id="rId247" xr:uid="{76A19336-163E-47B6-BE09-2F2D2176A5E7}"/>
    <hyperlink ref="A446" r:id="rId248" xr:uid="{08375137-15B2-4F6D-950E-027EC67B2F01}"/>
    <hyperlink ref="A447" r:id="rId249" xr:uid="{332B8652-A946-4536-AA1D-9B597D35B53E}"/>
    <hyperlink ref="A448" r:id="rId250" xr:uid="{BB961738-F8B8-4A4B-90D0-98E57A49471A}"/>
    <hyperlink ref="A437" r:id="rId251" xr:uid="{95BAD6DE-3DFB-426F-8C85-6C8DFF317806}"/>
    <hyperlink ref="A438" r:id="rId252" xr:uid="{708C6F3E-C125-4AAC-BA73-FD955C4EBF84}"/>
    <hyperlink ref="A439" r:id="rId253" xr:uid="{87416A10-049E-4291-BA16-D3A2D498D72C}"/>
    <hyperlink ref="A450" r:id="rId254" xr:uid="{3377580C-1618-4CF0-847B-B2238E2876B0}"/>
    <hyperlink ref="A451" r:id="rId255" xr:uid="{C0430F64-7094-45D3-B339-7DEB348A776B}"/>
    <hyperlink ref="A458" r:id="rId256" xr:uid="{26A5F277-2C73-499A-A999-7938C21C228E}"/>
    <hyperlink ref="A452" r:id="rId257" xr:uid="{344EDD1A-C19A-4DD4-B8B8-03F971A9A269}"/>
    <hyperlink ref="A453" r:id="rId258" xr:uid="{2552E708-FD34-4083-B23A-725173A28E5F}"/>
    <hyperlink ref="A454" r:id="rId259" xr:uid="{9B227BBA-4D22-4532-8CB1-EB65C8E34C3E}"/>
    <hyperlink ref="A440" r:id="rId260" xr:uid="{5E929D22-BCAF-4CB0-A3E5-1AFA2E96B4E8}"/>
    <hyperlink ref="A455" r:id="rId261" xr:uid="{9B61DEFC-CAF6-4417-8ACE-B0021251EFF5}"/>
    <hyperlink ref="A456" r:id="rId262" xr:uid="{3F33C816-9BBE-4F27-A810-F82672E749ED}"/>
    <hyperlink ref="A457" r:id="rId263" xr:uid="{07B702E6-5911-4585-8576-DC941545C670}"/>
    <hyperlink ref="A468" r:id="rId264" xr:uid="{F883D24A-A8D5-48D5-898F-53A6682787E9}"/>
    <hyperlink ref="A441" r:id="rId265" xr:uid="{1D27C343-56A8-4F33-8EF2-B7C7EF9B2A92}"/>
    <hyperlink ref="A445" r:id="rId266" xr:uid="{B646A148-C427-4B5F-8E5A-295E5D269E98}"/>
    <hyperlink ref="A442" r:id="rId267" xr:uid="{9142BF76-B9DD-4645-82DC-C405BB13C2FA}"/>
    <hyperlink ref="A443" r:id="rId268" display="ROD501507_x000a_" xr:uid="{F2EC20BC-54DA-45B1-AEB9-4CD4CB474413}"/>
    <hyperlink ref="A449" r:id="rId269" xr:uid="{ACE7ABC9-3A62-49B0-9FC8-DEA6CD8A9A88}"/>
    <hyperlink ref="A459" r:id="rId270" xr:uid="{0D5CDF1E-E933-4536-A2AA-74F831A4B44C}"/>
    <hyperlink ref="A460" r:id="rId271" xr:uid="{B77D09D2-6C18-4F9A-8EBF-1969C2B21988}"/>
    <hyperlink ref="A465" r:id="rId272" xr:uid="{7B46FA6B-3C59-4A2E-A8BB-3259C8E1393B}"/>
    <hyperlink ref="A469" r:id="rId273" xr:uid="{486287DF-9DB1-4DEB-94EF-6F4E1D71F9D5}"/>
    <hyperlink ref="A470" r:id="rId274" xr:uid="{EB9238E0-4392-4BE0-90DB-23DDB25FDD38}"/>
    <hyperlink ref="A471" r:id="rId275" xr:uid="{AF20E94A-307C-4101-9A59-5CDFE77A7CE5}"/>
    <hyperlink ref="A475" r:id="rId276" xr:uid="{4EAC2D8C-3ABD-4AFE-8B61-58A5A76E0B4C}"/>
    <hyperlink ref="A476" r:id="rId277" xr:uid="{35D9272E-1FA9-438A-95E0-6F1E7211E7F9}"/>
    <hyperlink ref="A474" r:id="rId278" xr:uid="{F8E5150E-9997-48F7-8833-40A667812254}"/>
    <hyperlink ref="A477" r:id="rId279" xr:uid="{1BB262BA-E3B2-437E-BA2F-44D6DF603D15}"/>
    <hyperlink ref="A478" r:id="rId280" xr:uid="{977A67FE-7BF3-4EC6-99DE-4F6366DAD600}"/>
    <hyperlink ref="A472" r:id="rId281" xr:uid="{DF5E6490-7B76-4C43-837D-32907A3959DB}"/>
    <hyperlink ref="A473" r:id="rId282" xr:uid="{C747A3FF-FCAB-4682-9C7E-BD8F894BAD1D}"/>
    <hyperlink ref="A482" r:id="rId283" xr:uid="{044FCD9C-F9B4-43F0-9E11-66BC5314302A}"/>
    <hyperlink ref="A483" r:id="rId284" xr:uid="{3A90A3A6-1655-4D07-B57A-80F64B83630F}"/>
    <hyperlink ref="A485" r:id="rId285" xr:uid="{7C62802D-FB41-4B06-A71D-6F9E0B153A67}"/>
    <hyperlink ref="A461" r:id="rId286" xr:uid="{86A16065-1E00-4B4D-AE5F-A27034BD1EEE}"/>
    <hyperlink ref="A462" r:id="rId287" xr:uid="{B1A39E39-0E0D-4FF9-8E8E-0E2FF3B89A61}"/>
    <hyperlink ref="A479" r:id="rId288" xr:uid="{313BFD72-98B4-4FD1-813B-C775BC4F9CEE}"/>
    <hyperlink ref="A480" r:id="rId289" xr:uid="{117DF3B8-5ED4-4EDB-9FAE-1AEC0947C010}"/>
    <hyperlink ref="A486" r:id="rId290" xr:uid="{CD915E8B-E78A-4D49-B50D-8B2C05880BB5}"/>
    <hyperlink ref="A466" r:id="rId291" xr:uid="{BA4CEBCF-5AA1-4FD2-8CE7-ADD9E73B117B}"/>
    <hyperlink ref="A467" r:id="rId292" xr:uid="{BF269441-410B-4078-A7BE-2996970A87CC}"/>
    <hyperlink ref="A463" r:id="rId293" xr:uid="{2C30EFD2-C54F-43E7-8318-8FB5D3852D75}"/>
    <hyperlink ref="A464" r:id="rId294" xr:uid="{0E57CFD7-66C1-4131-B6DD-49075068F545}"/>
    <hyperlink ref="A481" r:id="rId295" xr:uid="{A103F0D4-B9B0-4C4E-8DA5-9247BFD96FA9}"/>
    <hyperlink ref="A484" r:id="rId296" xr:uid="{570BFA75-0B79-42F1-9F1B-625FDA07BF1F}"/>
    <hyperlink ref="A487" r:id="rId297" xr:uid="{57948ADD-0C32-449E-97FF-6940E33191F1}"/>
    <hyperlink ref="A488" r:id="rId298" xr:uid="{FEA587FE-FAB5-4F90-A342-4B23FFFAAC10}"/>
    <hyperlink ref="A489" r:id="rId299" xr:uid="{CBD4DC6A-9381-440D-B4AF-9207CB7A5960}"/>
    <hyperlink ref="A491" r:id="rId300" xr:uid="{5CA67BC2-D582-472B-A741-D19B2ABE657E}"/>
    <hyperlink ref="A490" r:id="rId301" xr:uid="{8066C3EF-B6D3-4221-9357-17DBFEC1F1DD}"/>
    <hyperlink ref="A492" r:id="rId302" xr:uid="{5FB5F3E9-B9A4-4FF1-B872-55DAE5BDD0EE}"/>
    <hyperlink ref="A493" r:id="rId303" xr:uid="{70F19DF1-3D9F-4D76-8E23-38D3FEA4B859}"/>
    <hyperlink ref="A494" r:id="rId304" xr:uid="{01CA4703-3813-48F3-99DC-F7F67233C2DB}"/>
    <hyperlink ref="A495" r:id="rId305" xr:uid="{A65881E4-45AB-471D-8C0D-E26BA28165F2}"/>
    <hyperlink ref="A496" r:id="rId306" xr:uid="{A5D82F89-6058-4A6D-9B98-D34C665B013B}"/>
    <hyperlink ref="A497" r:id="rId307" xr:uid="{D792A34A-27ED-442F-87ED-3ED7B7218481}"/>
    <hyperlink ref="A499" r:id="rId308" xr:uid="{A67B05CA-07E3-4215-AC86-49563C45A428}"/>
    <hyperlink ref="A500" r:id="rId309" xr:uid="{9CD588A2-EE32-472F-A306-28335B8F8090}"/>
    <hyperlink ref="A501" r:id="rId310" xr:uid="{96476C00-13B3-4089-B7FF-6C2418856098}"/>
    <hyperlink ref="A508" r:id="rId311" xr:uid="{11C65442-9847-47FA-B82E-5E17BC4857C1}"/>
    <hyperlink ref="A509" r:id="rId312" xr:uid="{AA85701E-D330-4F43-BB7F-9EA7ED8C50A5}"/>
    <hyperlink ref="A510" r:id="rId313" xr:uid="{F4CBDDE6-F333-48BE-B402-DDEE4B9B86E6}"/>
    <hyperlink ref="A502" r:id="rId314" xr:uid="{6C261D34-2990-4125-8F20-3A18A82C02CA}"/>
    <hyperlink ref="A503" r:id="rId315" xr:uid="{D897C2CC-D6C4-4CD5-8988-054F352FF77D}"/>
    <hyperlink ref="A513" r:id="rId316" xr:uid="{3EA5F057-A4ED-455E-9578-AB131E1844D7}"/>
    <hyperlink ref="A504" r:id="rId317" xr:uid="{89B66FE1-A511-4A8D-8B26-F1F96E1CB2C2}"/>
    <hyperlink ref="A506" r:id="rId318" xr:uid="{ACDB1198-508B-4C54-94E4-3A08958DAD7A}"/>
    <hyperlink ref="A514" r:id="rId319" xr:uid="{26DEAE99-F7F1-4468-A92B-90CE4ABD3418}"/>
    <hyperlink ref="A515" r:id="rId320" xr:uid="{B488AE54-DE92-44B9-85F2-708C8471DE16}"/>
    <hyperlink ref="A516" r:id="rId321" xr:uid="{55DB1245-B18C-4B42-BF0C-5677A9E44765}"/>
    <hyperlink ref="A511" r:id="rId322" xr:uid="{733251FA-B0F8-4870-AF80-E27C0546F1AB}"/>
    <hyperlink ref="A512" r:id="rId323" xr:uid="{676FCC0B-DDA9-4674-8DE2-6C69B6514E48}"/>
    <hyperlink ref="A517" r:id="rId324" xr:uid="{A5A2011A-2B09-4A9A-ACD9-0978F0FCC7E1}"/>
    <hyperlink ref="A518" r:id="rId325" xr:uid="{3176D294-2E46-46C6-A61C-1A51812BB6CC}"/>
    <hyperlink ref="A507" r:id="rId326" xr:uid="{1388F2C1-38B3-4BA6-9C02-5FD3E5116A69}"/>
    <hyperlink ref="A498" r:id="rId327" xr:uid="{CF474462-60B3-4926-B5E5-1A55B746287F}"/>
    <hyperlink ref="A519" r:id="rId328" xr:uid="{4A713DBE-5FF8-41FA-B373-4C0B2A7D637F}"/>
    <hyperlink ref="A520" r:id="rId329" xr:uid="{8A719BB3-A49A-4C16-92C4-9B6A9F06B6D1}"/>
    <hyperlink ref="A526" r:id="rId330" xr:uid="{23666411-734A-4E11-860F-0A60CA6C9644}"/>
    <hyperlink ref="A521" r:id="rId331" xr:uid="{06BA289A-9B50-4FA0-9C27-9C9A29821598}"/>
    <hyperlink ref="A522" r:id="rId332" xr:uid="{FF72C377-ACBF-480C-BFF7-CDFE598AD195}"/>
    <hyperlink ref="A523" r:id="rId333" xr:uid="{FF542E1F-07E1-4E2B-8229-4864C352091A}"/>
    <hyperlink ref="A524" r:id="rId334" display="MDM301155" xr:uid="{53BE3917-6881-41F3-9B19-28FFCEACF353}"/>
    <hyperlink ref="A528" r:id="rId335" xr:uid="{D22E32E6-9233-4A30-8E16-345529196998}"/>
    <hyperlink ref="A529" r:id="rId336" xr:uid="{EA24BDCF-8A95-4A0F-9203-C33A2FA0ACE2}"/>
    <hyperlink ref="A525" r:id="rId337" xr:uid="{664F9340-81FF-46FB-B143-C0C47973D530}"/>
    <hyperlink ref="A527" r:id="rId338" xr:uid="{6797F012-F731-427A-843D-2908BDD103ED}"/>
    <hyperlink ref="A530" r:id="rId339" xr:uid="{7965660B-785F-40BD-AD9E-F2807D0632A4}"/>
    <hyperlink ref="A531" r:id="rId340" xr:uid="{B33E0198-454F-4CF7-9F81-8C35661C8E94}"/>
    <hyperlink ref="A532" r:id="rId341" xr:uid="{7C29E418-B02E-40E6-97DF-6E885490A195}"/>
    <hyperlink ref="A533" r:id="rId342" xr:uid="{4E3AEE92-4EE7-4D9D-AC80-2A1ED2B7EAB9}"/>
    <hyperlink ref="A534" r:id="rId343" xr:uid="{451C2D20-D450-4102-B233-9EB066C4ADB8}"/>
    <hyperlink ref="A535" r:id="rId344" xr:uid="{93D0E907-0D7C-4BC5-BA3C-346412A370EB}"/>
    <hyperlink ref="A536" r:id="rId345" xr:uid="{1B59C6FA-5A3E-40A8-B038-6C7B97CD37AA}"/>
    <hyperlink ref="A537" r:id="rId346" xr:uid="{5FD978D5-8146-4C32-AD18-89CADC73CCB5}"/>
    <hyperlink ref="A539" r:id="rId347" xr:uid="{48389F31-DBE6-4ED3-A31E-2620852FC4B9}"/>
    <hyperlink ref="A538" r:id="rId348" xr:uid="{C3C86817-7CBC-4A30-A519-E10F882EE1EE}"/>
    <hyperlink ref="A544" r:id="rId349" xr:uid="{48A5BC68-8645-40C5-831A-72C85DD5BB73}"/>
    <hyperlink ref="A543" r:id="rId350" display="IMI-VA-40123-01LD-1_x000a_" xr:uid="{437598E1-D09C-4980-89A8-100D81652200}"/>
    <hyperlink ref="A542" r:id="rId351" display="IMI-VA-40123-01KO-1_x000a_" xr:uid="{5A660024-38F6-4B9F-B745-20444480B989}"/>
    <hyperlink ref="A541" r:id="rId352" xr:uid="{045E3E38-F2BA-4A10-A059-D9ED3E105308}"/>
    <hyperlink ref="A540" r:id="rId353" display="IMI-VA-40123/01KM-1" xr:uid="{DDC94470-EB14-4D9A-B4B8-B2BF194F4C6C}"/>
    <hyperlink ref="A545" r:id="rId354" xr:uid="{9EB25D0B-705D-4FC6-9E7E-626F5CEABC2E}"/>
    <hyperlink ref="A546" r:id="rId355" xr:uid="{24F1D760-F303-4460-AA8B-FFA239A47E9C}"/>
    <hyperlink ref="A547" r:id="rId356" xr:uid="{8A118990-7284-4D53-9E73-8CD94875D92E}"/>
    <hyperlink ref="A548" r:id="rId357" xr:uid="{85A0FD40-17F0-428C-80E4-E75AD4A693B9}"/>
    <hyperlink ref="A549" r:id="rId358" display="MEN500440" xr:uid="{1A3290FD-BB81-41A7-BE4B-58AE5C5D5A44}"/>
    <hyperlink ref="A550" r:id="rId359" xr:uid="{846C9D1A-71DD-405B-90FB-752601BB475D}"/>
    <hyperlink ref="A551" r:id="rId360" xr:uid="{4A43F23C-CB69-4DC4-86F9-3C1393AB82CC}"/>
    <hyperlink ref="A552" r:id="rId361" xr:uid="{3986D961-9A33-460F-8A27-B1F1D2137675}"/>
    <hyperlink ref="A553" r:id="rId362" xr:uid="{3CE12BEA-AF6C-4EBC-AC8B-59A9D291EA95}"/>
    <hyperlink ref="A554" r:id="rId363" xr:uid="{BCD043D8-EB53-4360-92CC-BFB5F8F3DDA4}"/>
    <hyperlink ref="A555" r:id="rId364" xr:uid="{C7F803AB-516A-4F6D-B1A1-9D2568CD7BBE}"/>
    <hyperlink ref="A556" r:id="rId365" xr:uid="{3A4A0A29-311A-4365-8C5A-9F78E11DA548}"/>
    <hyperlink ref="A557" r:id="rId366" xr:uid="{6E37B182-C602-46E5-BFF4-DD1DE9191A8C}"/>
    <hyperlink ref="A558" r:id="rId367" xr:uid="{459782F5-5A01-45C5-A7ED-E954303B3D44}"/>
    <hyperlink ref="A559" r:id="rId368" xr:uid="{04FF8D7F-8A41-4231-966E-80B9EBD487CA}"/>
    <hyperlink ref="A560" r:id="rId369" xr:uid="{5265B048-9317-4DCD-ACAF-C85653770C0F}"/>
    <hyperlink ref="A568" r:id="rId370" xr:uid="{9A1C1168-2A46-49EF-BDEB-89B3B75D42F8}"/>
    <hyperlink ref="A569" r:id="rId371" xr:uid="{DD5EF0FB-76F2-43BF-8204-789659293736}"/>
    <hyperlink ref="A571" r:id="rId372" xr:uid="{207BCB7E-F265-4133-8775-60F583028C29}"/>
    <hyperlink ref="A561" r:id="rId373" xr:uid="{425B443A-9151-489F-884C-BB43E31E7C99}"/>
    <hyperlink ref="A562" r:id="rId374" xr:uid="{470734DF-1940-4DFB-82EC-CE9C65DFF838}"/>
    <hyperlink ref="A563" r:id="rId375" xr:uid="{11C94EC5-089A-4127-B41E-2E85CD248B44}"/>
    <hyperlink ref="A564" r:id="rId376" xr:uid="{994CAB04-2DC2-44CB-BF28-47544CF6BFB8}"/>
    <hyperlink ref="A565" r:id="rId377" xr:uid="{4DC1AF6F-9591-4C1F-8E50-63FA49C6F9B5}"/>
    <hyperlink ref="A566" r:id="rId378" xr:uid="{9CADED24-0D4D-4A43-AB7F-D42E6E40B137}"/>
    <hyperlink ref="A567" r:id="rId379" xr:uid="{11D569A9-85F5-478B-A167-4C2AF34D4C91}"/>
    <hyperlink ref="A573" r:id="rId380" xr:uid="{6000C9D9-D79D-4F26-B0A8-CA191F574985}"/>
    <hyperlink ref="A570" r:id="rId381" xr:uid="{86EFB543-B16C-4462-A4D1-E03F7903ADFE}"/>
    <hyperlink ref="A572" r:id="rId382" xr:uid="{FCA9F845-0D91-4129-B8A8-B7FCF43E92DA}"/>
    <hyperlink ref="A574" r:id="rId383" xr:uid="{3576DE5D-95E0-49A4-89C6-008BD8731502}"/>
    <hyperlink ref="A575" r:id="rId384" xr:uid="{972A708C-D619-4F22-BCE1-91969B05618D}"/>
    <hyperlink ref="A579" r:id="rId385" xr:uid="{D399F9C7-858B-4E12-B87E-ED207CFA7706}"/>
    <hyperlink ref="A577" r:id="rId386" xr:uid="{D67714F3-2167-4A39-B4BC-2BE6D04EE6B6}"/>
    <hyperlink ref="A580" r:id="rId387" xr:uid="{C469DDAA-86C8-4989-86FC-5048251275FD}"/>
    <hyperlink ref="A578" r:id="rId388" xr:uid="{98AD3734-42E0-469A-99B6-65AC114C58FE}"/>
    <hyperlink ref="A586" r:id="rId389" xr:uid="{92224DCF-27F0-4209-BB64-3C2B3CA39C58}"/>
    <hyperlink ref="A581" r:id="rId390" xr:uid="{F6D10558-F78A-4DC4-9781-880401B8B66D}"/>
    <hyperlink ref="A582" r:id="rId391" xr:uid="{B846F15D-CAC5-494A-9AAB-6583DA0900FD}"/>
    <hyperlink ref="A583" r:id="rId392" xr:uid="{3B7EA09C-4B19-421C-A5B9-B24FD0927287}"/>
    <hyperlink ref="A584" r:id="rId393" xr:uid="{AFD72A64-2884-49B6-9D99-E7CCD810E721}"/>
    <hyperlink ref="A585" r:id="rId394" xr:uid="{229370CA-68B2-450E-B751-58EA57AFF671}"/>
    <hyperlink ref="A587" r:id="rId395" xr:uid="{732F2D4F-52EB-438C-81E0-A2F861678469}"/>
    <hyperlink ref="A588" r:id="rId396" xr:uid="{7DB361B8-4EEE-4BDB-A937-1BBA837FF4B1}"/>
    <hyperlink ref="A589" r:id="rId397" xr:uid="{AC20E494-59EA-4D66-BF3B-E48BE2F8C60E}"/>
    <hyperlink ref="A590" r:id="rId398" xr:uid="{F0C011B2-0CD6-4C33-AA0F-205BDB0A74F5}"/>
    <hyperlink ref="A591" r:id="rId399" display="IMI-VA-40234-009R-1" xr:uid="{D8897DE3-BBFB-4D2E-BC1E-4F4CFE3E361B}"/>
    <hyperlink ref="A592" r:id="rId400" xr:uid="{7B814640-B094-48C9-9115-1C1D5EBDB88B}"/>
    <hyperlink ref="A593" r:id="rId401" xr:uid="{00EB24C5-32A0-490F-8DFA-87B75F2D24A4}"/>
    <hyperlink ref="A594" r:id="rId402" xr:uid="{21E750BB-6A9B-4999-9DE4-60B227C05C50}"/>
    <hyperlink ref="A595" r:id="rId403" xr:uid="{BE875092-D9A4-40C5-A8C1-0302BE3CB804}"/>
    <hyperlink ref="A598" r:id="rId404" xr:uid="{C8D75151-6737-416D-ABFF-8919EB2A91F0}"/>
    <hyperlink ref="A599" r:id="rId405" xr:uid="{F49C3305-142D-433F-A199-D0A57B043275}"/>
    <hyperlink ref="A600" r:id="rId406" xr:uid="{65910A28-82D9-4629-B15D-6525ECDA0821}"/>
    <hyperlink ref="A601" r:id="rId407" xr:uid="{CFA17CD8-B6D4-432A-8CE4-8E06BA5BE6C0}"/>
    <hyperlink ref="A602" r:id="rId408" xr:uid="{EAC592F3-EF86-4913-9DBE-E867D2C15FB9}"/>
    <hyperlink ref="A603" r:id="rId409" xr:uid="{BBA84C23-15BE-4A9D-B4F0-C1F53CD98B4D}"/>
    <hyperlink ref="A604" r:id="rId410" xr:uid="{76FD4596-60C2-410F-81AF-C180FC1DCE50}"/>
    <hyperlink ref="A605" r:id="rId411" xr:uid="{BFF3E0AA-B443-45AA-B160-2B4A30F38F34}"/>
    <hyperlink ref="A606" r:id="rId412" xr:uid="{F8BED08B-6967-4887-B4EB-2BE8915E736F}"/>
    <hyperlink ref="A597" r:id="rId413" xr:uid="{1E5AD96E-6EEA-4AAF-808B-149322AFA4C2}"/>
    <hyperlink ref="A607" r:id="rId414" xr:uid="{757D1BB1-71F7-4C74-8B4C-8E1A84FAD0C4}"/>
    <hyperlink ref="A609" r:id="rId415" xr:uid="{1C7777BA-E993-4DB5-A58D-3B341A86655F}"/>
    <hyperlink ref="A608" r:id="rId416" xr:uid="{787F32A1-B15E-4DF9-A6AB-A7727E39C08A}"/>
    <hyperlink ref="A596" r:id="rId417" xr:uid="{F1B0FEFB-2EA3-4F20-8F49-65D7315510DB}"/>
    <hyperlink ref="A613" r:id="rId418" xr:uid="{A2538A3D-5F1A-45F9-B572-360C1F19FA04}"/>
    <hyperlink ref="A610" r:id="rId419" xr:uid="{54449EA4-C8A4-4D82-B72D-C0B361C75B5E}"/>
    <hyperlink ref="A611" r:id="rId420" xr:uid="{FEF34979-B6EF-42F2-96F2-14FDCF73A461}"/>
    <hyperlink ref="A612" r:id="rId421" xr:uid="{F02775DE-C07E-40E0-BDF9-6BE8C8765927}"/>
    <hyperlink ref="A614" r:id="rId422" xr:uid="{10069BB3-A5E9-449F-B5FB-28E9A14A4692}"/>
    <hyperlink ref="A615" r:id="rId423" xr:uid="{4866CD47-4FBD-40EE-B800-DD57AC4B2334}"/>
    <hyperlink ref="A616" r:id="rId424" xr:uid="{429E77E9-36BD-4BD8-A71A-0CB01633000A}"/>
    <hyperlink ref="A618" r:id="rId425" xr:uid="{62497980-AD01-49BC-A105-6AA547B7F418}"/>
    <hyperlink ref="A619" r:id="rId426" xr:uid="{91DB6FF5-02E3-4E27-9968-BCB0A88945F3}"/>
    <hyperlink ref="A620" r:id="rId427" xr:uid="{61679F3A-218B-4F7F-BEB6-DFD123638CDD}"/>
    <hyperlink ref="A621" r:id="rId428" xr:uid="{52951430-9DB6-47F1-9AFA-7A7FB4F91A85}"/>
    <hyperlink ref="A623" r:id="rId429" xr:uid="{DBF5111E-FB5A-4AD5-A135-4BEEA73D9EFB}"/>
    <hyperlink ref="A622" r:id="rId430" xr:uid="{AD48547D-8E72-4649-8F80-71A5365E41C0}"/>
    <hyperlink ref="A624" r:id="rId431" xr:uid="{0ACEA268-6AA6-49A9-87BB-3090AD7D601F}"/>
    <hyperlink ref="A625" r:id="rId432" xr:uid="{2A73F715-CF56-455E-9C11-588782C2278F}"/>
    <hyperlink ref="A626" r:id="rId433" xr:uid="{1E5C84FA-8C46-4E63-9868-42104089681D}"/>
    <hyperlink ref="A628" r:id="rId434" xr:uid="{6DCEE588-8CE1-435E-BE67-99D7BDC81F51}"/>
    <hyperlink ref="A629" r:id="rId435" xr:uid="{42FBA995-7B41-47C3-B4EE-7177BDF52DE4}"/>
    <hyperlink ref="A627" r:id="rId436" xr:uid="{F6242173-AE96-4DAF-AD58-494343AFDBFA}"/>
    <hyperlink ref="A630" r:id="rId437" xr:uid="{201A6F33-4773-4934-92A6-01F96D68DE47}"/>
    <hyperlink ref="A631" r:id="rId438" xr:uid="{CB731095-968B-4129-AB28-67984CA3D832}"/>
    <hyperlink ref="A648" r:id="rId439" xr:uid="{655A3474-F2E7-426D-9F22-057005B57568}"/>
    <hyperlink ref="A633" r:id="rId440" xr:uid="{70F95B4E-3F47-4BF1-A308-268A8C6B85C9}"/>
    <hyperlink ref="A635" r:id="rId441" xr:uid="{C413E13C-52AF-47D9-944D-ED8896063842}"/>
    <hyperlink ref="A637" r:id="rId442" xr:uid="{066F1290-9D8F-4583-8E1D-80FB7D2B55DF}"/>
    <hyperlink ref="A638" r:id="rId443" xr:uid="{C96EC69F-9007-43C9-8AA7-C32A2D9304BF}"/>
    <hyperlink ref="A639" r:id="rId444" xr:uid="{6A1111DD-A07F-47C2-ACF8-D9AD4AB022F8}"/>
    <hyperlink ref="A640" r:id="rId445" xr:uid="{26B2F623-DB3A-47B0-8998-5C2BB9B06D8B}"/>
    <hyperlink ref="A649" r:id="rId446" xr:uid="{26ED53FC-6BE5-46C2-BC6F-FF3FD04D3C5B}"/>
    <hyperlink ref="A641" r:id="rId447" xr:uid="{A3842CC5-4D3B-46DC-90A0-3993EEA5B7E8}"/>
    <hyperlink ref="A642" r:id="rId448" xr:uid="{A6E97B66-0806-4D3C-91E6-26681AF0301D}"/>
    <hyperlink ref="A650" r:id="rId449" xr:uid="{E1F9157A-098B-4041-8352-C7AF0B3E96EC}"/>
    <hyperlink ref="A643" r:id="rId450" xr:uid="{1D467438-B41B-49A3-8168-257926AFA2B7}"/>
    <hyperlink ref="A644" r:id="rId451" xr:uid="{FFB3F555-FE91-4325-96BF-C762C63EBAAA}"/>
    <hyperlink ref="A645" r:id="rId452" xr:uid="{2EAB3499-CFFB-42CB-87FF-5014280A111A}"/>
    <hyperlink ref="A646" r:id="rId453" xr:uid="{024E0111-BDD8-4F0A-942B-819E891FCC7F}"/>
    <hyperlink ref="A647" r:id="rId454" xr:uid="{A1011D83-CEF5-4E14-8A4F-AF8B91C2567F}"/>
    <hyperlink ref="A651" r:id="rId455" xr:uid="{A07D7018-6827-4FE5-BAD6-9008C021C5E4}"/>
    <hyperlink ref="A636" r:id="rId456" xr:uid="{4BD8A3FB-AB80-4391-8D64-F050FA01B9E5}"/>
    <hyperlink ref="A654" r:id="rId457" xr:uid="{B348AA1E-0F87-417E-8519-97964CA13BF0}"/>
    <hyperlink ref="A655" r:id="rId458" xr:uid="{6C72C845-615C-413F-A9C6-C4F7EACBC76C}"/>
    <hyperlink ref="A656" r:id="rId459" xr:uid="{BBB0A95D-E538-4FA6-BD30-03933F8F5A22}"/>
    <hyperlink ref="A632" r:id="rId460" xr:uid="{37BAF819-0296-439A-9D71-F6F55576BB1C}"/>
    <hyperlink ref="A657" r:id="rId461" xr:uid="{A82EE060-06DB-4577-B83C-CFFB1F695ACD}"/>
    <hyperlink ref="A658" r:id="rId462" xr:uid="{8D4840FE-9A55-4018-A799-1C2C1BEA5381}"/>
    <hyperlink ref="A659" r:id="rId463" xr:uid="{8B5D5B03-713E-4DAB-A805-F4C9294D9938}"/>
    <hyperlink ref="A652" r:id="rId464" xr:uid="{F01DEEB4-E836-415F-91FA-06B3E8D8F1A9}"/>
    <hyperlink ref="A653" r:id="rId465" xr:uid="{130099A8-C5AF-40D8-A76A-713223D46BE3}"/>
    <hyperlink ref="A660" r:id="rId466" xr:uid="{95A62DAC-7382-428D-BDC1-4130E60F747C}"/>
    <hyperlink ref="A661" r:id="rId467" xr:uid="{821F33FA-B9CE-408D-9864-35667CB7DBFE}"/>
    <hyperlink ref="A662" r:id="rId468" xr:uid="{7ACFF266-6097-4A88-ABF3-D4D988C33E38}"/>
    <hyperlink ref="A663" r:id="rId469" xr:uid="{E96B213B-6F4D-4CC9-81A7-122968BE4018}"/>
    <hyperlink ref="A664" r:id="rId470" xr:uid="{E638C5A2-2EFA-4FA7-B628-E9895A426B22}"/>
    <hyperlink ref="A665" r:id="rId471" xr:uid="{5356B0D3-2F72-4C63-9351-419F0829BB54}"/>
    <hyperlink ref="A666" r:id="rId472" xr:uid="{8D3C0B2E-007C-4D6A-B5EC-DB943A35DF3F}"/>
    <hyperlink ref="A667" r:id="rId473" xr:uid="{012A049D-FFF2-4C4D-9128-01FAB3B42C42}"/>
    <hyperlink ref="A668" r:id="rId474" xr:uid="{884407AD-5600-4D01-B6C0-72D15392F2FC}"/>
    <hyperlink ref="A669" r:id="rId475" xr:uid="{8A4C8B81-3EDF-441A-8844-7FA161BA6C92}"/>
    <hyperlink ref="A670" r:id="rId476" xr:uid="{CFF13A17-20BC-4743-8D0B-108426AB791F}"/>
    <hyperlink ref="A671" r:id="rId477" xr:uid="{8BC34209-244F-46ED-99EC-F29F70B6A0A9}"/>
    <hyperlink ref="A672" r:id="rId478" xr:uid="{155F252D-052F-465E-8451-E835FE5D6EF2}"/>
    <hyperlink ref="A675" r:id="rId479" xr:uid="{0CEAF16D-66A8-4C5F-9124-41E285133D6C}"/>
    <hyperlink ref="A676" r:id="rId480" xr:uid="{CD2AEA4B-0E45-455C-AB6C-7DC155C1D614}"/>
    <hyperlink ref="A677" r:id="rId481" xr:uid="{C43710C6-E871-4C7F-BF0B-3F52701AAFEB}"/>
    <hyperlink ref="A673" r:id="rId482" xr:uid="{3F24ECE3-11F6-4BA1-BA60-21F481C97111}"/>
    <hyperlink ref="A678" r:id="rId483" xr:uid="{BFB22E62-0A46-459C-B442-AF0AB0952C89}"/>
    <hyperlink ref="A679" r:id="rId484" xr:uid="{52C30002-604F-4EB5-B04E-CB1946CDE480}"/>
    <hyperlink ref="A680" r:id="rId485" xr:uid="{59018A82-8777-487E-93DD-C1FDC094C0EA}"/>
    <hyperlink ref="A617" r:id="rId486" xr:uid="{8CE65F76-1A83-41A4-870B-B57FE084AAD1}"/>
    <hyperlink ref="A681" r:id="rId487" xr:uid="{E38B5136-5E3F-4036-BA5E-C5F25FD0D394}"/>
    <hyperlink ref="A682" r:id="rId488" xr:uid="{C5A79546-2890-4797-88EA-DC2F8807BF28}"/>
    <hyperlink ref="A684" r:id="rId489" xr:uid="{C4377F9F-1D79-40F2-AB0D-812AE5742140}"/>
    <hyperlink ref="A683" r:id="rId490" xr:uid="{C5AB03A7-98F5-4DAF-BC92-F4179FECADDD}"/>
    <hyperlink ref="A687" r:id="rId491" display="MEN300841" xr:uid="{F1AA47A0-2D38-4D3D-A6DE-9B7E7AF5D945}"/>
    <hyperlink ref="A685" r:id="rId492" xr:uid="{7E278A49-51ED-4DA8-852A-B3129381C13E}"/>
    <hyperlink ref="A686" r:id="rId493" xr:uid="{92DFAF71-E511-4E9E-A330-F75CE831D02A}"/>
    <hyperlink ref="A688" r:id="rId494" xr:uid="{02267305-A984-4BD7-888E-432FD6439C49}"/>
    <hyperlink ref="A689" r:id="rId495" xr:uid="{B759D61A-1E9C-456B-91C4-39D2BE93E490}"/>
    <hyperlink ref="A690" r:id="rId496" xr:uid="{57A9F669-3713-43A9-8B03-B868DE78A9EE}"/>
    <hyperlink ref="A697" r:id="rId497" xr:uid="{219291C2-1B7D-4BDE-BF43-D6C0C33B542F}"/>
    <hyperlink ref="A691" r:id="rId498" xr:uid="{8ADCA7A1-1ACF-45E9-8C19-7BC9FA87D116}"/>
    <hyperlink ref="A692" r:id="rId499" xr:uid="{16302844-5B2B-490B-9677-E2E1768529E9}"/>
    <hyperlink ref="A693" r:id="rId500" xr:uid="{0672AE46-2155-4133-9EDF-659D24D0A9D3}"/>
    <hyperlink ref="A694" r:id="rId501" xr:uid="{EB2E113C-B986-4409-8F4F-DAB5216AA738}"/>
    <hyperlink ref="A695" r:id="rId502" xr:uid="{E9453307-CC06-4197-8273-1B020AF6F560}"/>
    <hyperlink ref="A696" r:id="rId503" xr:uid="{6A2D3D1E-19F3-4F36-B714-316CAB48780B}"/>
    <hyperlink ref="A698" r:id="rId504" xr:uid="{6BDEE914-297F-4359-B083-6A5A30700C94}"/>
    <hyperlink ref="A699" r:id="rId505" xr:uid="{4C35FA53-718D-4302-81E8-0E01D1E4EF4C}"/>
    <hyperlink ref="A700" r:id="rId506" xr:uid="{A702B1CC-3640-42F2-AF05-1CBF73C50521}"/>
    <hyperlink ref="A701" r:id="rId507" xr:uid="{1CBBB1D3-8E40-476D-8A8D-662E19494DE9}"/>
    <hyperlink ref="A702" r:id="rId508" xr:uid="{3931E2C3-BB4A-4774-8AFE-42254DC680F9}"/>
    <hyperlink ref="A703" r:id="rId509" xr:uid="{D4B258E3-9C2F-4268-A8AB-D7D06EED777E}"/>
    <hyperlink ref="A704" r:id="rId510" xr:uid="{A1465E91-06CB-43BC-BAE9-71A85C57CEA9}"/>
    <hyperlink ref="A705" r:id="rId511" xr:uid="{BD1755DB-C7B4-47A7-9A93-90CBA3B9A2D9}"/>
    <hyperlink ref="A706" r:id="rId512" xr:uid="{0FB6774A-4D5E-4326-AC94-D771A754D150}"/>
    <hyperlink ref="A707" r:id="rId513" xr:uid="{6F37676A-2872-4009-A360-3FD5E9E72BC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it_x00e9_ xmlns="f621ad85-b311-4228-89e2-fd805acd0e01">true</Trait_x00e9_>
    <lcf76f155ced4ddcb4097134ff3c332f xmlns="f621ad85-b311-4228-89e2-fd805acd0e01">
      <Terms xmlns="http://schemas.microsoft.com/office/infopath/2007/PartnerControls"/>
    </lcf76f155ced4ddcb4097134ff3c332f>
    <TaxCatchAll xmlns="ee0983e6-9284-4719-a773-289132efd7c5" xsi:nil="true"/>
    <EtatDossier xmlns="f621ad85-b311-4228-89e2-fd805acd0e0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A86D438BE77D6469062788AD8D2B12E" ma:contentTypeVersion="15" ma:contentTypeDescription="Crée un document." ma:contentTypeScope="" ma:versionID="cdcca4f5f47bf66ff019569b0011c409">
  <xsd:schema xmlns:xsd="http://www.w3.org/2001/XMLSchema" xmlns:xs="http://www.w3.org/2001/XMLSchema" xmlns:p="http://schemas.microsoft.com/office/2006/metadata/properties" xmlns:ns2="f621ad85-b311-4228-89e2-fd805acd0e01" xmlns:ns3="ee0983e6-9284-4719-a773-289132efd7c5" targetNamespace="http://schemas.microsoft.com/office/2006/metadata/properties" ma:root="true" ma:fieldsID="4819b806a3c7cd2e1e8f0fa5a4c03a8e" ns2:_="" ns3:_="">
    <xsd:import namespace="f621ad85-b311-4228-89e2-fd805acd0e01"/>
    <xsd:import namespace="ee0983e6-9284-4719-a773-289132efd7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Trait_x00e9_" minOccurs="0"/>
                <xsd:element ref="ns2:MediaLengthInSeconds" minOccurs="0"/>
                <xsd:element ref="ns2:EtatDossi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21ad85-b311-4228-89e2-fd805acd0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d82c312d-f1eb-4c69-90d6-2aee7e37df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Trait_x00e9_" ma:index="20" nillable="true" ma:displayName="Traité" ma:default="1" ma:format="Dropdown" ma:internalName="Trait_x00e9_">
      <xsd:simpleType>
        <xsd:restriction base="dms:Boolean"/>
      </xsd:simpleType>
    </xsd:element>
    <xsd:element name="MediaLengthInSeconds" ma:index="21" nillable="true" ma:displayName="MediaLengthInSeconds" ma:hidden="true" ma:internalName="MediaLengthInSeconds" ma:readOnly="true">
      <xsd:simpleType>
        <xsd:restriction base="dms:Unknown"/>
      </xsd:simpleType>
    </xsd:element>
    <xsd:element name="EtatDossier" ma:index="22" nillable="true" ma:displayName="Etat Dossier " ma:format="Dropdown" ma:internalName="EtatDossier">
      <xsd:simpleType>
        <xsd:restriction base="dms:Choice">
          <xsd:enumeration value="Dossier Sur SPI"/>
          <xsd:enumeration value="Dossier facturé"/>
          <xsd:enumeration value="Dossier Payé"/>
          <xsd:enumeration value="Dossier Bloqué"/>
          <xsd:enumeration value="Retour Etude"/>
          <xsd:enumeration value="Dossier affecté"/>
        </xsd:restriction>
      </xsd:simpleType>
    </xsd:element>
  </xsd:schema>
  <xsd:schema xmlns:xsd="http://www.w3.org/2001/XMLSchema" xmlns:xs="http://www.w3.org/2001/XMLSchema" xmlns:dms="http://schemas.microsoft.com/office/2006/documentManagement/types" xmlns:pc="http://schemas.microsoft.com/office/infopath/2007/PartnerControls" targetNamespace="ee0983e6-9284-4719-a773-289132efd7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80ed5a6-9f19-414e-ab1e-927fc640d4bf}" ma:internalName="TaxCatchAll" ma:showField="CatchAllData" ma:web="ee0983e6-9284-4719-a773-289132efd7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D5FA5A-C633-4537-8F51-59CD9940FEAE}"/>
</file>

<file path=customXml/itemProps2.xml><?xml version="1.0" encoding="utf-8"?>
<ds:datastoreItem xmlns:ds="http://schemas.openxmlformats.org/officeDocument/2006/customXml" ds:itemID="{35FDB734-0707-4F98-8CEB-D60A298B2D28}"/>
</file>

<file path=customXml/itemProps3.xml><?xml version="1.0" encoding="utf-8"?>
<ds:datastoreItem xmlns:ds="http://schemas.openxmlformats.org/officeDocument/2006/customXml" ds:itemID="{9C065C98-34DA-42AA-9178-065F74555B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lansdorff</dc:creator>
  <cp:keywords/>
  <dc:description/>
  <cp:lastModifiedBy>stéphane dos-santos</cp:lastModifiedBy>
  <cp:revision/>
  <dcterms:created xsi:type="dcterms:W3CDTF">2025-04-07T18:22:33Z</dcterms:created>
  <dcterms:modified xsi:type="dcterms:W3CDTF">2026-02-23T14:28:00Z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0x0101002A86D438BE77D6469062788AD8D2B12E</vt:lpwstr>
  </property>
  <property fmtid="{D5CDD505-2E9C-101B-9397-08002B2CF9AE}" pid="3" name="MediaServiceImageTags">
    <vt:lpwstr/>
  </property>
</Properties>
</file>